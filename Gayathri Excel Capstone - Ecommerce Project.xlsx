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b21989d67199c3a7/Desktop/"/>
    </mc:Choice>
  </mc:AlternateContent>
  <xr:revisionPtr revIDLastSave="1" documentId="8_{983C6E94-119B-47F1-AF92-3BC62D19AF0D}" xr6:coauthVersionLast="47" xr6:coauthVersionMax="47" xr10:uidLastSave="{3DD5C538-B53E-44CB-A494-D91A9B99715F}"/>
  <bookViews>
    <workbookView xWindow="-108" yWindow="-108" windowWidth="23256" windowHeight="12456" activeTab="5" xr2:uid="{00000000-000D-0000-FFFF-FFFF00000000}"/>
  </bookViews>
  <sheets>
    <sheet name="Customer_Dim" sheetId="1" r:id="rId1"/>
    <sheet name="Product_Dim" sheetId="2" r:id="rId2"/>
    <sheet name="Store_Dim" sheetId="3" r:id="rId3"/>
    <sheet name="Sales_Fact" sheetId="4" r:id="rId4"/>
    <sheet name="Ecommerce Combined Data" sheetId="5" r:id="rId5"/>
    <sheet name="Pivot Table" sheetId="7" r:id="rId6"/>
    <sheet name="Dashboard" sheetId="8" r:id="rId7"/>
  </sheets>
  <definedNames>
    <definedName name="Slicer_Category">#N/A</definedName>
    <definedName name="Slicer_Gender">#N/A</definedName>
    <definedName name="Slicer_Region">#N/A</definedName>
    <definedName name="Slicer_Store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5" l="1"/>
  <c r="R2" i="5" s="1" a="1"/>
  <c r="R2" i="5" s="1"/>
  <c r="C2" i="5"/>
  <c r="L2" i="5" s="1"/>
  <c r="D2" i="5"/>
  <c r="E2" i="5"/>
  <c r="F2" i="5"/>
  <c r="G2" i="5"/>
  <c r="H2" i="5"/>
  <c r="I2" i="5"/>
  <c r="S2" i="5"/>
  <c r="B3" i="5"/>
  <c r="C3" i="5"/>
  <c r="N3" i="5" s="1"/>
  <c r="D3" i="5"/>
  <c r="E3" i="5"/>
  <c r="F3" i="5"/>
  <c r="G3" i="5"/>
  <c r="H3" i="5"/>
  <c r="I3" i="5"/>
  <c r="S3" i="5"/>
  <c r="B4" i="5"/>
  <c r="P4" i="5" s="1"/>
  <c r="C4" i="5"/>
  <c r="J4" i="5" s="1"/>
  <c r="D4" i="5"/>
  <c r="E4" i="5"/>
  <c r="F4" i="5"/>
  <c r="G4" i="5"/>
  <c r="H4" i="5"/>
  <c r="I4" i="5"/>
  <c r="S4" i="5"/>
  <c r="B5" i="5"/>
  <c r="P5" i="5" s="1"/>
  <c r="C5" i="5"/>
  <c r="J5" i="5" s="1"/>
  <c r="D5" i="5"/>
  <c r="E5" i="5"/>
  <c r="F5" i="5"/>
  <c r="G5" i="5"/>
  <c r="H5" i="5"/>
  <c r="I5" i="5"/>
  <c r="S5" i="5"/>
  <c r="B6" i="5"/>
  <c r="P6" i="5" s="1"/>
  <c r="C6" i="5"/>
  <c r="N6" i="5" s="1"/>
  <c r="D6" i="5"/>
  <c r="E6" i="5"/>
  <c r="F6" i="5"/>
  <c r="G6" i="5"/>
  <c r="H6" i="5"/>
  <c r="I6" i="5"/>
  <c r="S6" i="5"/>
  <c r="B7" i="5"/>
  <c r="Q7" i="5" s="1" a="1"/>
  <c r="Q7" i="5" s="1"/>
  <c r="C7" i="5"/>
  <c r="L7" i="5" s="1"/>
  <c r="D7" i="5"/>
  <c r="E7" i="5"/>
  <c r="F7" i="5"/>
  <c r="G7" i="5"/>
  <c r="H7" i="5"/>
  <c r="I7" i="5"/>
  <c r="S7" i="5"/>
  <c r="B8" i="5"/>
  <c r="P8" i="5" s="1"/>
  <c r="C8" i="5"/>
  <c r="N8" i="5" s="1"/>
  <c r="D8" i="5"/>
  <c r="E8" i="5"/>
  <c r="F8" i="5"/>
  <c r="G8" i="5"/>
  <c r="H8" i="5"/>
  <c r="I8" i="5"/>
  <c r="S8" i="5"/>
  <c r="B9" i="5"/>
  <c r="R9" i="5" s="1" a="1"/>
  <c r="R9" i="5" s="1"/>
  <c r="C9" i="5"/>
  <c r="K9" i="5" s="1"/>
  <c r="D9" i="5"/>
  <c r="E9" i="5"/>
  <c r="F9" i="5"/>
  <c r="G9" i="5"/>
  <c r="H9" i="5"/>
  <c r="I9" i="5"/>
  <c r="S9" i="5"/>
  <c r="B10" i="5"/>
  <c r="C10" i="5"/>
  <c r="O10" i="5" s="1"/>
  <c r="D10" i="5"/>
  <c r="E10" i="5"/>
  <c r="F10" i="5"/>
  <c r="G10" i="5"/>
  <c r="H10" i="5"/>
  <c r="I10" i="5"/>
  <c r="S10" i="5"/>
  <c r="B11" i="5"/>
  <c r="P11" i="5" s="1"/>
  <c r="C11" i="5"/>
  <c r="L11" i="5" s="1"/>
  <c r="D11" i="5"/>
  <c r="E11" i="5"/>
  <c r="F11" i="5"/>
  <c r="G11" i="5"/>
  <c r="H11" i="5"/>
  <c r="I11" i="5"/>
  <c r="S11" i="5"/>
  <c r="B12" i="5"/>
  <c r="P12" i="5" s="1"/>
  <c r="C12" i="5"/>
  <c r="D12" i="5"/>
  <c r="E12" i="5"/>
  <c r="F12" i="5"/>
  <c r="G12" i="5"/>
  <c r="H12" i="5"/>
  <c r="I12" i="5"/>
  <c r="S12" i="5"/>
  <c r="B13" i="5"/>
  <c r="C13" i="5"/>
  <c r="D13" i="5"/>
  <c r="E13" i="5"/>
  <c r="F13" i="5"/>
  <c r="G13" i="5"/>
  <c r="H13" i="5"/>
  <c r="I13" i="5"/>
  <c r="S13" i="5"/>
  <c r="B14" i="5"/>
  <c r="P14" i="5" s="1"/>
  <c r="C14" i="5"/>
  <c r="D14" i="5"/>
  <c r="E14" i="5"/>
  <c r="F14" i="5"/>
  <c r="G14" i="5"/>
  <c r="H14" i="5"/>
  <c r="I14" i="5"/>
  <c r="S14" i="5"/>
  <c r="B15" i="5"/>
  <c r="P15" i="5" s="1"/>
  <c r="C15" i="5"/>
  <c r="L15" i="5" s="1"/>
  <c r="D15" i="5"/>
  <c r="E15" i="5"/>
  <c r="F15" i="5"/>
  <c r="G15" i="5"/>
  <c r="H15" i="5"/>
  <c r="I15" i="5"/>
  <c r="S15" i="5"/>
  <c r="B16" i="5"/>
  <c r="P16" i="5" s="1"/>
  <c r="C16" i="5"/>
  <c r="J16" i="5" s="1"/>
  <c r="D16" i="5"/>
  <c r="E16" i="5"/>
  <c r="F16" i="5"/>
  <c r="G16" i="5"/>
  <c r="H16" i="5"/>
  <c r="I16" i="5"/>
  <c r="S16" i="5"/>
  <c r="B17" i="5"/>
  <c r="C17" i="5"/>
  <c r="K17" i="5" s="1"/>
  <c r="D17" i="5"/>
  <c r="E17" i="5"/>
  <c r="F17" i="5"/>
  <c r="G17" i="5"/>
  <c r="H17" i="5"/>
  <c r="I17" i="5"/>
  <c r="S17" i="5"/>
  <c r="B18" i="5"/>
  <c r="R18" i="5" s="1" a="1"/>
  <c r="R18" i="5" s="1"/>
  <c r="C18" i="5"/>
  <c r="N18" i="5" s="1"/>
  <c r="D18" i="5"/>
  <c r="E18" i="5"/>
  <c r="F18" i="5"/>
  <c r="G18" i="5"/>
  <c r="H18" i="5"/>
  <c r="I18" i="5"/>
  <c r="S18" i="5"/>
  <c r="B19" i="5"/>
  <c r="P19" i="5" s="1"/>
  <c r="C19" i="5"/>
  <c r="O19" i="5" s="1"/>
  <c r="D19" i="5"/>
  <c r="E19" i="5"/>
  <c r="F19" i="5"/>
  <c r="G19" i="5"/>
  <c r="H19" i="5"/>
  <c r="I19" i="5"/>
  <c r="S19" i="5"/>
  <c r="B20" i="5"/>
  <c r="P20" i="5" s="1"/>
  <c r="C20" i="5"/>
  <c r="L20" i="5" s="1"/>
  <c r="D20" i="5"/>
  <c r="E20" i="5"/>
  <c r="F20" i="5"/>
  <c r="G20" i="5"/>
  <c r="H20" i="5"/>
  <c r="I20" i="5"/>
  <c r="S20" i="5"/>
  <c r="B21" i="5"/>
  <c r="R21" i="5" s="1" a="1"/>
  <c r="R21" i="5" s="1"/>
  <c r="C21" i="5"/>
  <c r="K21" i="5" s="1"/>
  <c r="D21" i="5"/>
  <c r="E21" i="5"/>
  <c r="F21" i="5"/>
  <c r="G21" i="5"/>
  <c r="H21" i="5"/>
  <c r="I21" i="5"/>
  <c r="S21" i="5"/>
  <c r="B22" i="5"/>
  <c r="P22" i="5" s="1"/>
  <c r="C22" i="5"/>
  <c r="K22" i="5" s="1"/>
  <c r="D22" i="5"/>
  <c r="E22" i="5"/>
  <c r="F22" i="5"/>
  <c r="G22" i="5"/>
  <c r="H22" i="5"/>
  <c r="I22" i="5"/>
  <c r="S22" i="5"/>
  <c r="B23" i="5"/>
  <c r="P23" i="5" s="1"/>
  <c r="C23" i="5"/>
  <c r="L23" i="5" s="1"/>
  <c r="D23" i="5"/>
  <c r="E23" i="5"/>
  <c r="F23" i="5"/>
  <c r="G23" i="5"/>
  <c r="H23" i="5"/>
  <c r="I23" i="5"/>
  <c r="S23" i="5"/>
  <c r="B24" i="5"/>
  <c r="Q24" i="5" s="1" a="1"/>
  <c r="Q24" i="5" s="1"/>
  <c r="C24" i="5"/>
  <c r="L24" i="5" s="1"/>
  <c r="D24" i="5"/>
  <c r="E24" i="5"/>
  <c r="F24" i="5"/>
  <c r="G24" i="5"/>
  <c r="H24" i="5"/>
  <c r="I24" i="5"/>
  <c r="S24" i="5"/>
  <c r="B25" i="5"/>
  <c r="P25" i="5" s="1"/>
  <c r="C25" i="5"/>
  <c r="D25" i="5"/>
  <c r="E25" i="5"/>
  <c r="F25" i="5"/>
  <c r="G25" i="5"/>
  <c r="H25" i="5"/>
  <c r="I25" i="5"/>
  <c r="S25" i="5"/>
  <c r="B26" i="5"/>
  <c r="Q26" i="5" s="1" a="1"/>
  <c r="Q26" i="5" s="1"/>
  <c r="C26" i="5"/>
  <c r="K26" i="5" s="1"/>
  <c r="D26" i="5"/>
  <c r="E26" i="5"/>
  <c r="F26" i="5"/>
  <c r="G26" i="5"/>
  <c r="H26" i="5"/>
  <c r="I26" i="5"/>
  <c r="S26" i="5"/>
  <c r="B27" i="5"/>
  <c r="P27" i="5" s="1"/>
  <c r="C27" i="5"/>
  <c r="J27" i="5" s="1"/>
  <c r="D27" i="5"/>
  <c r="E27" i="5"/>
  <c r="F27" i="5"/>
  <c r="G27" i="5"/>
  <c r="H27" i="5"/>
  <c r="I27" i="5"/>
  <c r="S27" i="5"/>
  <c r="B28" i="5"/>
  <c r="C28" i="5"/>
  <c r="L28" i="5" s="1"/>
  <c r="D28" i="5"/>
  <c r="E28" i="5"/>
  <c r="F28" i="5"/>
  <c r="G28" i="5"/>
  <c r="H28" i="5"/>
  <c r="I28" i="5"/>
  <c r="S28" i="5"/>
  <c r="B29" i="5"/>
  <c r="P29" i="5" s="1"/>
  <c r="C29" i="5"/>
  <c r="J29" i="5" s="1"/>
  <c r="D29" i="5"/>
  <c r="E29" i="5"/>
  <c r="F29" i="5"/>
  <c r="G29" i="5"/>
  <c r="H29" i="5"/>
  <c r="I29" i="5"/>
  <c r="S29" i="5"/>
  <c r="B30" i="5"/>
  <c r="Q30" i="5" s="1" a="1"/>
  <c r="Q30" i="5" s="1"/>
  <c r="C30" i="5"/>
  <c r="K30" i="5" s="1"/>
  <c r="D30" i="5"/>
  <c r="E30" i="5"/>
  <c r="F30" i="5"/>
  <c r="G30" i="5"/>
  <c r="H30" i="5"/>
  <c r="I30" i="5"/>
  <c r="S30" i="5"/>
  <c r="B31" i="5"/>
  <c r="P31" i="5" s="1"/>
  <c r="C31" i="5"/>
  <c r="N31" i="5" s="1"/>
  <c r="D31" i="5"/>
  <c r="E31" i="5"/>
  <c r="F31" i="5"/>
  <c r="G31" i="5"/>
  <c r="H31" i="5"/>
  <c r="I31" i="5"/>
  <c r="S31" i="5"/>
  <c r="B32" i="5"/>
  <c r="P32" i="5" s="1"/>
  <c r="C32" i="5"/>
  <c r="L32" i="5" s="1"/>
  <c r="D32" i="5"/>
  <c r="E32" i="5"/>
  <c r="F32" i="5"/>
  <c r="G32" i="5"/>
  <c r="H32" i="5"/>
  <c r="I32" i="5"/>
  <c r="S32" i="5"/>
  <c r="B33" i="5"/>
  <c r="Q33" i="5" s="1" a="1"/>
  <c r="Q33" i="5" s="1"/>
  <c r="C33" i="5"/>
  <c r="L33" i="5" s="1"/>
  <c r="D33" i="5"/>
  <c r="E33" i="5"/>
  <c r="F33" i="5"/>
  <c r="G33" i="5"/>
  <c r="H33" i="5"/>
  <c r="I33" i="5"/>
  <c r="S33" i="5"/>
  <c r="B34" i="5"/>
  <c r="P34" i="5" s="1"/>
  <c r="C34" i="5"/>
  <c r="J34" i="5" s="1"/>
  <c r="D34" i="5"/>
  <c r="E34" i="5"/>
  <c r="F34" i="5"/>
  <c r="G34" i="5"/>
  <c r="H34" i="5"/>
  <c r="I34" i="5"/>
  <c r="S34" i="5"/>
  <c r="B35" i="5"/>
  <c r="P35" i="5" s="1"/>
  <c r="C35" i="5"/>
  <c r="D35" i="5"/>
  <c r="E35" i="5"/>
  <c r="F35" i="5"/>
  <c r="G35" i="5"/>
  <c r="H35" i="5"/>
  <c r="I35" i="5"/>
  <c r="S35" i="5"/>
  <c r="B36" i="5"/>
  <c r="P36" i="5" s="1"/>
  <c r="C36" i="5"/>
  <c r="L36" i="5" s="1"/>
  <c r="D36" i="5"/>
  <c r="E36" i="5"/>
  <c r="F36" i="5"/>
  <c r="G36" i="5"/>
  <c r="H36" i="5"/>
  <c r="I36" i="5"/>
  <c r="S36" i="5"/>
  <c r="B37" i="5"/>
  <c r="Q37" i="5" s="1" a="1"/>
  <c r="Q37" i="5" s="1"/>
  <c r="C37" i="5"/>
  <c r="L37" i="5" s="1"/>
  <c r="D37" i="5"/>
  <c r="E37" i="5"/>
  <c r="F37" i="5"/>
  <c r="G37" i="5"/>
  <c r="H37" i="5"/>
  <c r="I37" i="5"/>
  <c r="S37" i="5"/>
  <c r="B38" i="5"/>
  <c r="P38" i="5" s="1"/>
  <c r="C38" i="5"/>
  <c r="M38" i="5" s="1"/>
  <c r="D38" i="5"/>
  <c r="E38" i="5"/>
  <c r="F38" i="5"/>
  <c r="G38" i="5"/>
  <c r="H38" i="5"/>
  <c r="I38" i="5"/>
  <c r="S38" i="5"/>
  <c r="B39" i="5"/>
  <c r="P39" i="5" s="1"/>
  <c r="C39" i="5"/>
  <c r="J39" i="5" s="1"/>
  <c r="D39" i="5"/>
  <c r="E39" i="5"/>
  <c r="F39" i="5"/>
  <c r="G39" i="5"/>
  <c r="H39" i="5"/>
  <c r="I39" i="5"/>
  <c r="S39" i="5"/>
  <c r="B40" i="5"/>
  <c r="P40" i="5" s="1"/>
  <c r="C40" i="5"/>
  <c r="L40" i="5" s="1"/>
  <c r="D40" i="5"/>
  <c r="E40" i="5"/>
  <c r="F40" i="5"/>
  <c r="G40" i="5"/>
  <c r="H40" i="5"/>
  <c r="I40" i="5"/>
  <c r="S40" i="5"/>
  <c r="B41" i="5"/>
  <c r="P41" i="5" s="1"/>
  <c r="C41" i="5"/>
  <c r="L41" i="5" s="1"/>
  <c r="D41" i="5"/>
  <c r="E41" i="5"/>
  <c r="F41" i="5"/>
  <c r="G41" i="5"/>
  <c r="H41" i="5"/>
  <c r="I41" i="5"/>
  <c r="S41" i="5"/>
  <c r="B42" i="5"/>
  <c r="C42" i="5"/>
  <c r="L42" i="5" s="1"/>
  <c r="D42" i="5"/>
  <c r="E42" i="5"/>
  <c r="F42" i="5"/>
  <c r="G42" i="5"/>
  <c r="H42" i="5"/>
  <c r="I42" i="5"/>
  <c r="S42" i="5"/>
  <c r="B43" i="5"/>
  <c r="P43" i="5" s="1"/>
  <c r="C43" i="5"/>
  <c r="J43" i="5" s="1"/>
  <c r="D43" i="5"/>
  <c r="E43" i="5"/>
  <c r="F43" i="5"/>
  <c r="G43" i="5"/>
  <c r="H43" i="5"/>
  <c r="I43" i="5"/>
  <c r="S43" i="5"/>
  <c r="B44" i="5"/>
  <c r="P44" i="5" s="1"/>
  <c r="C44" i="5"/>
  <c r="L44" i="5" s="1"/>
  <c r="D44" i="5"/>
  <c r="E44" i="5"/>
  <c r="F44" i="5"/>
  <c r="G44" i="5"/>
  <c r="H44" i="5"/>
  <c r="I44" i="5"/>
  <c r="S44" i="5"/>
  <c r="B45" i="5"/>
  <c r="P45" i="5" s="1"/>
  <c r="C45" i="5"/>
  <c r="L45" i="5" s="1"/>
  <c r="D45" i="5"/>
  <c r="E45" i="5"/>
  <c r="F45" i="5"/>
  <c r="G45" i="5"/>
  <c r="H45" i="5"/>
  <c r="I45" i="5"/>
  <c r="S45" i="5"/>
  <c r="B46" i="5"/>
  <c r="P46" i="5" s="1"/>
  <c r="C46" i="5"/>
  <c r="J46" i="5" s="1"/>
  <c r="D46" i="5"/>
  <c r="E46" i="5"/>
  <c r="F46" i="5"/>
  <c r="G46" i="5"/>
  <c r="H46" i="5"/>
  <c r="I46" i="5"/>
  <c r="S46" i="5"/>
  <c r="B47" i="5"/>
  <c r="R47" i="5" s="1" a="1"/>
  <c r="R47" i="5" s="1"/>
  <c r="C47" i="5"/>
  <c r="K47" i="5" s="1"/>
  <c r="D47" i="5"/>
  <c r="E47" i="5"/>
  <c r="F47" i="5"/>
  <c r="G47" i="5"/>
  <c r="H47" i="5"/>
  <c r="I47" i="5"/>
  <c r="S47" i="5"/>
  <c r="B48" i="5"/>
  <c r="P48" i="5" s="1"/>
  <c r="C48" i="5"/>
  <c r="O48" i="5" s="1"/>
  <c r="D48" i="5"/>
  <c r="E48" i="5"/>
  <c r="F48" i="5"/>
  <c r="G48" i="5"/>
  <c r="H48" i="5"/>
  <c r="I48" i="5"/>
  <c r="S48" i="5"/>
  <c r="B49" i="5"/>
  <c r="P49" i="5" s="1"/>
  <c r="C49" i="5"/>
  <c r="L49" i="5" s="1"/>
  <c r="D49" i="5"/>
  <c r="E49" i="5"/>
  <c r="F49" i="5"/>
  <c r="G49" i="5"/>
  <c r="H49" i="5"/>
  <c r="I49" i="5"/>
  <c r="S49" i="5"/>
  <c r="B50" i="5"/>
  <c r="P50" i="5" s="1"/>
  <c r="C50" i="5"/>
  <c r="J50" i="5" s="1"/>
  <c r="D50" i="5"/>
  <c r="E50" i="5"/>
  <c r="F50" i="5"/>
  <c r="G50" i="5"/>
  <c r="H50" i="5"/>
  <c r="I50" i="5"/>
  <c r="S50" i="5"/>
  <c r="B51" i="5"/>
  <c r="P51" i="5" s="1"/>
  <c r="C51" i="5"/>
  <c r="J51" i="5" s="1"/>
  <c r="D51" i="5"/>
  <c r="E51" i="5"/>
  <c r="F51" i="5"/>
  <c r="G51" i="5"/>
  <c r="H51" i="5"/>
  <c r="I51" i="5"/>
  <c r="S51" i="5"/>
  <c r="B52" i="5"/>
  <c r="P52" i="5" s="1"/>
  <c r="C52" i="5"/>
  <c r="K52" i="5" s="1"/>
  <c r="D52" i="5"/>
  <c r="E52" i="5"/>
  <c r="F52" i="5"/>
  <c r="G52" i="5"/>
  <c r="H52" i="5"/>
  <c r="I52" i="5"/>
  <c r="S52" i="5"/>
  <c r="B53" i="5"/>
  <c r="P53" i="5" s="1"/>
  <c r="C53" i="5"/>
  <c r="L53" i="5" s="1"/>
  <c r="D53" i="5"/>
  <c r="E53" i="5"/>
  <c r="F53" i="5"/>
  <c r="G53" i="5"/>
  <c r="H53" i="5"/>
  <c r="I53" i="5"/>
  <c r="S53" i="5"/>
  <c r="B54" i="5"/>
  <c r="P54" i="5" s="1"/>
  <c r="C54" i="5"/>
  <c r="L54" i="5" s="1"/>
  <c r="D54" i="5"/>
  <c r="E54" i="5"/>
  <c r="F54" i="5"/>
  <c r="G54" i="5"/>
  <c r="H54" i="5"/>
  <c r="I54" i="5"/>
  <c r="S54" i="5"/>
  <c r="B55" i="5"/>
  <c r="Q55" i="5" s="1" a="1"/>
  <c r="Q55" i="5" s="1"/>
  <c r="C55" i="5"/>
  <c r="J55" i="5" s="1"/>
  <c r="D55" i="5"/>
  <c r="E55" i="5"/>
  <c r="F55" i="5"/>
  <c r="G55" i="5"/>
  <c r="H55" i="5"/>
  <c r="I55" i="5"/>
  <c r="S55" i="5"/>
  <c r="B56" i="5"/>
  <c r="P56" i="5" s="1"/>
  <c r="C56" i="5"/>
  <c r="D56" i="5"/>
  <c r="E56" i="5"/>
  <c r="F56" i="5"/>
  <c r="G56" i="5"/>
  <c r="H56" i="5"/>
  <c r="I56" i="5"/>
  <c r="S56" i="5"/>
  <c r="B57" i="5"/>
  <c r="R57" i="5" s="1" a="1"/>
  <c r="R57" i="5" s="1"/>
  <c r="C57" i="5"/>
  <c r="L57" i="5" s="1"/>
  <c r="D57" i="5"/>
  <c r="E57" i="5"/>
  <c r="F57" i="5"/>
  <c r="G57" i="5"/>
  <c r="H57" i="5"/>
  <c r="I57" i="5"/>
  <c r="S57" i="5"/>
  <c r="B58" i="5"/>
  <c r="Q58" i="5" s="1" a="1"/>
  <c r="Q58" i="5" s="1"/>
  <c r="C58" i="5"/>
  <c r="O58" i="5" s="1"/>
  <c r="D58" i="5"/>
  <c r="E58" i="5"/>
  <c r="F58" i="5"/>
  <c r="G58" i="5"/>
  <c r="H58" i="5"/>
  <c r="I58" i="5"/>
  <c r="S58" i="5"/>
  <c r="B59" i="5"/>
  <c r="P59" i="5" s="1"/>
  <c r="C59" i="5"/>
  <c r="K59" i="5" s="1"/>
  <c r="D59" i="5"/>
  <c r="E59" i="5"/>
  <c r="F59" i="5"/>
  <c r="G59" i="5"/>
  <c r="H59" i="5"/>
  <c r="I59" i="5"/>
  <c r="S59" i="5"/>
  <c r="B60" i="5"/>
  <c r="P60" i="5" s="1"/>
  <c r="C60" i="5"/>
  <c r="J60" i="5" s="1"/>
  <c r="D60" i="5"/>
  <c r="E60" i="5"/>
  <c r="F60" i="5"/>
  <c r="G60" i="5"/>
  <c r="H60" i="5"/>
  <c r="I60" i="5"/>
  <c r="B61" i="5"/>
  <c r="P61" i="5" s="1"/>
  <c r="C61" i="5"/>
  <c r="D61" i="5"/>
  <c r="E61" i="5"/>
  <c r="F61" i="5"/>
  <c r="G61" i="5"/>
  <c r="H61" i="5"/>
  <c r="I61" i="5"/>
  <c r="S61" i="5"/>
  <c r="B62" i="5"/>
  <c r="R62" i="5" s="1" a="1"/>
  <c r="R62" i="5" s="1"/>
  <c r="C62" i="5"/>
  <c r="K62" i="5" s="1"/>
  <c r="D62" i="5"/>
  <c r="E62" i="5"/>
  <c r="F62" i="5"/>
  <c r="G62" i="5"/>
  <c r="H62" i="5"/>
  <c r="I62" i="5"/>
  <c r="S62" i="5"/>
  <c r="B63" i="5"/>
  <c r="C63" i="5"/>
  <c r="N63" i="5" s="1"/>
  <c r="D63" i="5"/>
  <c r="E63" i="5"/>
  <c r="F63" i="5"/>
  <c r="G63" i="5"/>
  <c r="H63" i="5"/>
  <c r="I63" i="5"/>
  <c r="S63" i="5"/>
  <c r="B64" i="5"/>
  <c r="P64" i="5" s="1"/>
  <c r="C64" i="5"/>
  <c r="K64" i="5" s="1"/>
  <c r="D64" i="5"/>
  <c r="E64" i="5"/>
  <c r="F64" i="5"/>
  <c r="G64" i="5"/>
  <c r="H64" i="5"/>
  <c r="I64" i="5"/>
  <c r="S64" i="5"/>
  <c r="B65" i="5"/>
  <c r="P65" i="5" s="1"/>
  <c r="C65" i="5"/>
  <c r="D65" i="5"/>
  <c r="E65" i="5"/>
  <c r="F65" i="5"/>
  <c r="G65" i="5"/>
  <c r="H65" i="5"/>
  <c r="I65" i="5"/>
  <c r="S65" i="5"/>
  <c r="B66" i="5"/>
  <c r="R66" i="5" s="1" a="1"/>
  <c r="R66" i="5" s="1"/>
  <c r="C66" i="5"/>
  <c r="J66" i="5" s="1"/>
  <c r="D66" i="5"/>
  <c r="E66" i="5"/>
  <c r="F66" i="5"/>
  <c r="G66" i="5"/>
  <c r="H66" i="5"/>
  <c r="I66" i="5"/>
  <c r="S66" i="5"/>
  <c r="B67" i="5"/>
  <c r="C67" i="5"/>
  <c r="N67" i="5" s="1"/>
  <c r="D67" i="5"/>
  <c r="E67" i="5"/>
  <c r="F67" i="5"/>
  <c r="G67" i="5"/>
  <c r="H67" i="5"/>
  <c r="I67" i="5"/>
  <c r="S67" i="5"/>
  <c r="B68" i="5"/>
  <c r="Q68" i="5" s="1" a="1"/>
  <c r="Q68" i="5" s="1"/>
  <c r="C68" i="5"/>
  <c r="L68" i="5" s="1"/>
  <c r="D68" i="5"/>
  <c r="E68" i="5"/>
  <c r="F68" i="5"/>
  <c r="G68" i="5"/>
  <c r="H68" i="5"/>
  <c r="I68" i="5"/>
  <c r="S68" i="5"/>
  <c r="B69" i="5"/>
  <c r="C69" i="5"/>
  <c r="J69" i="5" s="1"/>
  <c r="D69" i="5"/>
  <c r="E69" i="5"/>
  <c r="F69" i="5"/>
  <c r="G69" i="5"/>
  <c r="H69" i="5"/>
  <c r="I69" i="5"/>
  <c r="S69" i="5"/>
  <c r="B70" i="5"/>
  <c r="R70" i="5" s="1" a="1"/>
  <c r="R70" i="5" s="1"/>
  <c r="C70" i="5"/>
  <c r="D70" i="5"/>
  <c r="E70" i="5"/>
  <c r="F70" i="5"/>
  <c r="G70" i="5"/>
  <c r="H70" i="5"/>
  <c r="I70" i="5"/>
  <c r="S70" i="5"/>
  <c r="B71" i="5"/>
  <c r="P71" i="5" s="1"/>
  <c r="C71" i="5"/>
  <c r="J71" i="5" s="1"/>
  <c r="D71" i="5"/>
  <c r="E71" i="5"/>
  <c r="F71" i="5"/>
  <c r="G71" i="5"/>
  <c r="H71" i="5"/>
  <c r="I71" i="5"/>
  <c r="S71" i="5"/>
  <c r="B72" i="5"/>
  <c r="C72" i="5"/>
  <c r="L72" i="5" s="1"/>
  <c r="D72" i="5"/>
  <c r="E72" i="5"/>
  <c r="F72" i="5"/>
  <c r="G72" i="5"/>
  <c r="H72" i="5"/>
  <c r="I72" i="5"/>
  <c r="S72" i="5"/>
  <c r="B73" i="5"/>
  <c r="P73" i="5" s="1"/>
  <c r="C73" i="5"/>
  <c r="K73" i="5" s="1"/>
  <c r="D73" i="5"/>
  <c r="E73" i="5"/>
  <c r="F73" i="5"/>
  <c r="G73" i="5"/>
  <c r="H73" i="5"/>
  <c r="I73" i="5"/>
  <c r="S73" i="5"/>
  <c r="B74" i="5"/>
  <c r="P74" i="5" s="1"/>
  <c r="C74" i="5"/>
  <c r="J74" i="5" s="1"/>
  <c r="D74" i="5"/>
  <c r="E74" i="5"/>
  <c r="F74" i="5"/>
  <c r="G74" i="5"/>
  <c r="H74" i="5"/>
  <c r="I74" i="5"/>
  <c r="S74" i="5"/>
  <c r="B75" i="5"/>
  <c r="R75" i="5" s="1" a="1"/>
  <c r="R75" i="5" s="1"/>
  <c r="C75" i="5"/>
  <c r="D75" i="5"/>
  <c r="E75" i="5"/>
  <c r="F75" i="5"/>
  <c r="G75" i="5"/>
  <c r="H75" i="5"/>
  <c r="I75" i="5"/>
  <c r="S75" i="5"/>
  <c r="B76" i="5"/>
  <c r="P76" i="5" s="1"/>
  <c r="C76" i="5"/>
  <c r="L76" i="5" s="1"/>
  <c r="D76" i="5"/>
  <c r="E76" i="5"/>
  <c r="F76" i="5"/>
  <c r="G76" i="5"/>
  <c r="H76" i="5"/>
  <c r="I76" i="5"/>
  <c r="S76" i="5"/>
  <c r="B77" i="5"/>
  <c r="C77" i="5"/>
  <c r="N77" i="5" s="1"/>
  <c r="D77" i="5"/>
  <c r="E77" i="5"/>
  <c r="F77" i="5"/>
  <c r="G77" i="5"/>
  <c r="H77" i="5"/>
  <c r="I77" i="5"/>
  <c r="S77" i="5"/>
  <c r="B78" i="5"/>
  <c r="P78" i="5" s="1"/>
  <c r="C78" i="5"/>
  <c r="M78" i="5" s="1"/>
  <c r="D78" i="5"/>
  <c r="E78" i="5"/>
  <c r="F78" i="5"/>
  <c r="G78" i="5"/>
  <c r="H78" i="5"/>
  <c r="I78" i="5"/>
  <c r="S78" i="5"/>
  <c r="B79" i="5"/>
  <c r="C79" i="5"/>
  <c r="D79" i="5"/>
  <c r="E79" i="5"/>
  <c r="F79" i="5"/>
  <c r="G79" i="5"/>
  <c r="H79" i="5"/>
  <c r="I79" i="5"/>
  <c r="S79" i="5"/>
  <c r="B80" i="5"/>
  <c r="R80" i="5" s="1" a="1"/>
  <c r="R80" i="5" s="1"/>
  <c r="C80" i="5"/>
  <c r="K80" i="5" s="1"/>
  <c r="D80" i="5"/>
  <c r="E80" i="5"/>
  <c r="F80" i="5"/>
  <c r="G80" i="5"/>
  <c r="H80" i="5"/>
  <c r="I80" i="5"/>
  <c r="S80" i="5"/>
  <c r="B81" i="5"/>
  <c r="R81" i="5" s="1" a="1"/>
  <c r="R81" i="5" s="1"/>
  <c r="C81" i="5"/>
  <c r="J81" i="5" s="1"/>
  <c r="D81" i="5"/>
  <c r="E81" i="5"/>
  <c r="F81" i="5"/>
  <c r="G81" i="5"/>
  <c r="H81" i="5"/>
  <c r="I81" i="5"/>
  <c r="S81" i="5"/>
  <c r="B82" i="5"/>
  <c r="C82" i="5"/>
  <c r="N82" i="5" s="1"/>
  <c r="D82" i="5"/>
  <c r="E82" i="5"/>
  <c r="F82" i="5"/>
  <c r="G82" i="5"/>
  <c r="H82" i="5"/>
  <c r="I82" i="5"/>
  <c r="S82" i="5"/>
  <c r="B83" i="5"/>
  <c r="P83" i="5" s="1"/>
  <c r="C83" i="5"/>
  <c r="J83" i="5" s="1"/>
  <c r="D83" i="5"/>
  <c r="E83" i="5"/>
  <c r="F83" i="5"/>
  <c r="G83" i="5"/>
  <c r="H83" i="5"/>
  <c r="I83" i="5"/>
  <c r="S83" i="5"/>
  <c r="B84" i="5"/>
  <c r="P84" i="5" s="1"/>
  <c r="C84" i="5"/>
  <c r="L84" i="5" s="1"/>
  <c r="D84" i="5"/>
  <c r="E84" i="5"/>
  <c r="F84" i="5"/>
  <c r="G84" i="5"/>
  <c r="H84" i="5"/>
  <c r="I84" i="5"/>
  <c r="S84" i="5"/>
  <c r="B85" i="5"/>
  <c r="C85" i="5"/>
  <c r="L85" i="5" s="1"/>
  <c r="D85" i="5"/>
  <c r="E85" i="5"/>
  <c r="F85" i="5"/>
  <c r="G85" i="5"/>
  <c r="H85" i="5"/>
  <c r="I85" i="5"/>
  <c r="S85" i="5"/>
  <c r="B86" i="5"/>
  <c r="C86" i="5"/>
  <c r="J86" i="5" s="1"/>
  <c r="D86" i="5"/>
  <c r="E86" i="5"/>
  <c r="F86" i="5"/>
  <c r="G86" i="5"/>
  <c r="H86" i="5"/>
  <c r="I86" i="5"/>
  <c r="S86" i="5"/>
  <c r="B87" i="5"/>
  <c r="P87" i="5" s="1"/>
  <c r="C87" i="5"/>
  <c r="N87" i="5" s="1"/>
  <c r="D87" i="5"/>
  <c r="E87" i="5"/>
  <c r="F87" i="5"/>
  <c r="G87" i="5"/>
  <c r="H87" i="5"/>
  <c r="I87" i="5"/>
  <c r="S87" i="5"/>
  <c r="B88" i="5"/>
  <c r="R88" i="5" s="1" a="1"/>
  <c r="R88" i="5" s="1"/>
  <c r="C88" i="5"/>
  <c r="D88" i="5"/>
  <c r="E88" i="5"/>
  <c r="F88" i="5"/>
  <c r="G88" i="5"/>
  <c r="H88" i="5"/>
  <c r="I88" i="5"/>
  <c r="S88" i="5"/>
  <c r="B89" i="5"/>
  <c r="Q89" i="5" s="1" a="1"/>
  <c r="Q89" i="5" s="1"/>
  <c r="C89" i="5"/>
  <c r="J89" i="5" s="1"/>
  <c r="D89" i="5"/>
  <c r="E89" i="5"/>
  <c r="F89" i="5"/>
  <c r="G89" i="5"/>
  <c r="H89" i="5"/>
  <c r="I89" i="5"/>
  <c r="S89" i="5"/>
  <c r="B90" i="5"/>
  <c r="R90" i="5" s="1" a="1"/>
  <c r="R90" i="5" s="1"/>
  <c r="C90" i="5"/>
  <c r="M90" i="5" s="1"/>
  <c r="D90" i="5"/>
  <c r="E90" i="5"/>
  <c r="F90" i="5"/>
  <c r="G90" i="5"/>
  <c r="H90" i="5"/>
  <c r="I90" i="5"/>
  <c r="S90" i="5"/>
  <c r="B91" i="5"/>
  <c r="P91" i="5" s="1"/>
  <c r="C91" i="5"/>
  <c r="K91" i="5" s="1"/>
  <c r="D91" i="5"/>
  <c r="E91" i="5"/>
  <c r="F91" i="5"/>
  <c r="G91" i="5"/>
  <c r="H91" i="5"/>
  <c r="I91" i="5"/>
  <c r="S91" i="5"/>
  <c r="B92" i="5"/>
  <c r="P92" i="5" s="1"/>
  <c r="C92" i="5"/>
  <c r="L92" i="5" s="1"/>
  <c r="D92" i="5"/>
  <c r="E92" i="5"/>
  <c r="F92" i="5"/>
  <c r="G92" i="5"/>
  <c r="H92" i="5"/>
  <c r="I92" i="5"/>
  <c r="S92" i="5"/>
  <c r="B93" i="5"/>
  <c r="C93" i="5"/>
  <c r="D93" i="5"/>
  <c r="E93" i="5"/>
  <c r="F93" i="5"/>
  <c r="G93" i="5"/>
  <c r="H93" i="5"/>
  <c r="I93" i="5"/>
  <c r="S93" i="5"/>
  <c r="B94" i="5"/>
  <c r="P94" i="5" s="1"/>
  <c r="C94" i="5"/>
  <c r="J94" i="5" s="1"/>
  <c r="D94" i="5"/>
  <c r="E94" i="5"/>
  <c r="F94" i="5"/>
  <c r="G94" i="5"/>
  <c r="H94" i="5"/>
  <c r="I94" i="5"/>
  <c r="S94" i="5"/>
  <c r="B95" i="5"/>
  <c r="P95" i="5" s="1"/>
  <c r="C95" i="5"/>
  <c r="M95" i="5" s="1"/>
  <c r="D95" i="5"/>
  <c r="E95" i="5"/>
  <c r="F95" i="5"/>
  <c r="G95" i="5"/>
  <c r="H95" i="5"/>
  <c r="I95" i="5"/>
  <c r="S95" i="5"/>
  <c r="B96" i="5"/>
  <c r="R96" i="5" s="1" a="1"/>
  <c r="R96" i="5" s="1"/>
  <c r="C96" i="5"/>
  <c r="L96" i="5" s="1"/>
  <c r="D96" i="5"/>
  <c r="E96" i="5"/>
  <c r="F96" i="5"/>
  <c r="G96" i="5"/>
  <c r="H96" i="5"/>
  <c r="I96" i="5"/>
  <c r="S96" i="5"/>
  <c r="B97" i="5"/>
  <c r="P97" i="5" s="1"/>
  <c r="C97" i="5"/>
  <c r="N97" i="5" s="1"/>
  <c r="D97" i="5"/>
  <c r="E97" i="5"/>
  <c r="F97" i="5"/>
  <c r="G97" i="5"/>
  <c r="H97" i="5"/>
  <c r="I97" i="5"/>
  <c r="S97" i="5"/>
  <c r="B98" i="5"/>
  <c r="C98" i="5"/>
  <c r="J98" i="5" s="1"/>
  <c r="D98" i="5"/>
  <c r="E98" i="5"/>
  <c r="F98" i="5"/>
  <c r="G98" i="5"/>
  <c r="H98" i="5"/>
  <c r="I98" i="5"/>
  <c r="S98" i="5"/>
  <c r="B99" i="5"/>
  <c r="P99" i="5" s="1"/>
  <c r="C99" i="5"/>
  <c r="J99" i="5" s="1"/>
  <c r="D99" i="5"/>
  <c r="E99" i="5"/>
  <c r="F99" i="5"/>
  <c r="G99" i="5"/>
  <c r="H99" i="5"/>
  <c r="I99" i="5"/>
  <c r="S99" i="5"/>
  <c r="B100" i="5"/>
  <c r="C100" i="5"/>
  <c r="L100" i="5" s="1"/>
  <c r="D100" i="5"/>
  <c r="E100" i="5"/>
  <c r="F100" i="5"/>
  <c r="G100" i="5"/>
  <c r="H100" i="5"/>
  <c r="I100" i="5"/>
  <c r="S100" i="5"/>
  <c r="B101" i="5"/>
  <c r="Q101" i="5" s="1" a="1"/>
  <c r="Q101" i="5" s="1"/>
  <c r="C101" i="5"/>
  <c r="D101" i="5"/>
  <c r="E101" i="5"/>
  <c r="F101" i="5"/>
  <c r="G101" i="5"/>
  <c r="H101" i="5"/>
  <c r="I101" i="5"/>
  <c r="S101" i="5"/>
  <c r="B102" i="5"/>
  <c r="Q102" i="5" s="1" a="1"/>
  <c r="Q102" i="5" s="1"/>
  <c r="C102" i="5"/>
  <c r="D102" i="5"/>
  <c r="E102" i="5"/>
  <c r="F102" i="5"/>
  <c r="G102" i="5"/>
  <c r="H102" i="5"/>
  <c r="I102" i="5"/>
  <c r="S102" i="5"/>
  <c r="B103" i="5"/>
  <c r="P103" i="5" s="1"/>
  <c r="C103" i="5"/>
  <c r="J103" i="5" s="1"/>
  <c r="D103" i="5"/>
  <c r="E103" i="5"/>
  <c r="F103" i="5"/>
  <c r="G103" i="5"/>
  <c r="H103" i="5"/>
  <c r="I103" i="5"/>
  <c r="S103" i="5"/>
  <c r="B104" i="5"/>
  <c r="Q104" i="5" s="1" a="1"/>
  <c r="Q104" i="5" s="1"/>
  <c r="C104" i="5"/>
  <c r="J104" i="5" s="1"/>
  <c r="D104" i="5"/>
  <c r="E104" i="5"/>
  <c r="F104" i="5"/>
  <c r="G104" i="5"/>
  <c r="H104" i="5"/>
  <c r="I104" i="5"/>
  <c r="S104" i="5"/>
  <c r="B105" i="5"/>
  <c r="C105" i="5"/>
  <c r="M105" i="5" s="1"/>
  <c r="D105" i="5"/>
  <c r="E105" i="5"/>
  <c r="F105" i="5"/>
  <c r="G105" i="5"/>
  <c r="H105" i="5"/>
  <c r="I105" i="5"/>
  <c r="S105" i="5"/>
  <c r="B106" i="5"/>
  <c r="Q106" i="5" s="1" a="1"/>
  <c r="Q106" i="5" s="1"/>
  <c r="C106" i="5"/>
  <c r="L106" i="5" s="1"/>
  <c r="D106" i="5"/>
  <c r="E106" i="5"/>
  <c r="F106" i="5"/>
  <c r="G106" i="5"/>
  <c r="H106" i="5"/>
  <c r="I106" i="5"/>
  <c r="S106" i="5"/>
  <c r="B107" i="5"/>
  <c r="P107" i="5" s="1"/>
  <c r="C107" i="5"/>
  <c r="K107" i="5" s="1"/>
  <c r="D107" i="5"/>
  <c r="E107" i="5"/>
  <c r="F107" i="5"/>
  <c r="G107" i="5"/>
  <c r="H107" i="5"/>
  <c r="I107" i="5"/>
  <c r="S107" i="5"/>
  <c r="B108" i="5"/>
  <c r="C108" i="5"/>
  <c r="D108" i="5"/>
  <c r="E108" i="5"/>
  <c r="F108" i="5"/>
  <c r="G108" i="5"/>
  <c r="H108" i="5"/>
  <c r="I108" i="5"/>
  <c r="S108" i="5"/>
  <c r="B109" i="5"/>
  <c r="P109" i="5" s="1"/>
  <c r="C109" i="5"/>
  <c r="N109" i="5" s="1"/>
  <c r="D109" i="5"/>
  <c r="E109" i="5"/>
  <c r="F109" i="5"/>
  <c r="G109" i="5"/>
  <c r="H109" i="5"/>
  <c r="I109" i="5"/>
  <c r="S109" i="5"/>
  <c r="B110" i="5"/>
  <c r="R110" i="5" s="1" a="1"/>
  <c r="R110" i="5" s="1"/>
  <c r="C110" i="5"/>
  <c r="M110" i="5" s="1"/>
  <c r="D110" i="5"/>
  <c r="E110" i="5"/>
  <c r="F110" i="5"/>
  <c r="G110" i="5"/>
  <c r="H110" i="5"/>
  <c r="I110" i="5"/>
  <c r="S110" i="5"/>
  <c r="B111" i="5"/>
  <c r="P111" i="5" s="1"/>
  <c r="C111" i="5"/>
  <c r="L111" i="5" s="1"/>
  <c r="D111" i="5"/>
  <c r="E111" i="5"/>
  <c r="F111" i="5"/>
  <c r="G111" i="5"/>
  <c r="H111" i="5"/>
  <c r="I111" i="5"/>
  <c r="S111" i="5"/>
  <c r="B112" i="5"/>
  <c r="P112" i="5" s="1"/>
  <c r="C112" i="5"/>
  <c r="K112" i="5" s="1"/>
  <c r="D112" i="5"/>
  <c r="E112" i="5"/>
  <c r="F112" i="5"/>
  <c r="G112" i="5"/>
  <c r="H112" i="5"/>
  <c r="I112" i="5"/>
  <c r="S112" i="5"/>
  <c r="B113" i="5"/>
  <c r="C113" i="5"/>
  <c r="J113" i="5" s="1"/>
  <c r="D113" i="5"/>
  <c r="E113" i="5"/>
  <c r="F113" i="5"/>
  <c r="G113" i="5"/>
  <c r="H113" i="5"/>
  <c r="I113" i="5"/>
  <c r="S113" i="5"/>
  <c r="B114" i="5"/>
  <c r="C114" i="5"/>
  <c r="D114" i="5"/>
  <c r="E114" i="5"/>
  <c r="F114" i="5"/>
  <c r="G114" i="5"/>
  <c r="H114" i="5"/>
  <c r="I114" i="5"/>
  <c r="S114" i="5"/>
  <c r="B115" i="5"/>
  <c r="R115" i="5" s="1" a="1"/>
  <c r="R115" i="5" s="1"/>
  <c r="C115" i="5"/>
  <c r="D115" i="5"/>
  <c r="E115" i="5"/>
  <c r="F115" i="5"/>
  <c r="G115" i="5"/>
  <c r="H115" i="5"/>
  <c r="I115" i="5"/>
  <c r="S115" i="5"/>
  <c r="B116" i="5"/>
  <c r="R116" i="5" s="1" a="1"/>
  <c r="R116" i="5" s="1"/>
  <c r="C116" i="5"/>
  <c r="J116" i="5" s="1"/>
  <c r="D116" i="5"/>
  <c r="E116" i="5"/>
  <c r="F116" i="5"/>
  <c r="G116" i="5"/>
  <c r="H116" i="5"/>
  <c r="I116" i="5"/>
  <c r="S116" i="5"/>
  <c r="B117" i="5"/>
  <c r="P117" i="5" s="1"/>
  <c r="C117" i="5"/>
  <c r="D117" i="5"/>
  <c r="E117" i="5"/>
  <c r="F117" i="5"/>
  <c r="G117" i="5"/>
  <c r="H117" i="5"/>
  <c r="I117" i="5"/>
  <c r="S117" i="5"/>
  <c r="B118" i="5"/>
  <c r="P118" i="5" s="1"/>
  <c r="C118" i="5"/>
  <c r="L118" i="5" s="1"/>
  <c r="D118" i="5"/>
  <c r="E118" i="5"/>
  <c r="F118" i="5"/>
  <c r="G118" i="5"/>
  <c r="H118" i="5"/>
  <c r="I118" i="5"/>
  <c r="S118" i="5"/>
  <c r="B119" i="5"/>
  <c r="P119" i="5" s="1"/>
  <c r="C119" i="5"/>
  <c r="J119" i="5" s="1"/>
  <c r="D119" i="5"/>
  <c r="E119" i="5"/>
  <c r="F119" i="5"/>
  <c r="G119" i="5"/>
  <c r="H119" i="5"/>
  <c r="I119" i="5"/>
  <c r="S119" i="5"/>
  <c r="B120" i="5"/>
  <c r="R120" i="5" s="1" a="1"/>
  <c r="R120" i="5" s="1"/>
  <c r="C120" i="5"/>
  <c r="O120" i="5" s="1"/>
  <c r="D120" i="5"/>
  <c r="E120" i="5"/>
  <c r="F120" i="5"/>
  <c r="G120" i="5"/>
  <c r="H120" i="5"/>
  <c r="I120" i="5"/>
  <c r="S120" i="5"/>
  <c r="B121" i="5"/>
  <c r="C121" i="5"/>
  <c r="O121" i="5" s="1"/>
  <c r="D121" i="5"/>
  <c r="E121" i="5"/>
  <c r="F121" i="5"/>
  <c r="G121" i="5"/>
  <c r="H121" i="5"/>
  <c r="I121" i="5"/>
  <c r="S121" i="5"/>
  <c r="B122" i="5"/>
  <c r="R122" i="5" s="1" a="1"/>
  <c r="R122" i="5" s="1"/>
  <c r="C122" i="5"/>
  <c r="M122" i="5" s="1"/>
  <c r="D122" i="5"/>
  <c r="E122" i="5"/>
  <c r="F122" i="5"/>
  <c r="G122" i="5"/>
  <c r="H122" i="5"/>
  <c r="I122" i="5"/>
  <c r="S122" i="5"/>
  <c r="B123" i="5"/>
  <c r="C123" i="5"/>
  <c r="J123" i="5" s="1"/>
  <c r="D123" i="5"/>
  <c r="E123" i="5"/>
  <c r="F123" i="5"/>
  <c r="G123" i="5"/>
  <c r="H123" i="5"/>
  <c r="I123" i="5"/>
  <c r="S123" i="5"/>
  <c r="B124" i="5"/>
  <c r="C124" i="5"/>
  <c r="K124" i="5" s="1"/>
  <c r="D124" i="5"/>
  <c r="E124" i="5"/>
  <c r="F124" i="5"/>
  <c r="G124" i="5"/>
  <c r="H124" i="5"/>
  <c r="I124" i="5"/>
  <c r="S124" i="5"/>
  <c r="B125" i="5"/>
  <c r="P125" i="5" s="1"/>
  <c r="C125" i="5"/>
  <c r="J125" i="5" s="1"/>
  <c r="D125" i="5"/>
  <c r="E125" i="5"/>
  <c r="F125" i="5"/>
  <c r="G125" i="5"/>
  <c r="H125" i="5"/>
  <c r="I125" i="5"/>
  <c r="S125" i="5"/>
  <c r="B126" i="5"/>
  <c r="Q126" i="5" s="1" a="1"/>
  <c r="Q126" i="5" s="1"/>
  <c r="C126" i="5"/>
  <c r="D126" i="5"/>
  <c r="E126" i="5"/>
  <c r="F126" i="5"/>
  <c r="G126" i="5"/>
  <c r="H126" i="5"/>
  <c r="I126" i="5"/>
  <c r="S126" i="5"/>
  <c r="B127" i="5"/>
  <c r="C127" i="5"/>
  <c r="O127" i="5" s="1"/>
  <c r="D127" i="5"/>
  <c r="E127" i="5"/>
  <c r="F127" i="5"/>
  <c r="G127" i="5"/>
  <c r="H127" i="5"/>
  <c r="I127" i="5"/>
  <c r="S127" i="5"/>
  <c r="B128" i="5"/>
  <c r="C128" i="5"/>
  <c r="L128" i="5" s="1"/>
  <c r="D128" i="5"/>
  <c r="E128" i="5"/>
  <c r="F128" i="5"/>
  <c r="G128" i="5"/>
  <c r="H128" i="5"/>
  <c r="I128" i="5"/>
  <c r="S128" i="5"/>
  <c r="B129" i="5"/>
  <c r="P129" i="5" s="1"/>
  <c r="C129" i="5"/>
  <c r="O129" i="5" s="1"/>
  <c r="D129" i="5"/>
  <c r="E129" i="5"/>
  <c r="F129" i="5"/>
  <c r="G129" i="5"/>
  <c r="H129" i="5"/>
  <c r="I129" i="5"/>
  <c r="S129" i="5"/>
  <c r="B130" i="5"/>
  <c r="R130" i="5" s="1" a="1"/>
  <c r="R130" i="5" s="1"/>
  <c r="C130" i="5"/>
  <c r="K130" i="5" s="1"/>
  <c r="D130" i="5"/>
  <c r="E130" i="5"/>
  <c r="F130" i="5"/>
  <c r="G130" i="5"/>
  <c r="H130" i="5"/>
  <c r="I130" i="5"/>
  <c r="S130" i="5"/>
  <c r="B131" i="5"/>
  <c r="R131" i="5" s="1" a="1"/>
  <c r="R131" i="5" s="1"/>
  <c r="C131" i="5"/>
  <c r="J131" i="5" s="1"/>
  <c r="D131" i="5"/>
  <c r="E131" i="5"/>
  <c r="F131" i="5"/>
  <c r="G131" i="5"/>
  <c r="H131" i="5"/>
  <c r="I131" i="5"/>
  <c r="S131" i="5"/>
  <c r="B132" i="5"/>
  <c r="R132" i="5" s="1" a="1"/>
  <c r="R132" i="5" s="1"/>
  <c r="C132" i="5"/>
  <c r="J132" i="5" s="1"/>
  <c r="D132" i="5"/>
  <c r="E132" i="5"/>
  <c r="F132" i="5"/>
  <c r="G132" i="5"/>
  <c r="H132" i="5"/>
  <c r="I132" i="5"/>
  <c r="S132" i="5"/>
  <c r="B133" i="5"/>
  <c r="R133" i="5" s="1" a="1"/>
  <c r="R133" i="5" s="1"/>
  <c r="C133" i="5"/>
  <c r="J133" i="5" s="1"/>
  <c r="D133" i="5"/>
  <c r="E133" i="5"/>
  <c r="F133" i="5"/>
  <c r="G133" i="5"/>
  <c r="H133" i="5"/>
  <c r="I133" i="5"/>
  <c r="S133" i="5"/>
  <c r="B134" i="5"/>
  <c r="P134" i="5" s="1"/>
  <c r="C134" i="5"/>
  <c r="O134" i="5" s="1"/>
  <c r="D134" i="5"/>
  <c r="E134" i="5"/>
  <c r="F134" i="5"/>
  <c r="G134" i="5"/>
  <c r="H134" i="5"/>
  <c r="I134" i="5"/>
  <c r="S134" i="5"/>
  <c r="B135" i="5"/>
  <c r="P135" i="5" s="1"/>
  <c r="C135" i="5"/>
  <c r="L135" i="5" s="1"/>
  <c r="D135" i="5"/>
  <c r="E135" i="5"/>
  <c r="F135" i="5"/>
  <c r="G135" i="5"/>
  <c r="H135" i="5"/>
  <c r="I135" i="5"/>
  <c r="S135" i="5"/>
  <c r="B136" i="5"/>
  <c r="R136" i="5" s="1" a="1"/>
  <c r="R136" i="5" s="1"/>
  <c r="C136" i="5"/>
  <c r="J136" i="5" s="1"/>
  <c r="D136" i="5"/>
  <c r="E136" i="5"/>
  <c r="F136" i="5"/>
  <c r="G136" i="5"/>
  <c r="H136" i="5"/>
  <c r="I136" i="5"/>
  <c r="S136" i="5"/>
  <c r="B137" i="5"/>
  <c r="Q137" i="5" s="1" a="1"/>
  <c r="Q137" i="5" s="1"/>
  <c r="C137" i="5"/>
  <c r="D137" i="5"/>
  <c r="E137" i="5"/>
  <c r="F137" i="5"/>
  <c r="G137" i="5"/>
  <c r="H137" i="5"/>
  <c r="I137" i="5"/>
  <c r="S137" i="5"/>
  <c r="B138" i="5"/>
  <c r="C138" i="5"/>
  <c r="L138" i="5" s="1"/>
  <c r="D138" i="5"/>
  <c r="E138" i="5"/>
  <c r="F138" i="5"/>
  <c r="G138" i="5"/>
  <c r="H138" i="5"/>
  <c r="I138" i="5"/>
  <c r="S138" i="5"/>
  <c r="B139" i="5"/>
  <c r="Q139" i="5" s="1" a="1"/>
  <c r="Q139" i="5" s="1"/>
  <c r="C139" i="5"/>
  <c r="J139" i="5" s="1"/>
  <c r="D139" i="5"/>
  <c r="E139" i="5"/>
  <c r="F139" i="5"/>
  <c r="G139" i="5"/>
  <c r="H139" i="5"/>
  <c r="I139" i="5"/>
  <c r="S139" i="5"/>
  <c r="B140" i="5"/>
  <c r="P140" i="5" s="1"/>
  <c r="C140" i="5"/>
  <c r="M140" i="5" s="1"/>
  <c r="D140" i="5"/>
  <c r="E140" i="5"/>
  <c r="F140" i="5"/>
  <c r="G140" i="5"/>
  <c r="H140" i="5"/>
  <c r="I140" i="5"/>
  <c r="S140" i="5"/>
  <c r="B141" i="5"/>
  <c r="P141" i="5" s="1"/>
  <c r="C141" i="5"/>
  <c r="O141" i="5" s="1"/>
  <c r="D141" i="5"/>
  <c r="E141" i="5"/>
  <c r="F141" i="5"/>
  <c r="G141" i="5"/>
  <c r="H141" i="5"/>
  <c r="I141" i="5"/>
  <c r="S141" i="5"/>
  <c r="B142" i="5"/>
  <c r="P142" i="5" s="1"/>
  <c r="C142" i="5"/>
  <c r="K142" i="5" s="1"/>
  <c r="D142" i="5"/>
  <c r="E142" i="5"/>
  <c r="F142" i="5"/>
  <c r="G142" i="5"/>
  <c r="H142" i="5"/>
  <c r="I142" i="5"/>
  <c r="S142" i="5"/>
  <c r="B143" i="5"/>
  <c r="R143" i="5" s="1" a="1"/>
  <c r="R143" i="5" s="1"/>
  <c r="C143" i="5"/>
  <c r="J143" i="5" s="1"/>
  <c r="D143" i="5"/>
  <c r="E143" i="5"/>
  <c r="F143" i="5"/>
  <c r="G143" i="5"/>
  <c r="H143" i="5"/>
  <c r="I143" i="5"/>
  <c r="S143" i="5"/>
  <c r="B144" i="5"/>
  <c r="C144" i="5"/>
  <c r="J144" i="5" s="1"/>
  <c r="D144" i="5"/>
  <c r="E144" i="5"/>
  <c r="F144" i="5"/>
  <c r="G144" i="5"/>
  <c r="H144" i="5"/>
  <c r="I144" i="5"/>
  <c r="S144" i="5"/>
  <c r="B145" i="5"/>
  <c r="R145" i="5" s="1" a="1"/>
  <c r="R145" i="5" s="1"/>
  <c r="C145" i="5"/>
  <c r="J145" i="5" s="1"/>
  <c r="D145" i="5"/>
  <c r="E145" i="5"/>
  <c r="F145" i="5"/>
  <c r="G145" i="5"/>
  <c r="H145" i="5"/>
  <c r="I145" i="5"/>
  <c r="S145" i="5"/>
  <c r="B146" i="5"/>
  <c r="Q146" i="5" s="1" a="1"/>
  <c r="Q146" i="5" s="1"/>
  <c r="C146" i="5"/>
  <c r="L146" i="5" s="1"/>
  <c r="D146" i="5"/>
  <c r="E146" i="5"/>
  <c r="F146" i="5"/>
  <c r="G146" i="5"/>
  <c r="H146" i="5"/>
  <c r="I146" i="5"/>
  <c r="S146" i="5"/>
  <c r="B147" i="5"/>
  <c r="C147" i="5"/>
  <c r="K147" i="5" s="1"/>
  <c r="D147" i="5"/>
  <c r="E147" i="5"/>
  <c r="F147" i="5"/>
  <c r="G147" i="5"/>
  <c r="H147" i="5"/>
  <c r="I147" i="5"/>
  <c r="S147" i="5"/>
  <c r="B148" i="5"/>
  <c r="C148" i="5"/>
  <c r="K148" i="5" s="1"/>
  <c r="D148" i="5"/>
  <c r="E148" i="5"/>
  <c r="F148" i="5"/>
  <c r="G148" i="5"/>
  <c r="H148" i="5"/>
  <c r="I148" i="5"/>
  <c r="S148" i="5"/>
  <c r="B149" i="5"/>
  <c r="R149" i="5" s="1" a="1"/>
  <c r="R149" i="5" s="1"/>
  <c r="C149" i="5"/>
  <c r="L149" i="5" s="1"/>
  <c r="D149" i="5"/>
  <c r="E149" i="5"/>
  <c r="F149" i="5"/>
  <c r="G149" i="5"/>
  <c r="H149" i="5"/>
  <c r="I149" i="5"/>
  <c r="S149" i="5"/>
  <c r="B150" i="5"/>
  <c r="P150" i="5" s="1"/>
  <c r="C150" i="5"/>
  <c r="M150" i="5" s="1"/>
  <c r="D150" i="5"/>
  <c r="E150" i="5"/>
  <c r="F150" i="5"/>
  <c r="G150" i="5"/>
  <c r="H150" i="5"/>
  <c r="I150" i="5"/>
  <c r="S150" i="5"/>
  <c r="B151" i="5"/>
  <c r="P151" i="5" s="1"/>
  <c r="C151" i="5"/>
  <c r="N151" i="5" s="1"/>
  <c r="D151" i="5"/>
  <c r="E151" i="5"/>
  <c r="F151" i="5"/>
  <c r="G151" i="5"/>
  <c r="H151" i="5"/>
  <c r="I151" i="5"/>
  <c r="S151" i="5"/>
  <c r="B152" i="5"/>
  <c r="P152" i="5" s="1"/>
  <c r="C152" i="5"/>
  <c r="K152" i="5" s="1"/>
  <c r="D152" i="5"/>
  <c r="E152" i="5"/>
  <c r="F152" i="5"/>
  <c r="G152" i="5"/>
  <c r="H152" i="5"/>
  <c r="I152" i="5"/>
  <c r="S152" i="5"/>
  <c r="B153" i="5"/>
  <c r="C153" i="5"/>
  <c r="L153" i="5" s="1"/>
  <c r="D153" i="5"/>
  <c r="E153" i="5"/>
  <c r="F153" i="5"/>
  <c r="G153" i="5"/>
  <c r="H153" i="5"/>
  <c r="I153" i="5"/>
  <c r="S153" i="5"/>
  <c r="B154" i="5"/>
  <c r="P154" i="5" s="1"/>
  <c r="C154" i="5"/>
  <c r="M154" i="5" s="1"/>
  <c r="D154" i="5"/>
  <c r="E154" i="5"/>
  <c r="F154" i="5"/>
  <c r="G154" i="5"/>
  <c r="H154" i="5"/>
  <c r="I154" i="5"/>
  <c r="S154" i="5"/>
  <c r="B155" i="5"/>
  <c r="Q155" i="5" s="1" a="1"/>
  <c r="Q155" i="5" s="1"/>
  <c r="C155" i="5"/>
  <c r="L155" i="5" s="1"/>
  <c r="D155" i="5"/>
  <c r="E155" i="5"/>
  <c r="F155" i="5"/>
  <c r="G155" i="5"/>
  <c r="H155" i="5"/>
  <c r="I155" i="5"/>
  <c r="S155" i="5"/>
  <c r="B156" i="5"/>
  <c r="P156" i="5" s="1"/>
  <c r="C156" i="5"/>
  <c r="D156" i="5"/>
  <c r="E156" i="5"/>
  <c r="F156" i="5"/>
  <c r="G156" i="5"/>
  <c r="H156" i="5"/>
  <c r="I156" i="5"/>
  <c r="S156" i="5"/>
  <c r="B157" i="5"/>
  <c r="Q157" i="5" s="1" a="1"/>
  <c r="Q157" i="5" s="1"/>
  <c r="C157" i="5"/>
  <c r="D157" i="5"/>
  <c r="E157" i="5"/>
  <c r="F157" i="5"/>
  <c r="G157" i="5"/>
  <c r="H157" i="5"/>
  <c r="I157" i="5"/>
  <c r="S157" i="5"/>
  <c r="B158" i="5"/>
  <c r="R158" i="5" s="1" a="1"/>
  <c r="R158" i="5" s="1"/>
  <c r="C158" i="5"/>
  <c r="L158" i="5" s="1"/>
  <c r="D158" i="5"/>
  <c r="E158" i="5"/>
  <c r="F158" i="5"/>
  <c r="G158" i="5"/>
  <c r="H158" i="5"/>
  <c r="I158" i="5"/>
  <c r="S158" i="5"/>
  <c r="B159" i="5"/>
  <c r="Q159" i="5" s="1" a="1"/>
  <c r="Q159" i="5" s="1"/>
  <c r="C159" i="5"/>
  <c r="D159" i="5"/>
  <c r="E159" i="5"/>
  <c r="F159" i="5"/>
  <c r="G159" i="5"/>
  <c r="H159" i="5"/>
  <c r="I159" i="5"/>
  <c r="S159" i="5"/>
  <c r="B160" i="5"/>
  <c r="P160" i="5" s="1"/>
  <c r="C160" i="5"/>
  <c r="K160" i="5" s="1"/>
  <c r="D160" i="5"/>
  <c r="E160" i="5"/>
  <c r="F160" i="5"/>
  <c r="G160" i="5"/>
  <c r="H160" i="5"/>
  <c r="I160" i="5"/>
  <c r="S160" i="5"/>
  <c r="B161" i="5"/>
  <c r="C161" i="5"/>
  <c r="M161" i="5" s="1"/>
  <c r="D161" i="5"/>
  <c r="E161" i="5"/>
  <c r="F161" i="5"/>
  <c r="G161" i="5"/>
  <c r="H161" i="5"/>
  <c r="I161" i="5"/>
  <c r="S161" i="5"/>
  <c r="B162" i="5"/>
  <c r="P162" i="5" s="1"/>
  <c r="C162" i="5"/>
  <c r="D162" i="5"/>
  <c r="E162" i="5"/>
  <c r="F162" i="5"/>
  <c r="G162" i="5"/>
  <c r="H162" i="5"/>
  <c r="I162" i="5"/>
  <c r="S162" i="5"/>
  <c r="B163" i="5"/>
  <c r="Q163" i="5" s="1" a="1"/>
  <c r="Q163" i="5" s="1"/>
  <c r="C163" i="5"/>
  <c r="D163" i="5"/>
  <c r="E163" i="5"/>
  <c r="F163" i="5"/>
  <c r="G163" i="5"/>
  <c r="H163" i="5"/>
  <c r="I163" i="5"/>
  <c r="S163" i="5"/>
  <c r="B164" i="5"/>
  <c r="Q164" i="5" s="1" a="1"/>
  <c r="Q164" i="5" s="1"/>
  <c r="C164" i="5"/>
  <c r="K164" i="5" s="1"/>
  <c r="D164" i="5"/>
  <c r="E164" i="5"/>
  <c r="F164" i="5"/>
  <c r="G164" i="5"/>
  <c r="H164" i="5"/>
  <c r="I164" i="5"/>
  <c r="S164" i="5"/>
  <c r="B165" i="5"/>
  <c r="C165" i="5"/>
  <c r="N165" i="5" s="1"/>
  <c r="D165" i="5"/>
  <c r="E165" i="5"/>
  <c r="F165" i="5"/>
  <c r="G165" i="5"/>
  <c r="H165" i="5"/>
  <c r="I165" i="5"/>
  <c r="S165" i="5"/>
  <c r="B166" i="5"/>
  <c r="C166" i="5"/>
  <c r="K166" i="5" s="1"/>
  <c r="D166" i="5"/>
  <c r="E166" i="5"/>
  <c r="F166" i="5"/>
  <c r="G166" i="5"/>
  <c r="H166" i="5"/>
  <c r="I166" i="5"/>
  <c r="S166" i="5"/>
  <c r="B167" i="5"/>
  <c r="R167" i="5" s="1" a="1"/>
  <c r="R167" i="5" s="1"/>
  <c r="C167" i="5"/>
  <c r="L167" i="5" s="1"/>
  <c r="D167" i="5"/>
  <c r="E167" i="5"/>
  <c r="F167" i="5"/>
  <c r="G167" i="5"/>
  <c r="H167" i="5"/>
  <c r="I167" i="5"/>
  <c r="S167" i="5"/>
  <c r="B168" i="5"/>
  <c r="Q168" i="5" s="1" a="1"/>
  <c r="Q168" i="5" s="1"/>
  <c r="C168" i="5"/>
  <c r="O168" i="5" s="1"/>
  <c r="D168" i="5"/>
  <c r="E168" i="5"/>
  <c r="F168" i="5"/>
  <c r="G168" i="5"/>
  <c r="H168" i="5"/>
  <c r="I168" i="5"/>
  <c r="S168" i="5"/>
  <c r="B169" i="5"/>
  <c r="P169" i="5" s="1"/>
  <c r="C169" i="5"/>
  <c r="J169" i="5" s="1"/>
  <c r="D169" i="5"/>
  <c r="E169" i="5"/>
  <c r="F169" i="5"/>
  <c r="G169" i="5"/>
  <c r="H169" i="5"/>
  <c r="I169" i="5"/>
  <c r="S169" i="5"/>
  <c r="B170" i="5"/>
  <c r="P170" i="5" s="1"/>
  <c r="C170" i="5"/>
  <c r="D170" i="5"/>
  <c r="E170" i="5"/>
  <c r="F170" i="5"/>
  <c r="G170" i="5"/>
  <c r="H170" i="5"/>
  <c r="I170" i="5"/>
  <c r="S170" i="5"/>
  <c r="B171" i="5"/>
  <c r="R171" i="5" s="1" a="1"/>
  <c r="R171" i="5" s="1"/>
  <c r="C171" i="5"/>
  <c r="D171" i="5"/>
  <c r="E171" i="5"/>
  <c r="F171" i="5"/>
  <c r="G171" i="5"/>
  <c r="H171" i="5"/>
  <c r="I171" i="5"/>
  <c r="S171" i="5"/>
  <c r="B172" i="5"/>
  <c r="C172" i="5"/>
  <c r="D172" i="5"/>
  <c r="E172" i="5"/>
  <c r="F172" i="5"/>
  <c r="G172" i="5"/>
  <c r="H172" i="5"/>
  <c r="I172" i="5"/>
  <c r="S172" i="5"/>
  <c r="B173" i="5"/>
  <c r="P173" i="5" s="1"/>
  <c r="C173" i="5"/>
  <c r="D173" i="5"/>
  <c r="E173" i="5"/>
  <c r="F173" i="5"/>
  <c r="G173" i="5"/>
  <c r="H173" i="5"/>
  <c r="I173" i="5"/>
  <c r="S173" i="5"/>
  <c r="B174" i="5"/>
  <c r="Q174" i="5" s="1" a="1"/>
  <c r="Q174" i="5" s="1"/>
  <c r="C174" i="5"/>
  <c r="D174" i="5"/>
  <c r="E174" i="5"/>
  <c r="F174" i="5"/>
  <c r="G174" i="5"/>
  <c r="H174" i="5"/>
  <c r="I174" i="5"/>
  <c r="S174" i="5"/>
  <c r="B175" i="5"/>
  <c r="Q175" i="5" s="1" a="1"/>
  <c r="Q175" i="5" s="1"/>
  <c r="C175" i="5"/>
  <c r="O175" i="5" s="1"/>
  <c r="D175" i="5"/>
  <c r="E175" i="5"/>
  <c r="F175" i="5"/>
  <c r="G175" i="5"/>
  <c r="H175" i="5"/>
  <c r="I175" i="5"/>
  <c r="S175" i="5"/>
  <c r="B176" i="5"/>
  <c r="C176" i="5"/>
  <c r="L176" i="5" s="1"/>
  <c r="D176" i="5"/>
  <c r="E176" i="5"/>
  <c r="F176" i="5"/>
  <c r="G176" i="5"/>
  <c r="H176" i="5"/>
  <c r="I176" i="5"/>
  <c r="S176" i="5"/>
  <c r="B177" i="5"/>
  <c r="P177" i="5" s="1"/>
  <c r="C177" i="5"/>
  <c r="K177" i="5" s="1"/>
  <c r="D177" i="5"/>
  <c r="E177" i="5"/>
  <c r="F177" i="5"/>
  <c r="G177" i="5"/>
  <c r="H177" i="5"/>
  <c r="I177" i="5"/>
  <c r="S177" i="5"/>
  <c r="B178" i="5"/>
  <c r="P178" i="5" s="1"/>
  <c r="C178" i="5"/>
  <c r="L178" i="5" s="1"/>
  <c r="D178" i="5"/>
  <c r="E178" i="5"/>
  <c r="F178" i="5"/>
  <c r="G178" i="5"/>
  <c r="H178" i="5"/>
  <c r="I178" i="5"/>
  <c r="S178" i="5"/>
  <c r="B179" i="5"/>
  <c r="P179" i="5" s="1"/>
  <c r="C179" i="5"/>
  <c r="D179" i="5"/>
  <c r="E179" i="5"/>
  <c r="F179" i="5"/>
  <c r="G179" i="5"/>
  <c r="H179" i="5"/>
  <c r="I179" i="5"/>
  <c r="S179" i="5"/>
  <c r="B180" i="5"/>
  <c r="P180" i="5" s="1"/>
  <c r="C180" i="5"/>
  <c r="J180" i="5" s="1"/>
  <c r="D180" i="5"/>
  <c r="E180" i="5"/>
  <c r="F180" i="5"/>
  <c r="G180" i="5"/>
  <c r="H180" i="5"/>
  <c r="I180" i="5"/>
  <c r="S180" i="5"/>
  <c r="B181" i="5"/>
  <c r="P181" i="5" s="1"/>
  <c r="C181" i="5"/>
  <c r="J181" i="5" s="1"/>
  <c r="D181" i="5"/>
  <c r="E181" i="5"/>
  <c r="F181" i="5"/>
  <c r="G181" i="5"/>
  <c r="H181" i="5"/>
  <c r="I181" i="5"/>
  <c r="S181" i="5"/>
  <c r="B182" i="5"/>
  <c r="Q182" i="5" s="1" a="1"/>
  <c r="Q182" i="5" s="1"/>
  <c r="C182" i="5"/>
  <c r="K182" i="5" s="1"/>
  <c r="D182" i="5"/>
  <c r="E182" i="5"/>
  <c r="F182" i="5"/>
  <c r="G182" i="5"/>
  <c r="H182" i="5"/>
  <c r="I182" i="5"/>
  <c r="S182" i="5"/>
  <c r="B183" i="5"/>
  <c r="R183" i="5" s="1" a="1"/>
  <c r="R183" i="5" s="1"/>
  <c r="C183" i="5"/>
  <c r="D183" i="5"/>
  <c r="E183" i="5"/>
  <c r="F183" i="5"/>
  <c r="G183" i="5"/>
  <c r="H183" i="5"/>
  <c r="I183" i="5"/>
  <c r="S183" i="5"/>
  <c r="B184" i="5"/>
  <c r="P184" i="5" s="1"/>
  <c r="C184" i="5"/>
  <c r="D184" i="5"/>
  <c r="E184" i="5"/>
  <c r="F184" i="5"/>
  <c r="G184" i="5"/>
  <c r="H184" i="5"/>
  <c r="I184" i="5"/>
  <c r="S184" i="5"/>
  <c r="B185" i="5"/>
  <c r="P185" i="5" s="1"/>
  <c r="C185" i="5"/>
  <c r="M185" i="5" s="1"/>
  <c r="D185" i="5"/>
  <c r="E185" i="5"/>
  <c r="F185" i="5"/>
  <c r="G185" i="5"/>
  <c r="H185" i="5"/>
  <c r="I185" i="5"/>
  <c r="S185" i="5"/>
  <c r="B186" i="5"/>
  <c r="P186" i="5" s="1"/>
  <c r="C186" i="5"/>
  <c r="M186" i="5" s="1"/>
  <c r="D186" i="5"/>
  <c r="E186" i="5"/>
  <c r="F186" i="5"/>
  <c r="G186" i="5"/>
  <c r="H186" i="5"/>
  <c r="I186" i="5"/>
  <c r="S186" i="5"/>
  <c r="B187" i="5"/>
  <c r="P187" i="5" s="1"/>
  <c r="C187" i="5"/>
  <c r="M187" i="5" s="1"/>
  <c r="D187" i="5"/>
  <c r="E187" i="5"/>
  <c r="F187" i="5"/>
  <c r="G187" i="5"/>
  <c r="H187" i="5"/>
  <c r="I187" i="5"/>
  <c r="S187" i="5"/>
  <c r="B188" i="5"/>
  <c r="C188" i="5"/>
  <c r="K188" i="5" s="1"/>
  <c r="D188" i="5"/>
  <c r="E188" i="5"/>
  <c r="F188" i="5"/>
  <c r="G188" i="5"/>
  <c r="H188" i="5"/>
  <c r="I188" i="5"/>
  <c r="S188" i="5"/>
  <c r="B189" i="5"/>
  <c r="C189" i="5"/>
  <c r="O189" i="5" s="1"/>
  <c r="D189" i="5"/>
  <c r="E189" i="5"/>
  <c r="F189" i="5"/>
  <c r="G189" i="5"/>
  <c r="H189" i="5"/>
  <c r="I189" i="5"/>
  <c r="S189" i="5"/>
  <c r="B190" i="5"/>
  <c r="R190" i="5" s="1" a="1"/>
  <c r="R190" i="5" s="1"/>
  <c r="C190" i="5"/>
  <c r="J190" i="5" s="1"/>
  <c r="D190" i="5"/>
  <c r="E190" i="5"/>
  <c r="F190" i="5"/>
  <c r="G190" i="5"/>
  <c r="H190" i="5"/>
  <c r="I190" i="5"/>
  <c r="S190" i="5"/>
  <c r="B191" i="5"/>
  <c r="C191" i="5"/>
  <c r="L191" i="5" s="1"/>
  <c r="D191" i="5"/>
  <c r="E191" i="5"/>
  <c r="F191" i="5"/>
  <c r="G191" i="5"/>
  <c r="H191" i="5"/>
  <c r="I191" i="5"/>
  <c r="S191" i="5"/>
  <c r="B192" i="5"/>
  <c r="C192" i="5"/>
  <c r="K192" i="5" s="1"/>
  <c r="D192" i="5"/>
  <c r="E192" i="5"/>
  <c r="F192" i="5"/>
  <c r="G192" i="5"/>
  <c r="H192" i="5"/>
  <c r="I192" i="5"/>
  <c r="S192" i="5"/>
  <c r="B193" i="5"/>
  <c r="P193" i="5" s="1"/>
  <c r="C193" i="5"/>
  <c r="D193" i="5"/>
  <c r="E193" i="5"/>
  <c r="F193" i="5"/>
  <c r="G193" i="5"/>
  <c r="H193" i="5"/>
  <c r="I193" i="5"/>
  <c r="S193" i="5"/>
  <c r="B194" i="5"/>
  <c r="C194" i="5"/>
  <c r="L194" i="5" s="1"/>
  <c r="D194" i="5"/>
  <c r="E194" i="5"/>
  <c r="F194" i="5"/>
  <c r="G194" i="5"/>
  <c r="H194" i="5"/>
  <c r="I194" i="5"/>
  <c r="S194" i="5"/>
  <c r="B195" i="5"/>
  <c r="Q195" i="5" s="1" a="1"/>
  <c r="Q195" i="5" s="1"/>
  <c r="C195" i="5"/>
  <c r="J195" i="5" s="1"/>
  <c r="D195" i="5"/>
  <c r="E195" i="5"/>
  <c r="F195" i="5"/>
  <c r="G195" i="5"/>
  <c r="H195" i="5"/>
  <c r="I195" i="5"/>
  <c r="S195" i="5"/>
  <c r="B196" i="5"/>
  <c r="P196" i="5" s="1"/>
  <c r="C196" i="5"/>
  <c r="K196" i="5" s="1"/>
  <c r="D196" i="5"/>
  <c r="E196" i="5"/>
  <c r="F196" i="5"/>
  <c r="G196" i="5"/>
  <c r="H196" i="5"/>
  <c r="I196" i="5"/>
  <c r="S196" i="5"/>
  <c r="B197" i="5"/>
  <c r="P197" i="5" s="1"/>
  <c r="C197" i="5"/>
  <c r="K197" i="5" s="1"/>
  <c r="D197" i="5"/>
  <c r="E197" i="5"/>
  <c r="F197" i="5"/>
  <c r="G197" i="5"/>
  <c r="H197" i="5"/>
  <c r="I197" i="5"/>
  <c r="S197" i="5"/>
  <c r="B198" i="5"/>
  <c r="R198" i="5" s="1" a="1"/>
  <c r="R198" i="5" s="1"/>
  <c r="C198" i="5"/>
  <c r="L198" i="5" s="1"/>
  <c r="D198" i="5"/>
  <c r="E198" i="5"/>
  <c r="F198" i="5"/>
  <c r="G198" i="5"/>
  <c r="H198" i="5"/>
  <c r="I198" i="5"/>
  <c r="S198" i="5"/>
  <c r="B199" i="5"/>
  <c r="P199" i="5" s="1"/>
  <c r="C199" i="5"/>
  <c r="O199" i="5" s="1"/>
  <c r="D199" i="5"/>
  <c r="E199" i="5"/>
  <c r="F199" i="5"/>
  <c r="G199" i="5"/>
  <c r="H199" i="5"/>
  <c r="I199" i="5"/>
  <c r="S199" i="5"/>
  <c r="B200" i="5"/>
  <c r="C200" i="5"/>
  <c r="D200" i="5"/>
  <c r="E200" i="5"/>
  <c r="F200" i="5"/>
  <c r="G200" i="5"/>
  <c r="H200" i="5"/>
  <c r="I200" i="5"/>
  <c r="S200" i="5"/>
  <c r="B201" i="5"/>
  <c r="P201" i="5" s="1"/>
  <c r="C201" i="5"/>
  <c r="D201" i="5"/>
  <c r="E201" i="5"/>
  <c r="F201" i="5"/>
  <c r="G201" i="5"/>
  <c r="H201" i="5"/>
  <c r="I201" i="5"/>
  <c r="S201" i="5"/>
  <c r="B202" i="5"/>
  <c r="Q202" i="5" s="1" a="1"/>
  <c r="Q202" i="5" s="1"/>
  <c r="C202" i="5"/>
  <c r="D202" i="5"/>
  <c r="E202" i="5"/>
  <c r="F202" i="5"/>
  <c r="G202" i="5"/>
  <c r="H202" i="5"/>
  <c r="I202" i="5"/>
  <c r="S202" i="5"/>
  <c r="B203" i="5"/>
  <c r="C203" i="5"/>
  <c r="J203" i="5" s="1"/>
  <c r="D203" i="5"/>
  <c r="E203" i="5"/>
  <c r="F203" i="5"/>
  <c r="G203" i="5"/>
  <c r="H203" i="5"/>
  <c r="I203" i="5"/>
  <c r="S203" i="5"/>
  <c r="B204" i="5"/>
  <c r="P204" i="5" s="1"/>
  <c r="C204" i="5"/>
  <c r="N204" i="5" s="1"/>
  <c r="D204" i="5"/>
  <c r="E204" i="5"/>
  <c r="F204" i="5"/>
  <c r="G204" i="5"/>
  <c r="H204" i="5"/>
  <c r="I204" i="5"/>
  <c r="S204" i="5"/>
  <c r="B205" i="5"/>
  <c r="P205" i="5" s="1"/>
  <c r="C205" i="5"/>
  <c r="J205" i="5" s="1"/>
  <c r="D205" i="5"/>
  <c r="E205" i="5"/>
  <c r="F205" i="5"/>
  <c r="G205" i="5"/>
  <c r="H205" i="5"/>
  <c r="I205" i="5"/>
  <c r="S205" i="5"/>
  <c r="B206" i="5"/>
  <c r="R206" i="5" s="1" a="1"/>
  <c r="R206" i="5" s="1"/>
  <c r="C206" i="5"/>
  <c r="K206" i="5" s="1"/>
  <c r="D206" i="5"/>
  <c r="E206" i="5"/>
  <c r="F206" i="5"/>
  <c r="G206" i="5"/>
  <c r="H206" i="5"/>
  <c r="I206" i="5"/>
  <c r="S206" i="5"/>
  <c r="B207" i="5"/>
  <c r="Q207" i="5" s="1" a="1"/>
  <c r="Q207" i="5" s="1"/>
  <c r="C207" i="5"/>
  <c r="K207" i="5" s="1"/>
  <c r="D207" i="5"/>
  <c r="E207" i="5"/>
  <c r="F207" i="5"/>
  <c r="G207" i="5"/>
  <c r="H207" i="5"/>
  <c r="I207" i="5"/>
  <c r="S207" i="5"/>
  <c r="B208" i="5"/>
  <c r="C208" i="5"/>
  <c r="O208" i="5" s="1"/>
  <c r="D208" i="5"/>
  <c r="E208" i="5"/>
  <c r="F208" i="5"/>
  <c r="G208" i="5"/>
  <c r="H208" i="5"/>
  <c r="I208" i="5"/>
  <c r="S208" i="5"/>
  <c r="B209" i="5"/>
  <c r="R209" i="5" s="1" a="1"/>
  <c r="R209" i="5" s="1"/>
  <c r="C209" i="5"/>
  <c r="N209" i="5" s="1"/>
  <c r="D209" i="5"/>
  <c r="E209" i="5"/>
  <c r="F209" i="5"/>
  <c r="G209" i="5"/>
  <c r="H209" i="5"/>
  <c r="I209" i="5"/>
  <c r="S209" i="5"/>
  <c r="B210" i="5"/>
  <c r="P210" i="5" s="1"/>
  <c r="C210" i="5"/>
  <c r="J210" i="5" s="1"/>
  <c r="D210" i="5"/>
  <c r="E210" i="5"/>
  <c r="F210" i="5"/>
  <c r="G210" i="5"/>
  <c r="H210" i="5"/>
  <c r="I210" i="5"/>
  <c r="S210" i="5"/>
  <c r="B211" i="5"/>
  <c r="P211" i="5" s="1"/>
  <c r="C211" i="5"/>
  <c r="K211" i="5" s="1"/>
  <c r="D211" i="5"/>
  <c r="E211" i="5"/>
  <c r="F211" i="5"/>
  <c r="G211" i="5"/>
  <c r="H211" i="5"/>
  <c r="I211" i="5"/>
  <c r="S211" i="5"/>
  <c r="B212" i="5"/>
  <c r="Q212" i="5" s="1" a="1"/>
  <c r="Q212" i="5" s="1"/>
  <c r="C212" i="5"/>
  <c r="J212" i="5" s="1"/>
  <c r="D212" i="5"/>
  <c r="E212" i="5"/>
  <c r="F212" i="5"/>
  <c r="G212" i="5"/>
  <c r="H212" i="5"/>
  <c r="I212" i="5"/>
  <c r="S212" i="5"/>
  <c r="B213" i="5"/>
  <c r="P213" i="5" s="1"/>
  <c r="C213" i="5"/>
  <c r="J213" i="5" s="1"/>
  <c r="D213" i="5"/>
  <c r="E213" i="5"/>
  <c r="F213" i="5"/>
  <c r="G213" i="5"/>
  <c r="H213" i="5"/>
  <c r="I213" i="5"/>
  <c r="S213" i="5"/>
  <c r="B214" i="5"/>
  <c r="Q214" i="5" s="1" a="1"/>
  <c r="Q214" i="5" s="1"/>
  <c r="C214" i="5"/>
  <c r="K214" i="5" s="1"/>
  <c r="D214" i="5"/>
  <c r="E214" i="5"/>
  <c r="F214" i="5"/>
  <c r="G214" i="5"/>
  <c r="H214" i="5"/>
  <c r="I214" i="5"/>
  <c r="S214" i="5"/>
  <c r="B215" i="5"/>
  <c r="P215" i="5" s="1"/>
  <c r="C215" i="5"/>
  <c r="D215" i="5"/>
  <c r="E215" i="5"/>
  <c r="F215" i="5"/>
  <c r="G215" i="5"/>
  <c r="H215" i="5"/>
  <c r="I215" i="5"/>
  <c r="S215" i="5"/>
  <c r="B216" i="5"/>
  <c r="R216" i="5" s="1" a="1"/>
  <c r="R216" i="5" s="1"/>
  <c r="C216" i="5"/>
  <c r="J216" i="5" s="1"/>
  <c r="D216" i="5"/>
  <c r="E216" i="5"/>
  <c r="F216" i="5"/>
  <c r="G216" i="5"/>
  <c r="H216" i="5"/>
  <c r="I216" i="5"/>
  <c r="S216" i="5"/>
  <c r="B217" i="5"/>
  <c r="P217" i="5" s="1"/>
  <c r="C217" i="5"/>
  <c r="J217" i="5" s="1"/>
  <c r="D217" i="5"/>
  <c r="E217" i="5"/>
  <c r="F217" i="5"/>
  <c r="G217" i="5"/>
  <c r="H217" i="5"/>
  <c r="I217" i="5"/>
  <c r="S217" i="5"/>
  <c r="B218" i="5"/>
  <c r="Q218" i="5" s="1" a="1"/>
  <c r="Q218" i="5" s="1"/>
  <c r="C218" i="5"/>
  <c r="L218" i="5" s="1"/>
  <c r="D218" i="5"/>
  <c r="E218" i="5"/>
  <c r="F218" i="5"/>
  <c r="G218" i="5"/>
  <c r="H218" i="5"/>
  <c r="I218" i="5"/>
  <c r="S218" i="5"/>
  <c r="B219" i="5"/>
  <c r="R219" i="5" s="1" a="1"/>
  <c r="R219" i="5" s="1"/>
  <c r="C219" i="5"/>
  <c r="K219" i="5" s="1"/>
  <c r="D219" i="5"/>
  <c r="E219" i="5"/>
  <c r="F219" i="5"/>
  <c r="G219" i="5"/>
  <c r="H219" i="5"/>
  <c r="I219" i="5"/>
  <c r="S219" i="5"/>
  <c r="B220" i="5"/>
  <c r="P220" i="5" s="1"/>
  <c r="C220" i="5"/>
  <c r="D220" i="5"/>
  <c r="E220" i="5"/>
  <c r="F220" i="5"/>
  <c r="G220" i="5"/>
  <c r="H220" i="5"/>
  <c r="I220" i="5"/>
  <c r="S220" i="5"/>
  <c r="B221" i="5"/>
  <c r="P221" i="5" s="1"/>
  <c r="C221" i="5"/>
  <c r="M221" i="5" s="1"/>
  <c r="D221" i="5"/>
  <c r="E221" i="5"/>
  <c r="F221" i="5"/>
  <c r="G221" i="5"/>
  <c r="H221" i="5"/>
  <c r="I221" i="5"/>
  <c r="S221" i="5"/>
  <c r="B222" i="5"/>
  <c r="R222" i="5" s="1" a="1"/>
  <c r="R222" i="5" s="1"/>
  <c r="C222" i="5"/>
  <c r="D222" i="5"/>
  <c r="E222" i="5"/>
  <c r="F222" i="5"/>
  <c r="G222" i="5"/>
  <c r="H222" i="5"/>
  <c r="I222" i="5"/>
  <c r="S222" i="5"/>
  <c r="B223" i="5"/>
  <c r="P223" i="5" s="1"/>
  <c r="C223" i="5"/>
  <c r="M223" i="5" s="1"/>
  <c r="D223" i="5"/>
  <c r="E223" i="5"/>
  <c r="F223" i="5"/>
  <c r="G223" i="5"/>
  <c r="H223" i="5"/>
  <c r="I223" i="5"/>
  <c r="S223" i="5"/>
  <c r="B224" i="5"/>
  <c r="C224" i="5"/>
  <c r="K224" i="5" s="1"/>
  <c r="D224" i="5"/>
  <c r="E224" i="5"/>
  <c r="F224" i="5"/>
  <c r="G224" i="5"/>
  <c r="H224" i="5"/>
  <c r="I224" i="5"/>
  <c r="S224" i="5"/>
  <c r="B225" i="5"/>
  <c r="C225" i="5"/>
  <c r="D225" i="5"/>
  <c r="E225" i="5"/>
  <c r="F225" i="5"/>
  <c r="G225" i="5"/>
  <c r="H225" i="5"/>
  <c r="I225" i="5"/>
  <c r="S225" i="5"/>
  <c r="B226" i="5"/>
  <c r="R226" i="5" s="1" a="1"/>
  <c r="R226" i="5" s="1"/>
  <c r="C226" i="5"/>
  <c r="D226" i="5"/>
  <c r="E226" i="5"/>
  <c r="F226" i="5"/>
  <c r="G226" i="5"/>
  <c r="H226" i="5"/>
  <c r="I226" i="5"/>
  <c r="S226" i="5"/>
  <c r="B227" i="5"/>
  <c r="Q227" i="5" s="1" a="1"/>
  <c r="Q227" i="5" s="1"/>
  <c r="C227" i="5"/>
  <c r="O227" i="5" s="1"/>
  <c r="D227" i="5"/>
  <c r="E227" i="5"/>
  <c r="F227" i="5"/>
  <c r="G227" i="5"/>
  <c r="H227" i="5"/>
  <c r="I227" i="5"/>
  <c r="S227" i="5"/>
  <c r="B228" i="5"/>
  <c r="C228" i="5"/>
  <c r="J228" i="5" s="1"/>
  <c r="D228" i="5"/>
  <c r="E228" i="5"/>
  <c r="F228" i="5"/>
  <c r="G228" i="5"/>
  <c r="H228" i="5"/>
  <c r="I228" i="5"/>
  <c r="S228" i="5"/>
  <c r="B229" i="5"/>
  <c r="C229" i="5"/>
  <c r="D229" i="5"/>
  <c r="E229" i="5"/>
  <c r="F229" i="5"/>
  <c r="G229" i="5"/>
  <c r="H229" i="5"/>
  <c r="I229" i="5"/>
  <c r="S229" i="5"/>
  <c r="B230" i="5"/>
  <c r="Q230" i="5" s="1" a="1"/>
  <c r="Q230" i="5" s="1"/>
  <c r="C230" i="5"/>
  <c r="N230" i="5" s="1"/>
  <c r="D230" i="5"/>
  <c r="E230" i="5"/>
  <c r="F230" i="5"/>
  <c r="G230" i="5"/>
  <c r="H230" i="5"/>
  <c r="I230" i="5"/>
  <c r="S230" i="5"/>
  <c r="B231" i="5"/>
  <c r="R231" i="5" s="1" a="1"/>
  <c r="R231" i="5" s="1"/>
  <c r="C231" i="5"/>
  <c r="K231" i="5" s="1"/>
  <c r="D231" i="5"/>
  <c r="E231" i="5"/>
  <c r="F231" i="5"/>
  <c r="G231" i="5"/>
  <c r="H231" i="5"/>
  <c r="I231" i="5"/>
  <c r="S231" i="5"/>
  <c r="B232" i="5"/>
  <c r="C232" i="5"/>
  <c r="O232" i="5" s="1"/>
  <c r="D232" i="5"/>
  <c r="E232" i="5"/>
  <c r="F232" i="5"/>
  <c r="G232" i="5"/>
  <c r="H232" i="5"/>
  <c r="I232" i="5"/>
  <c r="S232" i="5"/>
  <c r="B233" i="5"/>
  <c r="Q233" i="5" s="1" a="1"/>
  <c r="Q233" i="5" s="1"/>
  <c r="C233" i="5"/>
  <c r="N233" i="5" s="1"/>
  <c r="D233" i="5"/>
  <c r="E233" i="5"/>
  <c r="F233" i="5"/>
  <c r="G233" i="5"/>
  <c r="H233" i="5"/>
  <c r="I233" i="5"/>
  <c r="S233" i="5"/>
  <c r="B234" i="5"/>
  <c r="P234" i="5" s="1"/>
  <c r="C234" i="5"/>
  <c r="N234" i="5" s="1"/>
  <c r="D234" i="5"/>
  <c r="E234" i="5"/>
  <c r="F234" i="5"/>
  <c r="G234" i="5"/>
  <c r="H234" i="5"/>
  <c r="I234" i="5"/>
  <c r="S234" i="5"/>
  <c r="B235" i="5"/>
  <c r="Q235" i="5" s="1" a="1"/>
  <c r="Q235" i="5" s="1"/>
  <c r="C235" i="5"/>
  <c r="J235" i="5" s="1"/>
  <c r="D235" i="5"/>
  <c r="E235" i="5"/>
  <c r="F235" i="5"/>
  <c r="G235" i="5"/>
  <c r="H235" i="5"/>
  <c r="I235" i="5"/>
  <c r="S235" i="5"/>
  <c r="B236" i="5"/>
  <c r="P236" i="5" s="1"/>
  <c r="C236" i="5"/>
  <c r="J236" i="5" s="1"/>
  <c r="D236" i="5"/>
  <c r="E236" i="5"/>
  <c r="F236" i="5"/>
  <c r="G236" i="5"/>
  <c r="H236" i="5"/>
  <c r="I236" i="5"/>
  <c r="S236" i="5"/>
  <c r="B237" i="5"/>
  <c r="P237" i="5" s="1"/>
  <c r="C237" i="5"/>
  <c r="M237" i="5" s="1"/>
  <c r="D237" i="5"/>
  <c r="E237" i="5"/>
  <c r="F237" i="5"/>
  <c r="G237" i="5"/>
  <c r="H237" i="5"/>
  <c r="I237" i="5"/>
  <c r="S237" i="5"/>
  <c r="B238" i="5"/>
  <c r="P238" i="5" s="1"/>
  <c r="C238" i="5"/>
  <c r="D238" i="5"/>
  <c r="E238" i="5"/>
  <c r="F238" i="5"/>
  <c r="G238" i="5"/>
  <c r="H238" i="5"/>
  <c r="I238" i="5"/>
  <c r="S238" i="5"/>
  <c r="B239" i="5"/>
  <c r="P239" i="5" s="1"/>
  <c r="C239" i="5"/>
  <c r="J239" i="5" s="1"/>
  <c r="D239" i="5"/>
  <c r="E239" i="5"/>
  <c r="F239" i="5"/>
  <c r="G239" i="5"/>
  <c r="H239" i="5"/>
  <c r="I239" i="5"/>
  <c r="S239" i="5"/>
  <c r="B240" i="5"/>
  <c r="R240" i="5" s="1" a="1"/>
  <c r="R240" i="5" s="1"/>
  <c r="C240" i="5"/>
  <c r="J240" i="5" s="1"/>
  <c r="D240" i="5"/>
  <c r="E240" i="5"/>
  <c r="F240" i="5"/>
  <c r="G240" i="5"/>
  <c r="H240" i="5"/>
  <c r="I240" i="5"/>
  <c r="S240" i="5"/>
  <c r="B241" i="5"/>
  <c r="R241" i="5" s="1" a="1"/>
  <c r="R241" i="5" s="1"/>
  <c r="C241" i="5"/>
  <c r="N241" i="5" s="1"/>
  <c r="D241" i="5"/>
  <c r="E241" i="5"/>
  <c r="F241" i="5"/>
  <c r="G241" i="5"/>
  <c r="H241" i="5"/>
  <c r="I241" i="5"/>
  <c r="S241" i="5"/>
  <c r="B242" i="5"/>
  <c r="C242" i="5"/>
  <c r="J242" i="5" s="1"/>
  <c r="D242" i="5"/>
  <c r="E242" i="5"/>
  <c r="F242" i="5"/>
  <c r="G242" i="5"/>
  <c r="H242" i="5"/>
  <c r="I242" i="5"/>
  <c r="S242" i="5"/>
  <c r="B243" i="5"/>
  <c r="C243" i="5"/>
  <c r="O243" i="5" s="1"/>
  <c r="D243" i="5"/>
  <c r="E243" i="5"/>
  <c r="F243" i="5"/>
  <c r="G243" i="5"/>
  <c r="H243" i="5"/>
  <c r="I243" i="5"/>
  <c r="S243" i="5"/>
  <c r="B244" i="5"/>
  <c r="C244" i="5"/>
  <c r="J244" i="5" s="1"/>
  <c r="D244" i="5"/>
  <c r="E244" i="5"/>
  <c r="F244" i="5"/>
  <c r="G244" i="5"/>
  <c r="H244" i="5"/>
  <c r="I244" i="5"/>
  <c r="S244" i="5"/>
  <c r="B245" i="5"/>
  <c r="P245" i="5" s="1"/>
  <c r="C245" i="5"/>
  <c r="L245" i="5" s="1"/>
  <c r="D245" i="5"/>
  <c r="E245" i="5"/>
  <c r="F245" i="5"/>
  <c r="G245" i="5"/>
  <c r="H245" i="5"/>
  <c r="I245" i="5"/>
  <c r="S245" i="5"/>
  <c r="B246" i="5"/>
  <c r="C246" i="5"/>
  <c r="D246" i="5"/>
  <c r="E246" i="5"/>
  <c r="F246" i="5"/>
  <c r="G246" i="5"/>
  <c r="H246" i="5"/>
  <c r="I246" i="5"/>
  <c r="S246" i="5"/>
  <c r="B247" i="5"/>
  <c r="R247" i="5" s="1" a="1"/>
  <c r="R247" i="5" s="1"/>
  <c r="C247" i="5"/>
  <c r="K247" i="5" s="1"/>
  <c r="D247" i="5"/>
  <c r="E247" i="5"/>
  <c r="F247" i="5"/>
  <c r="G247" i="5"/>
  <c r="H247" i="5"/>
  <c r="I247" i="5"/>
  <c r="S247" i="5"/>
  <c r="B248" i="5"/>
  <c r="C248" i="5"/>
  <c r="M248" i="5" s="1"/>
  <c r="D248" i="5"/>
  <c r="E248" i="5"/>
  <c r="F248" i="5"/>
  <c r="G248" i="5"/>
  <c r="H248" i="5"/>
  <c r="I248" i="5"/>
  <c r="S248" i="5"/>
  <c r="B249" i="5"/>
  <c r="P249" i="5" s="1"/>
  <c r="C249" i="5"/>
  <c r="O249" i="5" s="1"/>
  <c r="D249" i="5"/>
  <c r="E249" i="5"/>
  <c r="F249" i="5"/>
  <c r="G249" i="5"/>
  <c r="H249" i="5"/>
  <c r="I249" i="5"/>
  <c r="S249" i="5"/>
  <c r="B250" i="5"/>
  <c r="C250" i="5"/>
  <c r="N250" i="5" s="1"/>
  <c r="D250" i="5"/>
  <c r="E250" i="5"/>
  <c r="F250" i="5"/>
  <c r="G250" i="5"/>
  <c r="H250" i="5"/>
  <c r="I250" i="5"/>
  <c r="S250" i="5"/>
  <c r="B251" i="5"/>
  <c r="R251" i="5" s="1" a="1"/>
  <c r="R251" i="5" s="1"/>
  <c r="C251" i="5"/>
  <c r="N251" i="5" s="1"/>
  <c r="D251" i="5"/>
  <c r="E251" i="5"/>
  <c r="F251" i="5"/>
  <c r="G251" i="5"/>
  <c r="H251" i="5"/>
  <c r="I251" i="5"/>
  <c r="S251" i="5"/>
  <c r="B252" i="5"/>
  <c r="R252" i="5" s="1" a="1"/>
  <c r="R252" i="5" s="1"/>
  <c r="C252" i="5"/>
  <c r="D252" i="5"/>
  <c r="E252" i="5"/>
  <c r="F252" i="5"/>
  <c r="G252" i="5"/>
  <c r="H252" i="5"/>
  <c r="I252" i="5"/>
  <c r="S252" i="5"/>
  <c r="B253" i="5"/>
  <c r="P253" i="5" s="1"/>
  <c r="C253" i="5"/>
  <c r="M253" i="5" s="1"/>
  <c r="D253" i="5"/>
  <c r="E253" i="5"/>
  <c r="F253" i="5"/>
  <c r="G253" i="5"/>
  <c r="H253" i="5"/>
  <c r="I253" i="5"/>
  <c r="S253" i="5"/>
  <c r="B254" i="5"/>
  <c r="C254" i="5"/>
  <c r="N254" i="5" s="1"/>
  <c r="D254" i="5"/>
  <c r="E254" i="5"/>
  <c r="F254" i="5"/>
  <c r="G254" i="5"/>
  <c r="H254" i="5"/>
  <c r="I254" i="5"/>
  <c r="S254" i="5"/>
  <c r="B255" i="5"/>
  <c r="P255" i="5" s="1"/>
  <c r="C255" i="5"/>
  <c r="J255" i="5" s="1"/>
  <c r="D255" i="5"/>
  <c r="E255" i="5"/>
  <c r="F255" i="5"/>
  <c r="G255" i="5"/>
  <c r="H255" i="5"/>
  <c r="I255" i="5"/>
  <c r="S255" i="5"/>
  <c r="B256" i="5"/>
  <c r="Q256" i="5" s="1" a="1"/>
  <c r="Q256" i="5" s="1"/>
  <c r="C256" i="5"/>
  <c r="M256" i="5" s="1"/>
  <c r="D256" i="5"/>
  <c r="E256" i="5"/>
  <c r="F256" i="5"/>
  <c r="G256" i="5"/>
  <c r="H256" i="5"/>
  <c r="I256" i="5"/>
  <c r="B257" i="5"/>
  <c r="C257" i="5"/>
  <c r="L257" i="5" s="1"/>
  <c r="D257" i="5"/>
  <c r="E257" i="5"/>
  <c r="F257" i="5"/>
  <c r="G257" i="5"/>
  <c r="H257" i="5"/>
  <c r="I257" i="5"/>
  <c r="S257" i="5"/>
  <c r="B258" i="5"/>
  <c r="C258" i="5"/>
  <c r="N258" i="5" s="1"/>
  <c r="D258" i="5"/>
  <c r="E258" i="5"/>
  <c r="F258" i="5"/>
  <c r="G258" i="5"/>
  <c r="H258" i="5"/>
  <c r="I258" i="5"/>
  <c r="S258" i="5"/>
  <c r="B259" i="5"/>
  <c r="C259" i="5"/>
  <c r="D259" i="5"/>
  <c r="E259" i="5"/>
  <c r="F259" i="5"/>
  <c r="G259" i="5"/>
  <c r="H259" i="5"/>
  <c r="I259" i="5"/>
  <c r="S259" i="5"/>
  <c r="B260" i="5"/>
  <c r="P260" i="5" s="1"/>
  <c r="C260" i="5"/>
  <c r="D260" i="5"/>
  <c r="E260" i="5"/>
  <c r="F260" i="5"/>
  <c r="G260" i="5"/>
  <c r="H260" i="5"/>
  <c r="I260" i="5"/>
  <c r="S260" i="5"/>
  <c r="B261" i="5"/>
  <c r="P261" i="5" s="1"/>
  <c r="C261" i="5"/>
  <c r="D261" i="5"/>
  <c r="E261" i="5"/>
  <c r="F261" i="5"/>
  <c r="G261" i="5"/>
  <c r="H261" i="5"/>
  <c r="I261" i="5"/>
  <c r="S261" i="5"/>
  <c r="B262" i="5"/>
  <c r="Q262" i="5" s="1" a="1"/>
  <c r="Q262" i="5" s="1"/>
  <c r="C262" i="5"/>
  <c r="O262" i="5" s="1"/>
  <c r="D262" i="5"/>
  <c r="E262" i="5"/>
  <c r="F262" i="5"/>
  <c r="G262" i="5"/>
  <c r="H262" i="5"/>
  <c r="I262" i="5"/>
  <c r="S262" i="5"/>
  <c r="B263" i="5"/>
  <c r="Q263" i="5" s="1" a="1"/>
  <c r="Q263" i="5" s="1"/>
  <c r="C263" i="5"/>
  <c r="D263" i="5"/>
  <c r="E263" i="5"/>
  <c r="F263" i="5"/>
  <c r="G263" i="5"/>
  <c r="H263" i="5"/>
  <c r="I263" i="5"/>
  <c r="S263" i="5"/>
  <c r="B264" i="5"/>
  <c r="C264" i="5"/>
  <c r="J264" i="5" s="1"/>
  <c r="D264" i="5"/>
  <c r="E264" i="5"/>
  <c r="F264" i="5"/>
  <c r="G264" i="5"/>
  <c r="H264" i="5"/>
  <c r="I264" i="5"/>
  <c r="S264" i="5"/>
  <c r="B265" i="5"/>
  <c r="P265" i="5" s="1"/>
  <c r="C265" i="5"/>
  <c r="J265" i="5" s="1"/>
  <c r="D265" i="5"/>
  <c r="E265" i="5"/>
  <c r="F265" i="5"/>
  <c r="G265" i="5"/>
  <c r="H265" i="5"/>
  <c r="I265" i="5"/>
  <c r="S265" i="5"/>
  <c r="B266" i="5"/>
  <c r="C266" i="5"/>
  <c r="J266" i="5" s="1"/>
  <c r="D266" i="5"/>
  <c r="E266" i="5"/>
  <c r="F266" i="5"/>
  <c r="G266" i="5"/>
  <c r="H266" i="5"/>
  <c r="I266" i="5"/>
  <c r="S266" i="5"/>
  <c r="B267" i="5"/>
  <c r="C267" i="5"/>
  <c r="M267" i="5" s="1"/>
  <c r="D267" i="5"/>
  <c r="E267" i="5"/>
  <c r="F267" i="5"/>
  <c r="G267" i="5"/>
  <c r="H267" i="5"/>
  <c r="I267" i="5"/>
  <c r="S267" i="5"/>
  <c r="B268" i="5"/>
  <c r="C268" i="5"/>
  <c r="D268" i="5"/>
  <c r="E268" i="5"/>
  <c r="F268" i="5"/>
  <c r="G268" i="5"/>
  <c r="H268" i="5"/>
  <c r="I268" i="5"/>
  <c r="S268" i="5"/>
  <c r="B269" i="5"/>
  <c r="R269" i="5" s="1" a="1"/>
  <c r="R269" i="5" s="1"/>
  <c r="C269" i="5"/>
  <c r="D269" i="5"/>
  <c r="E269" i="5"/>
  <c r="F269" i="5"/>
  <c r="G269" i="5"/>
  <c r="H269" i="5"/>
  <c r="I269" i="5"/>
  <c r="S269" i="5"/>
  <c r="B270" i="5"/>
  <c r="P270" i="5" s="1"/>
  <c r="C270" i="5"/>
  <c r="N270" i="5" s="1"/>
  <c r="D270" i="5"/>
  <c r="E270" i="5"/>
  <c r="F270" i="5"/>
  <c r="G270" i="5"/>
  <c r="H270" i="5"/>
  <c r="I270" i="5"/>
  <c r="S270" i="5"/>
  <c r="B271" i="5"/>
  <c r="P271" i="5" s="1"/>
  <c r="C271" i="5"/>
  <c r="M271" i="5" s="1"/>
  <c r="D271" i="5"/>
  <c r="E271" i="5"/>
  <c r="F271" i="5"/>
  <c r="G271" i="5"/>
  <c r="H271" i="5"/>
  <c r="I271" i="5"/>
  <c r="S271" i="5"/>
  <c r="B272" i="5"/>
  <c r="Q272" i="5" s="1" a="1"/>
  <c r="Q272" i="5" s="1"/>
  <c r="C272" i="5"/>
  <c r="N272" i="5" s="1"/>
  <c r="D272" i="5"/>
  <c r="E272" i="5"/>
  <c r="F272" i="5"/>
  <c r="G272" i="5"/>
  <c r="H272" i="5"/>
  <c r="I272" i="5"/>
  <c r="S272" i="5"/>
  <c r="B273" i="5"/>
  <c r="R273" i="5" s="1" a="1"/>
  <c r="R273" i="5" s="1"/>
  <c r="C273" i="5"/>
  <c r="D273" i="5"/>
  <c r="E273" i="5"/>
  <c r="F273" i="5"/>
  <c r="G273" i="5"/>
  <c r="H273" i="5"/>
  <c r="I273" i="5"/>
  <c r="S273" i="5"/>
  <c r="B274" i="5"/>
  <c r="C274" i="5"/>
  <c r="M274" i="5" s="1"/>
  <c r="D274" i="5"/>
  <c r="E274" i="5"/>
  <c r="F274" i="5"/>
  <c r="G274" i="5"/>
  <c r="H274" i="5"/>
  <c r="I274" i="5"/>
  <c r="S274" i="5"/>
  <c r="B275" i="5"/>
  <c r="C275" i="5"/>
  <c r="D275" i="5"/>
  <c r="E275" i="5"/>
  <c r="F275" i="5"/>
  <c r="G275" i="5"/>
  <c r="H275" i="5"/>
  <c r="I275" i="5"/>
  <c r="S275" i="5"/>
  <c r="B276" i="5"/>
  <c r="C276" i="5"/>
  <c r="K276" i="5" s="1"/>
  <c r="D276" i="5"/>
  <c r="E276" i="5"/>
  <c r="F276" i="5"/>
  <c r="G276" i="5"/>
  <c r="H276" i="5"/>
  <c r="I276" i="5"/>
  <c r="S276" i="5"/>
  <c r="B277" i="5"/>
  <c r="R277" i="5" s="1" a="1"/>
  <c r="R277" i="5" s="1"/>
  <c r="C277" i="5"/>
  <c r="D277" i="5"/>
  <c r="E277" i="5"/>
  <c r="F277" i="5"/>
  <c r="G277" i="5"/>
  <c r="H277" i="5"/>
  <c r="I277" i="5"/>
  <c r="S277" i="5"/>
  <c r="B278" i="5"/>
  <c r="P278" i="5" s="1"/>
  <c r="C278" i="5"/>
  <c r="O278" i="5" s="1"/>
  <c r="D278" i="5"/>
  <c r="E278" i="5"/>
  <c r="F278" i="5"/>
  <c r="G278" i="5"/>
  <c r="H278" i="5"/>
  <c r="I278" i="5"/>
  <c r="S278" i="5"/>
  <c r="B279" i="5"/>
  <c r="C279" i="5"/>
  <c r="O279" i="5" s="1"/>
  <c r="D279" i="5"/>
  <c r="E279" i="5"/>
  <c r="F279" i="5"/>
  <c r="G279" i="5"/>
  <c r="H279" i="5"/>
  <c r="I279" i="5"/>
  <c r="S279" i="5"/>
  <c r="B280" i="5"/>
  <c r="C280" i="5"/>
  <c r="D280" i="5"/>
  <c r="E280" i="5"/>
  <c r="F280" i="5"/>
  <c r="G280" i="5"/>
  <c r="H280" i="5"/>
  <c r="I280" i="5"/>
  <c r="S280" i="5"/>
  <c r="B281" i="5"/>
  <c r="C281" i="5"/>
  <c r="D281" i="5"/>
  <c r="E281" i="5"/>
  <c r="F281" i="5"/>
  <c r="G281" i="5"/>
  <c r="H281" i="5"/>
  <c r="I281" i="5"/>
  <c r="S281" i="5"/>
  <c r="B282" i="5"/>
  <c r="Q282" i="5" s="1" a="1"/>
  <c r="Q282" i="5" s="1"/>
  <c r="C282" i="5"/>
  <c r="D282" i="5"/>
  <c r="E282" i="5"/>
  <c r="F282" i="5"/>
  <c r="G282" i="5"/>
  <c r="H282" i="5"/>
  <c r="I282" i="5"/>
  <c r="S282" i="5"/>
  <c r="B283" i="5"/>
  <c r="C283" i="5"/>
  <c r="D283" i="5"/>
  <c r="E283" i="5"/>
  <c r="F283" i="5"/>
  <c r="G283" i="5"/>
  <c r="H283" i="5"/>
  <c r="I283" i="5"/>
  <c r="S283" i="5"/>
  <c r="B284" i="5"/>
  <c r="R284" i="5" s="1" a="1"/>
  <c r="R284" i="5" s="1"/>
  <c r="C284" i="5"/>
  <c r="N284" i="5" s="1"/>
  <c r="D284" i="5"/>
  <c r="E284" i="5"/>
  <c r="F284" i="5"/>
  <c r="G284" i="5"/>
  <c r="H284" i="5"/>
  <c r="I284" i="5"/>
  <c r="S284" i="5"/>
  <c r="B285" i="5"/>
  <c r="P285" i="5" s="1"/>
  <c r="C285" i="5"/>
  <c r="K285" i="5" s="1"/>
  <c r="D285" i="5"/>
  <c r="E285" i="5"/>
  <c r="F285" i="5"/>
  <c r="G285" i="5"/>
  <c r="H285" i="5"/>
  <c r="I285" i="5"/>
  <c r="S285" i="5"/>
  <c r="B286" i="5"/>
  <c r="R286" i="5" s="1" a="1"/>
  <c r="R286" i="5" s="1"/>
  <c r="C286" i="5"/>
  <c r="K286" i="5" s="1"/>
  <c r="D286" i="5"/>
  <c r="E286" i="5"/>
  <c r="F286" i="5"/>
  <c r="G286" i="5"/>
  <c r="H286" i="5"/>
  <c r="I286" i="5"/>
  <c r="S286" i="5"/>
  <c r="B287" i="5"/>
  <c r="C287" i="5"/>
  <c r="K287" i="5" s="1"/>
  <c r="D287" i="5"/>
  <c r="E287" i="5"/>
  <c r="F287" i="5"/>
  <c r="G287" i="5"/>
  <c r="H287" i="5"/>
  <c r="I287" i="5"/>
  <c r="S287" i="5"/>
  <c r="B288" i="5"/>
  <c r="Q288" i="5" s="1" a="1"/>
  <c r="Q288" i="5" s="1"/>
  <c r="C288" i="5"/>
  <c r="L288" i="5" s="1"/>
  <c r="D288" i="5"/>
  <c r="E288" i="5"/>
  <c r="F288" i="5"/>
  <c r="G288" i="5"/>
  <c r="H288" i="5"/>
  <c r="I288" i="5"/>
  <c r="S288" i="5"/>
  <c r="B289" i="5"/>
  <c r="C289" i="5"/>
  <c r="D289" i="5"/>
  <c r="E289" i="5"/>
  <c r="F289" i="5"/>
  <c r="G289" i="5"/>
  <c r="H289" i="5"/>
  <c r="I289" i="5"/>
  <c r="S289" i="5"/>
  <c r="B290" i="5"/>
  <c r="R290" i="5" s="1" a="1"/>
  <c r="R290" i="5" s="1"/>
  <c r="C290" i="5"/>
  <c r="O290" i="5" s="1"/>
  <c r="D290" i="5"/>
  <c r="E290" i="5"/>
  <c r="F290" i="5"/>
  <c r="G290" i="5"/>
  <c r="H290" i="5"/>
  <c r="I290" i="5"/>
  <c r="S290" i="5"/>
  <c r="B291" i="5"/>
  <c r="R291" i="5" s="1" a="1"/>
  <c r="R291" i="5" s="1"/>
  <c r="C291" i="5"/>
  <c r="L291" i="5" s="1"/>
  <c r="D291" i="5"/>
  <c r="E291" i="5"/>
  <c r="F291" i="5"/>
  <c r="G291" i="5"/>
  <c r="H291" i="5"/>
  <c r="I291" i="5"/>
  <c r="S291" i="5"/>
  <c r="B292" i="5"/>
  <c r="C292" i="5"/>
  <c r="M292" i="5" s="1"/>
  <c r="D292" i="5"/>
  <c r="E292" i="5"/>
  <c r="F292" i="5"/>
  <c r="G292" i="5"/>
  <c r="H292" i="5"/>
  <c r="I292" i="5"/>
  <c r="S292" i="5"/>
  <c r="B293" i="5"/>
  <c r="Q293" i="5" s="1" a="1"/>
  <c r="Q293" i="5" s="1"/>
  <c r="C293" i="5"/>
  <c r="D293" i="5"/>
  <c r="E293" i="5"/>
  <c r="F293" i="5"/>
  <c r="G293" i="5"/>
  <c r="H293" i="5"/>
  <c r="I293" i="5"/>
  <c r="S293" i="5"/>
  <c r="B294" i="5"/>
  <c r="P294" i="5" s="1"/>
  <c r="C294" i="5"/>
  <c r="O294" i="5" s="1"/>
  <c r="D294" i="5"/>
  <c r="E294" i="5"/>
  <c r="F294" i="5"/>
  <c r="G294" i="5"/>
  <c r="H294" i="5"/>
  <c r="I294" i="5"/>
  <c r="S294" i="5"/>
  <c r="B295" i="5"/>
  <c r="C295" i="5"/>
  <c r="M295" i="5" s="1"/>
  <c r="D295" i="5"/>
  <c r="E295" i="5"/>
  <c r="F295" i="5"/>
  <c r="G295" i="5"/>
  <c r="H295" i="5"/>
  <c r="I295" i="5"/>
  <c r="S295" i="5"/>
  <c r="B296" i="5"/>
  <c r="C296" i="5"/>
  <c r="L296" i="5" s="1"/>
  <c r="D296" i="5"/>
  <c r="E296" i="5"/>
  <c r="F296" i="5"/>
  <c r="G296" i="5"/>
  <c r="H296" i="5"/>
  <c r="I296" i="5"/>
  <c r="S296" i="5"/>
  <c r="B297" i="5"/>
  <c r="P297" i="5" s="1"/>
  <c r="C297" i="5"/>
  <c r="J297" i="5" s="1"/>
  <c r="D297" i="5"/>
  <c r="E297" i="5"/>
  <c r="F297" i="5"/>
  <c r="G297" i="5"/>
  <c r="H297" i="5"/>
  <c r="I297" i="5"/>
  <c r="B298" i="5"/>
  <c r="R298" i="5" s="1" a="1"/>
  <c r="R298" i="5" s="1"/>
  <c r="C298" i="5"/>
  <c r="D298" i="5"/>
  <c r="E298" i="5"/>
  <c r="F298" i="5"/>
  <c r="G298" i="5"/>
  <c r="H298" i="5"/>
  <c r="I298" i="5"/>
  <c r="S298" i="5"/>
  <c r="B299" i="5"/>
  <c r="C299" i="5"/>
  <c r="D299" i="5"/>
  <c r="E299" i="5"/>
  <c r="F299" i="5"/>
  <c r="G299" i="5"/>
  <c r="H299" i="5"/>
  <c r="I299" i="5"/>
  <c r="S299" i="5"/>
  <c r="B300" i="5"/>
  <c r="R300" i="5" s="1" a="1"/>
  <c r="R300" i="5" s="1"/>
  <c r="C300" i="5"/>
  <c r="D300" i="5"/>
  <c r="E300" i="5"/>
  <c r="F300" i="5"/>
  <c r="G300" i="5"/>
  <c r="H300" i="5"/>
  <c r="I300" i="5"/>
  <c r="S300" i="5"/>
  <c r="B301" i="5"/>
  <c r="R301" i="5" s="1" a="1"/>
  <c r="R301" i="5" s="1"/>
  <c r="C301" i="5"/>
  <c r="L301" i="5" s="1"/>
  <c r="D301" i="5"/>
  <c r="E301" i="5"/>
  <c r="F301" i="5"/>
  <c r="G301" i="5"/>
  <c r="H301" i="5"/>
  <c r="I301" i="5"/>
  <c r="S301" i="5"/>
  <c r="B302" i="5"/>
  <c r="R302" i="5" s="1" a="1"/>
  <c r="R302" i="5" s="1"/>
  <c r="C302" i="5"/>
  <c r="M302" i="5" s="1"/>
  <c r="D302" i="5"/>
  <c r="E302" i="5"/>
  <c r="F302" i="5"/>
  <c r="G302" i="5"/>
  <c r="H302" i="5"/>
  <c r="I302" i="5"/>
  <c r="S302" i="5"/>
  <c r="B303" i="5"/>
  <c r="P303" i="5" s="1"/>
  <c r="C303" i="5"/>
  <c r="D303" i="5"/>
  <c r="E303" i="5"/>
  <c r="F303" i="5"/>
  <c r="G303" i="5"/>
  <c r="H303" i="5"/>
  <c r="I303" i="5"/>
  <c r="S303" i="5"/>
  <c r="B304" i="5"/>
  <c r="C304" i="5"/>
  <c r="D304" i="5"/>
  <c r="E304" i="5"/>
  <c r="F304" i="5"/>
  <c r="G304" i="5"/>
  <c r="H304" i="5"/>
  <c r="I304" i="5"/>
  <c r="S304" i="5"/>
  <c r="B305" i="5"/>
  <c r="C305" i="5"/>
  <c r="L305" i="5" s="1"/>
  <c r="D305" i="5"/>
  <c r="E305" i="5"/>
  <c r="F305" i="5"/>
  <c r="G305" i="5"/>
  <c r="H305" i="5"/>
  <c r="I305" i="5"/>
  <c r="S305" i="5"/>
  <c r="B306" i="5"/>
  <c r="R306" i="5" s="1" a="1"/>
  <c r="R306" i="5" s="1"/>
  <c r="C306" i="5"/>
  <c r="O306" i="5" s="1"/>
  <c r="D306" i="5"/>
  <c r="E306" i="5"/>
  <c r="F306" i="5"/>
  <c r="G306" i="5"/>
  <c r="H306" i="5"/>
  <c r="I306" i="5"/>
  <c r="S306" i="5"/>
  <c r="B307" i="5"/>
  <c r="P307" i="5" s="1"/>
  <c r="C307" i="5"/>
  <c r="D307" i="5"/>
  <c r="E307" i="5"/>
  <c r="F307" i="5"/>
  <c r="G307" i="5"/>
  <c r="H307" i="5"/>
  <c r="I307" i="5"/>
  <c r="S307" i="5"/>
  <c r="B308" i="5"/>
  <c r="C308" i="5"/>
  <c r="O308" i="5" s="1"/>
  <c r="D308" i="5"/>
  <c r="E308" i="5"/>
  <c r="F308" i="5"/>
  <c r="G308" i="5"/>
  <c r="H308" i="5"/>
  <c r="I308" i="5"/>
  <c r="S308" i="5"/>
  <c r="B309" i="5"/>
  <c r="C309" i="5"/>
  <c r="O309" i="5" s="1"/>
  <c r="D309" i="5"/>
  <c r="E309" i="5"/>
  <c r="F309" i="5"/>
  <c r="G309" i="5"/>
  <c r="H309" i="5"/>
  <c r="I309" i="5"/>
  <c r="S309" i="5"/>
  <c r="B310" i="5"/>
  <c r="C310" i="5"/>
  <c r="J310" i="5" s="1"/>
  <c r="D310" i="5"/>
  <c r="E310" i="5"/>
  <c r="F310" i="5"/>
  <c r="G310" i="5"/>
  <c r="H310" i="5"/>
  <c r="I310" i="5"/>
  <c r="S310" i="5"/>
  <c r="B311" i="5"/>
  <c r="Q311" i="5" s="1" a="1"/>
  <c r="Q311" i="5" s="1"/>
  <c r="C311" i="5"/>
  <c r="L311" i="5" s="1"/>
  <c r="D311" i="5"/>
  <c r="E311" i="5"/>
  <c r="F311" i="5"/>
  <c r="G311" i="5"/>
  <c r="H311" i="5"/>
  <c r="I311" i="5"/>
  <c r="S311" i="5"/>
  <c r="B312" i="5"/>
  <c r="C312" i="5"/>
  <c r="D312" i="5"/>
  <c r="E312" i="5"/>
  <c r="F312" i="5"/>
  <c r="G312" i="5"/>
  <c r="H312" i="5"/>
  <c r="I312" i="5"/>
  <c r="S312" i="5"/>
  <c r="B313" i="5"/>
  <c r="C313" i="5"/>
  <c r="L313" i="5" s="1"/>
  <c r="D313" i="5"/>
  <c r="E313" i="5"/>
  <c r="F313" i="5"/>
  <c r="G313" i="5"/>
  <c r="H313" i="5"/>
  <c r="I313" i="5"/>
  <c r="S313" i="5"/>
  <c r="B314" i="5"/>
  <c r="C314" i="5"/>
  <c r="K314" i="5" s="1"/>
  <c r="D314" i="5"/>
  <c r="E314" i="5"/>
  <c r="F314" i="5"/>
  <c r="G314" i="5"/>
  <c r="H314" i="5"/>
  <c r="I314" i="5"/>
  <c r="S314" i="5"/>
  <c r="B315" i="5"/>
  <c r="C315" i="5"/>
  <c r="O315" i="5" s="1"/>
  <c r="D315" i="5"/>
  <c r="E315" i="5"/>
  <c r="F315" i="5"/>
  <c r="G315" i="5"/>
  <c r="H315" i="5"/>
  <c r="I315" i="5"/>
  <c r="S315" i="5"/>
  <c r="B316" i="5"/>
  <c r="P316" i="5" s="1"/>
  <c r="C316" i="5"/>
  <c r="J316" i="5" s="1"/>
  <c r="D316" i="5"/>
  <c r="E316" i="5"/>
  <c r="F316" i="5"/>
  <c r="G316" i="5"/>
  <c r="H316" i="5"/>
  <c r="I316" i="5"/>
  <c r="S316" i="5"/>
  <c r="B317" i="5"/>
  <c r="C317" i="5"/>
  <c r="O317" i="5" s="1"/>
  <c r="D317" i="5"/>
  <c r="E317" i="5"/>
  <c r="F317" i="5"/>
  <c r="G317" i="5"/>
  <c r="H317" i="5"/>
  <c r="I317" i="5"/>
  <c r="S317" i="5"/>
  <c r="B318" i="5"/>
  <c r="C318" i="5"/>
  <c r="D318" i="5"/>
  <c r="E318" i="5"/>
  <c r="F318" i="5"/>
  <c r="G318" i="5"/>
  <c r="H318" i="5"/>
  <c r="I318" i="5"/>
  <c r="S318" i="5"/>
  <c r="B319" i="5"/>
  <c r="R319" i="5" s="1" a="1"/>
  <c r="R319" i="5" s="1"/>
  <c r="C319" i="5"/>
  <c r="K319" i="5" s="1"/>
  <c r="D319" i="5"/>
  <c r="E319" i="5"/>
  <c r="F319" i="5"/>
  <c r="G319" i="5"/>
  <c r="H319" i="5"/>
  <c r="I319" i="5"/>
  <c r="S319" i="5"/>
  <c r="B320" i="5"/>
  <c r="C320" i="5"/>
  <c r="L320" i="5" s="1"/>
  <c r="D320" i="5"/>
  <c r="E320" i="5"/>
  <c r="F320" i="5"/>
  <c r="G320" i="5"/>
  <c r="H320" i="5"/>
  <c r="I320" i="5"/>
  <c r="S320" i="5"/>
  <c r="B321" i="5"/>
  <c r="R321" i="5" s="1" a="1"/>
  <c r="R321" i="5" s="1"/>
  <c r="C321" i="5"/>
  <c r="N321" i="5" s="1"/>
  <c r="D321" i="5"/>
  <c r="E321" i="5"/>
  <c r="F321" i="5"/>
  <c r="G321" i="5"/>
  <c r="H321" i="5"/>
  <c r="I321" i="5"/>
  <c r="S321" i="5"/>
  <c r="B322" i="5"/>
  <c r="Q322" i="5" s="1" a="1"/>
  <c r="Q322" i="5" s="1"/>
  <c r="C322" i="5"/>
  <c r="O322" i="5" s="1"/>
  <c r="D322" i="5"/>
  <c r="E322" i="5"/>
  <c r="F322" i="5"/>
  <c r="G322" i="5"/>
  <c r="H322" i="5"/>
  <c r="I322" i="5"/>
  <c r="S322" i="5"/>
  <c r="B323" i="5"/>
  <c r="Q323" i="5" s="1" a="1"/>
  <c r="Q323" i="5" s="1"/>
  <c r="C323" i="5"/>
  <c r="M323" i="5" s="1"/>
  <c r="D323" i="5"/>
  <c r="E323" i="5"/>
  <c r="F323" i="5"/>
  <c r="G323" i="5"/>
  <c r="H323" i="5"/>
  <c r="I323" i="5"/>
  <c r="S323" i="5"/>
  <c r="B324" i="5"/>
  <c r="R324" i="5" s="1" a="1"/>
  <c r="R324" i="5" s="1"/>
  <c r="C324" i="5"/>
  <c r="M324" i="5" s="1"/>
  <c r="D324" i="5"/>
  <c r="E324" i="5"/>
  <c r="F324" i="5"/>
  <c r="G324" i="5"/>
  <c r="H324" i="5"/>
  <c r="I324" i="5"/>
  <c r="S324" i="5"/>
  <c r="B325" i="5"/>
  <c r="R325" i="5" s="1" a="1"/>
  <c r="R325" i="5" s="1"/>
  <c r="C325" i="5"/>
  <c r="D325" i="5"/>
  <c r="E325" i="5"/>
  <c r="F325" i="5"/>
  <c r="G325" i="5"/>
  <c r="H325" i="5"/>
  <c r="I325" i="5"/>
  <c r="S325" i="5"/>
  <c r="B326" i="5"/>
  <c r="P326" i="5" s="1"/>
  <c r="C326" i="5"/>
  <c r="D326" i="5"/>
  <c r="E326" i="5"/>
  <c r="F326" i="5"/>
  <c r="G326" i="5"/>
  <c r="H326" i="5"/>
  <c r="I326" i="5"/>
  <c r="S326" i="5"/>
  <c r="B327" i="5"/>
  <c r="C327" i="5"/>
  <c r="D327" i="5"/>
  <c r="E327" i="5"/>
  <c r="F327" i="5"/>
  <c r="G327" i="5"/>
  <c r="H327" i="5"/>
  <c r="I327" i="5"/>
  <c r="S327" i="5"/>
  <c r="B328" i="5"/>
  <c r="Q328" i="5" s="1" a="1"/>
  <c r="Q328" i="5" s="1"/>
  <c r="C328" i="5"/>
  <c r="D328" i="5"/>
  <c r="E328" i="5"/>
  <c r="F328" i="5"/>
  <c r="G328" i="5"/>
  <c r="H328" i="5"/>
  <c r="I328" i="5"/>
  <c r="S328" i="5"/>
  <c r="B329" i="5"/>
  <c r="C329" i="5"/>
  <c r="D329" i="5"/>
  <c r="E329" i="5"/>
  <c r="F329" i="5"/>
  <c r="G329" i="5"/>
  <c r="H329" i="5"/>
  <c r="I329" i="5"/>
  <c r="S329" i="5"/>
  <c r="B330" i="5"/>
  <c r="C330" i="5"/>
  <c r="D330" i="5"/>
  <c r="E330" i="5"/>
  <c r="F330" i="5"/>
  <c r="G330" i="5"/>
  <c r="H330" i="5"/>
  <c r="I330" i="5"/>
  <c r="S330" i="5"/>
  <c r="B331" i="5"/>
  <c r="P331" i="5" s="1"/>
  <c r="C331" i="5"/>
  <c r="N331" i="5" s="1"/>
  <c r="D331" i="5"/>
  <c r="E331" i="5"/>
  <c r="F331" i="5"/>
  <c r="G331" i="5"/>
  <c r="H331" i="5"/>
  <c r="I331" i="5"/>
  <c r="S331" i="5"/>
  <c r="B332" i="5"/>
  <c r="C332" i="5"/>
  <c r="J332" i="5" s="1"/>
  <c r="D332" i="5"/>
  <c r="E332" i="5"/>
  <c r="F332" i="5"/>
  <c r="G332" i="5"/>
  <c r="H332" i="5"/>
  <c r="I332" i="5"/>
  <c r="S332" i="5"/>
  <c r="B333" i="5"/>
  <c r="R333" i="5" s="1" a="1"/>
  <c r="R333" i="5" s="1"/>
  <c r="C333" i="5"/>
  <c r="O333" i="5" s="1"/>
  <c r="D333" i="5"/>
  <c r="E333" i="5"/>
  <c r="F333" i="5"/>
  <c r="G333" i="5"/>
  <c r="H333" i="5"/>
  <c r="I333" i="5"/>
  <c r="S333" i="5"/>
  <c r="B334" i="5"/>
  <c r="C334" i="5"/>
  <c r="D334" i="5"/>
  <c r="E334" i="5"/>
  <c r="F334" i="5"/>
  <c r="G334" i="5"/>
  <c r="H334" i="5"/>
  <c r="I334" i="5"/>
  <c r="S334" i="5"/>
  <c r="B335" i="5"/>
  <c r="P335" i="5" s="1"/>
  <c r="C335" i="5"/>
  <c r="D335" i="5"/>
  <c r="E335" i="5"/>
  <c r="F335" i="5"/>
  <c r="G335" i="5"/>
  <c r="H335" i="5"/>
  <c r="I335" i="5"/>
  <c r="S335" i="5"/>
  <c r="B336" i="5"/>
  <c r="C336" i="5"/>
  <c r="L336" i="5" s="1"/>
  <c r="D336" i="5"/>
  <c r="E336" i="5"/>
  <c r="F336" i="5"/>
  <c r="G336" i="5"/>
  <c r="H336" i="5"/>
  <c r="I336" i="5"/>
  <c r="S336" i="5"/>
  <c r="B337" i="5"/>
  <c r="C337" i="5"/>
  <c r="L337" i="5" s="1"/>
  <c r="D337" i="5"/>
  <c r="E337" i="5"/>
  <c r="F337" i="5"/>
  <c r="G337" i="5"/>
  <c r="H337" i="5"/>
  <c r="I337" i="5"/>
  <c r="S337" i="5"/>
  <c r="B338" i="5"/>
  <c r="P338" i="5" s="1"/>
  <c r="C338" i="5"/>
  <c r="K338" i="5" s="1"/>
  <c r="D338" i="5"/>
  <c r="E338" i="5"/>
  <c r="F338" i="5"/>
  <c r="G338" i="5"/>
  <c r="H338" i="5"/>
  <c r="I338" i="5"/>
  <c r="S338" i="5"/>
  <c r="B339" i="5"/>
  <c r="P339" i="5" s="1"/>
  <c r="C339" i="5"/>
  <c r="J339" i="5" s="1"/>
  <c r="D339" i="5"/>
  <c r="E339" i="5"/>
  <c r="F339" i="5"/>
  <c r="G339" i="5"/>
  <c r="H339" i="5"/>
  <c r="I339" i="5"/>
  <c r="S339" i="5"/>
  <c r="B340" i="5"/>
  <c r="R340" i="5" s="1" a="1"/>
  <c r="R340" i="5" s="1"/>
  <c r="C340" i="5"/>
  <c r="M340" i="5" s="1"/>
  <c r="D340" i="5"/>
  <c r="E340" i="5"/>
  <c r="F340" i="5"/>
  <c r="G340" i="5"/>
  <c r="H340" i="5"/>
  <c r="I340" i="5"/>
  <c r="S340" i="5"/>
  <c r="B341" i="5"/>
  <c r="C341" i="5"/>
  <c r="M341" i="5" s="1"/>
  <c r="D341" i="5"/>
  <c r="E341" i="5"/>
  <c r="F341" i="5"/>
  <c r="G341" i="5"/>
  <c r="H341" i="5"/>
  <c r="I341" i="5"/>
  <c r="S341" i="5"/>
  <c r="B342" i="5"/>
  <c r="R342" i="5" s="1" a="1"/>
  <c r="R342" i="5" s="1"/>
  <c r="C342" i="5"/>
  <c r="M342" i="5" s="1"/>
  <c r="D342" i="5"/>
  <c r="E342" i="5"/>
  <c r="F342" i="5"/>
  <c r="G342" i="5"/>
  <c r="H342" i="5"/>
  <c r="I342" i="5"/>
  <c r="S342" i="5"/>
  <c r="B343" i="5"/>
  <c r="R343" i="5" s="1" a="1"/>
  <c r="R343" i="5" s="1"/>
  <c r="C343" i="5"/>
  <c r="K343" i="5" s="1"/>
  <c r="D343" i="5"/>
  <c r="E343" i="5"/>
  <c r="F343" i="5"/>
  <c r="G343" i="5"/>
  <c r="H343" i="5"/>
  <c r="I343" i="5"/>
  <c r="S343" i="5"/>
  <c r="B344" i="5"/>
  <c r="R344" i="5" s="1" a="1"/>
  <c r="R344" i="5" s="1"/>
  <c r="C344" i="5"/>
  <c r="J344" i="5" s="1"/>
  <c r="D344" i="5"/>
  <c r="E344" i="5"/>
  <c r="F344" i="5"/>
  <c r="G344" i="5"/>
  <c r="H344" i="5"/>
  <c r="I344" i="5"/>
  <c r="S344" i="5"/>
  <c r="B345" i="5"/>
  <c r="C345" i="5"/>
  <c r="D345" i="5"/>
  <c r="E345" i="5"/>
  <c r="F345" i="5"/>
  <c r="G345" i="5"/>
  <c r="H345" i="5"/>
  <c r="I345" i="5"/>
  <c r="S345" i="5"/>
  <c r="B346" i="5"/>
  <c r="P346" i="5" s="1"/>
  <c r="C346" i="5"/>
  <c r="O346" i="5" s="1"/>
  <c r="D346" i="5"/>
  <c r="E346" i="5"/>
  <c r="F346" i="5"/>
  <c r="G346" i="5"/>
  <c r="H346" i="5"/>
  <c r="I346" i="5"/>
  <c r="S346" i="5"/>
  <c r="B347" i="5"/>
  <c r="P347" i="5" s="1"/>
  <c r="C347" i="5"/>
  <c r="K347" i="5" s="1"/>
  <c r="D347" i="5"/>
  <c r="E347" i="5"/>
  <c r="F347" i="5"/>
  <c r="G347" i="5"/>
  <c r="H347" i="5"/>
  <c r="I347" i="5"/>
  <c r="S347" i="5"/>
  <c r="B348" i="5"/>
  <c r="R348" i="5" s="1" a="1"/>
  <c r="R348" i="5" s="1"/>
  <c r="C348" i="5"/>
  <c r="D348" i="5"/>
  <c r="E348" i="5"/>
  <c r="F348" i="5"/>
  <c r="G348" i="5"/>
  <c r="H348" i="5"/>
  <c r="I348" i="5"/>
  <c r="S348" i="5"/>
  <c r="B349" i="5"/>
  <c r="P349" i="5" s="1"/>
  <c r="C349" i="5"/>
  <c r="D349" i="5"/>
  <c r="E349" i="5"/>
  <c r="F349" i="5"/>
  <c r="G349" i="5"/>
  <c r="H349" i="5"/>
  <c r="I349" i="5"/>
  <c r="S349" i="5"/>
  <c r="B350" i="5"/>
  <c r="C350" i="5"/>
  <c r="D350" i="5"/>
  <c r="E350" i="5"/>
  <c r="F350" i="5"/>
  <c r="G350" i="5"/>
  <c r="H350" i="5"/>
  <c r="I350" i="5"/>
  <c r="S350" i="5"/>
  <c r="B351" i="5"/>
  <c r="Q351" i="5" s="1" a="1"/>
  <c r="Q351" i="5" s="1"/>
  <c r="C351" i="5"/>
  <c r="M351" i="5" s="1"/>
  <c r="D351" i="5"/>
  <c r="E351" i="5"/>
  <c r="F351" i="5"/>
  <c r="G351" i="5"/>
  <c r="H351" i="5"/>
  <c r="I351" i="5"/>
  <c r="S351" i="5"/>
  <c r="B352" i="5"/>
  <c r="R352" i="5" s="1" a="1"/>
  <c r="R352" i="5" s="1"/>
  <c r="C352" i="5"/>
  <c r="N352" i="5" s="1"/>
  <c r="D352" i="5"/>
  <c r="E352" i="5"/>
  <c r="F352" i="5"/>
  <c r="G352" i="5"/>
  <c r="H352" i="5"/>
  <c r="I352" i="5"/>
  <c r="S352" i="5"/>
  <c r="B353" i="5"/>
  <c r="Q353" i="5" s="1" a="1"/>
  <c r="Q353" i="5" s="1"/>
  <c r="C353" i="5"/>
  <c r="M353" i="5" s="1"/>
  <c r="D353" i="5"/>
  <c r="E353" i="5"/>
  <c r="F353" i="5"/>
  <c r="G353" i="5"/>
  <c r="H353" i="5"/>
  <c r="I353" i="5"/>
  <c r="S353" i="5"/>
  <c r="B354" i="5"/>
  <c r="P354" i="5" s="1"/>
  <c r="C354" i="5"/>
  <c r="N354" i="5" s="1"/>
  <c r="D354" i="5"/>
  <c r="E354" i="5"/>
  <c r="F354" i="5"/>
  <c r="G354" i="5"/>
  <c r="H354" i="5"/>
  <c r="I354" i="5"/>
  <c r="S354" i="5"/>
  <c r="B355" i="5"/>
  <c r="P355" i="5" s="1"/>
  <c r="C355" i="5"/>
  <c r="D355" i="5"/>
  <c r="E355" i="5"/>
  <c r="F355" i="5"/>
  <c r="G355" i="5"/>
  <c r="H355" i="5"/>
  <c r="I355" i="5"/>
  <c r="S355" i="5"/>
  <c r="B356" i="5"/>
  <c r="C356" i="5"/>
  <c r="J356" i="5" s="1"/>
  <c r="D356" i="5"/>
  <c r="E356" i="5"/>
  <c r="F356" i="5"/>
  <c r="G356" i="5"/>
  <c r="H356" i="5"/>
  <c r="I356" i="5"/>
  <c r="S356" i="5"/>
  <c r="B357" i="5"/>
  <c r="P357" i="5" s="1"/>
  <c r="C357" i="5"/>
  <c r="D357" i="5"/>
  <c r="E357" i="5"/>
  <c r="F357" i="5"/>
  <c r="G357" i="5"/>
  <c r="H357" i="5"/>
  <c r="I357" i="5"/>
  <c r="S357" i="5"/>
  <c r="B358" i="5"/>
  <c r="C358" i="5"/>
  <c r="J358" i="5" s="1"/>
  <c r="D358" i="5"/>
  <c r="E358" i="5"/>
  <c r="F358" i="5"/>
  <c r="G358" i="5"/>
  <c r="H358" i="5"/>
  <c r="I358" i="5"/>
  <c r="S358" i="5"/>
  <c r="B359" i="5"/>
  <c r="C359" i="5"/>
  <c r="D359" i="5"/>
  <c r="E359" i="5"/>
  <c r="F359" i="5"/>
  <c r="G359" i="5"/>
  <c r="H359" i="5"/>
  <c r="I359" i="5"/>
  <c r="S359" i="5"/>
  <c r="B360" i="5"/>
  <c r="C360" i="5"/>
  <c r="J360" i="5" s="1"/>
  <c r="D360" i="5"/>
  <c r="E360" i="5"/>
  <c r="F360" i="5"/>
  <c r="G360" i="5"/>
  <c r="H360" i="5"/>
  <c r="I360" i="5"/>
  <c r="S360" i="5"/>
  <c r="B361" i="5"/>
  <c r="C361" i="5"/>
  <c r="N361" i="5" s="1"/>
  <c r="D361" i="5"/>
  <c r="E361" i="5"/>
  <c r="F361" i="5"/>
  <c r="G361" i="5"/>
  <c r="H361" i="5"/>
  <c r="I361" i="5"/>
  <c r="S361" i="5"/>
  <c r="B362" i="5"/>
  <c r="R362" i="5" s="1" a="1"/>
  <c r="R362" i="5" s="1"/>
  <c r="C362" i="5"/>
  <c r="M362" i="5" s="1"/>
  <c r="D362" i="5"/>
  <c r="E362" i="5"/>
  <c r="F362" i="5"/>
  <c r="G362" i="5"/>
  <c r="H362" i="5"/>
  <c r="I362" i="5"/>
  <c r="S362" i="5"/>
  <c r="B363" i="5"/>
  <c r="R363" i="5" s="1" a="1"/>
  <c r="R363" i="5" s="1"/>
  <c r="C363" i="5"/>
  <c r="L363" i="5" s="1"/>
  <c r="D363" i="5"/>
  <c r="E363" i="5"/>
  <c r="F363" i="5"/>
  <c r="G363" i="5"/>
  <c r="H363" i="5"/>
  <c r="I363" i="5"/>
  <c r="S363" i="5"/>
  <c r="B364" i="5"/>
  <c r="C364" i="5"/>
  <c r="K364" i="5" s="1"/>
  <c r="D364" i="5"/>
  <c r="E364" i="5"/>
  <c r="F364" i="5"/>
  <c r="G364" i="5"/>
  <c r="H364" i="5"/>
  <c r="I364" i="5"/>
  <c r="S364" i="5"/>
  <c r="B365" i="5"/>
  <c r="R365" i="5" s="1" a="1"/>
  <c r="R365" i="5" s="1"/>
  <c r="C365" i="5"/>
  <c r="O365" i="5" s="1"/>
  <c r="D365" i="5"/>
  <c r="E365" i="5"/>
  <c r="F365" i="5"/>
  <c r="G365" i="5"/>
  <c r="H365" i="5"/>
  <c r="I365" i="5"/>
  <c r="S365" i="5"/>
  <c r="B366" i="5"/>
  <c r="Q366" i="5" s="1" a="1"/>
  <c r="Q366" i="5" s="1"/>
  <c r="C366" i="5"/>
  <c r="M366" i="5" s="1"/>
  <c r="D366" i="5"/>
  <c r="E366" i="5"/>
  <c r="F366" i="5"/>
  <c r="G366" i="5"/>
  <c r="H366" i="5"/>
  <c r="I366" i="5"/>
  <c r="S366" i="5"/>
  <c r="B367" i="5"/>
  <c r="P367" i="5" s="1"/>
  <c r="C367" i="5"/>
  <c r="D367" i="5"/>
  <c r="E367" i="5"/>
  <c r="F367" i="5"/>
  <c r="G367" i="5"/>
  <c r="H367" i="5"/>
  <c r="I367" i="5"/>
  <c r="S367" i="5"/>
  <c r="B368" i="5"/>
  <c r="R368" i="5" s="1" a="1"/>
  <c r="R368" i="5" s="1"/>
  <c r="C368" i="5"/>
  <c r="L368" i="5" s="1"/>
  <c r="D368" i="5"/>
  <c r="E368" i="5"/>
  <c r="F368" i="5"/>
  <c r="G368" i="5"/>
  <c r="H368" i="5"/>
  <c r="I368" i="5"/>
  <c r="S368" i="5"/>
  <c r="B369" i="5"/>
  <c r="R369" i="5" s="1" a="1"/>
  <c r="R369" i="5" s="1"/>
  <c r="C369" i="5"/>
  <c r="L369" i="5" s="1"/>
  <c r="D369" i="5"/>
  <c r="E369" i="5"/>
  <c r="F369" i="5"/>
  <c r="G369" i="5"/>
  <c r="H369" i="5"/>
  <c r="I369" i="5"/>
  <c r="S369" i="5"/>
  <c r="B370" i="5"/>
  <c r="R370" i="5" s="1" a="1"/>
  <c r="R370" i="5" s="1"/>
  <c r="C370" i="5"/>
  <c r="K370" i="5" s="1"/>
  <c r="D370" i="5"/>
  <c r="E370" i="5"/>
  <c r="F370" i="5"/>
  <c r="G370" i="5"/>
  <c r="H370" i="5"/>
  <c r="I370" i="5"/>
  <c r="S370" i="5"/>
  <c r="B371" i="5"/>
  <c r="C371" i="5"/>
  <c r="L371" i="5" s="1"/>
  <c r="D371" i="5"/>
  <c r="E371" i="5"/>
  <c r="F371" i="5"/>
  <c r="G371" i="5"/>
  <c r="H371" i="5"/>
  <c r="I371" i="5"/>
  <c r="S371" i="5"/>
  <c r="B372" i="5"/>
  <c r="C372" i="5"/>
  <c r="L372" i="5" s="1"/>
  <c r="D372" i="5"/>
  <c r="E372" i="5"/>
  <c r="F372" i="5"/>
  <c r="G372" i="5"/>
  <c r="H372" i="5"/>
  <c r="I372" i="5"/>
  <c r="S372" i="5"/>
  <c r="B373" i="5"/>
  <c r="R373" i="5" s="1" a="1"/>
  <c r="R373" i="5" s="1"/>
  <c r="C373" i="5"/>
  <c r="J373" i="5" s="1"/>
  <c r="D373" i="5"/>
  <c r="E373" i="5"/>
  <c r="F373" i="5"/>
  <c r="G373" i="5"/>
  <c r="H373" i="5"/>
  <c r="I373" i="5"/>
  <c r="S373" i="5"/>
  <c r="B374" i="5"/>
  <c r="R374" i="5" s="1" a="1"/>
  <c r="R374" i="5" s="1"/>
  <c r="C374" i="5"/>
  <c r="J374" i="5" s="1"/>
  <c r="D374" i="5"/>
  <c r="E374" i="5"/>
  <c r="F374" i="5"/>
  <c r="G374" i="5"/>
  <c r="H374" i="5"/>
  <c r="I374" i="5"/>
  <c r="S374" i="5"/>
  <c r="B375" i="5"/>
  <c r="Q375" i="5" s="1" a="1"/>
  <c r="Q375" i="5" s="1"/>
  <c r="C375" i="5"/>
  <c r="L375" i="5" s="1"/>
  <c r="D375" i="5"/>
  <c r="E375" i="5"/>
  <c r="F375" i="5"/>
  <c r="G375" i="5"/>
  <c r="H375" i="5"/>
  <c r="I375" i="5"/>
  <c r="S375" i="5"/>
  <c r="B376" i="5"/>
  <c r="R376" i="5" s="1" a="1"/>
  <c r="R376" i="5" s="1"/>
  <c r="C376" i="5"/>
  <c r="K376" i="5" s="1"/>
  <c r="D376" i="5"/>
  <c r="E376" i="5"/>
  <c r="F376" i="5"/>
  <c r="G376" i="5"/>
  <c r="H376" i="5"/>
  <c r="I376" i="5"/>
  <c r="S376" i="5"/>
  <c r="B377" i="5"/>
  <c r="P377" i="5" s="1"/>
  <c r="C377" i="5"/>
  <c r="J377" i="5" s="1"/>
  <c r="D377" i="5"/>
  <c r="E377" i="5"/>
  <c r="F377" i="5"/>
  <c r="G377" i="5"/>
  <c r="H377" i="5"/>
  <c r="I377" i="5"/>
  <c r="S377" i="5"/>
  <c r="B378" i="5"/>
  <c r="R378" i="5" s="1" a="1"/>
  <c r="R378" i="5" s="1"/>
  <c r="C378" i="5"/>
  <c r="J378" i="5" s="1"/>
  <c r="D378" i="5"/>
  <c r="E378" i="5"/>
  <c r="F378" i="5"/>
  <c r="G378" i="5"/>
  <c r="H378" i="5"/>
  <c r="I378" i="5"/>
  <c r="S378" i="5"/>
  <c r="B379" i="5"/>
  <c r="C379" i="5"/>
  <c r="L379" i="5" s="1"/>
  <c r="D379" i="5"/>
  <c r="E379" i="5"/>
  <c r="F379" i="5"/>
  <c r="G379" i="5"/>
  <c r="H379" i="5"/>
  <c r="I379" i="5"/>
  <c r="S379" i="5"/>
  <c r="B380" i="5"/>
  <c r="R380" i="5" s="1" a="1"/>
  <c r="R380" i="5" s="1"/>
  <c r="C380" i="5"/>
  <c r="J380" i="5" s="1"/>
  <c r="D380" i="5"/>
  <c r="E380" i="5"/>
  <c r="F380" i="5"/>
  <c r="G380" i="5"/>
  <c r="H380" i="5"/>
  <c r="I380" i="5"/>
  <c r="S380" i="5"/>
  <c r="B381" i="5"/>
  <c r="C381" i="5"/>
  <c r="L381" i="5" s="1"/>
  <c r="D381" i="5"/>
  <c r="E381" i="5"/>
  <c r="F381" i="5"/>
  <c r="G381" i="5"/>
  <c r="H381" i="5"/>
  <c r="I381" i="5"/>
  <c r="S381" i="5"/>
  <c r="B382" i="5"/>
  <c r="C382" i="5"/>
  <c r="D382" i="5"/>
  <c r="E382" i="5"/>
  <c r="F382" i="5"/>
  <c r="G382" i="5"/>
  <c r="H382" i="5"/>
  <c r="I382" i="5"/>
  <c r="S382" i="5"/>
  <c r="B383" i="5"/>
  <c r="P383" i="5" s="1"/>
  <c r="C383" i="5"/>
  <c r="D383" i="5"/>
  <c r="E383" i="5"/>
  <c r="F383" i="5"/>
  <c r="G383" i="5"/>
  <c r="H383" i="5"/>
  <c r="I383" i="5"/>
  <c r="S383" i="5"/>
  <c r="B384" i="5"/>
  <c r="Q384" i="5" s="1" a="1"/>
  <c r="Q384" i="5" s="1"/>
  <c r="C384" i="5"/>
  <c r="O384" i="5" s="1"/>
  <c r="D384" i="5"/>
  <c r="E384" i="5"/>
  <c r="F384" i="5"/>
  <c r="G384" i="5"/>
  <c r="H384" i="5"/>
  <c r="I384" i="5"/>
  <c r="S384" i="5"/>
  <c r="B385" i="5"/>
  <c r="R385" i="5" s="1" a="1"/>
  <c r="R385" i="5" s="1"/>
  <c r="C385" i="5"/>
  <c r="D385" i="5"/>
  <c r="E385" i="5"/>
  <c r="F385" i="5"/>
  <c r="G385" i="5"/>
  <c r="H385" i="5"/>
  <c r="I385" i="5"/>
  <c r="S385" i="5"/>
  <c r="B386" i="5"/>
  <c r="C386" i="5"/>
  <c r="M386" i="5" s="1"/>
  <c r="D386" i="5"/>
  <c r="E386" i="5"/>
  <c r="F386" i="5"/>
  <c r="G386" i="5"/>
  <c r="H386" i="5"/>
  <c r="I386" i="5"/>
  <c r="S386" i="5"/>
  <c r="B387" i="5"/>
  <c r="R387" i="5" s="1" a="1"/>
  <c r="R387" i="5" s="1"/>
  <c r="C387" i="5"/>
  <c r="K387" i="5" s="1"/>
  <c r="D387" i="5"/>
  <c r="E387" i="5"/>
  <c r="F387" i="5"/>
  <c r="G387" i="5"/>
  <c r="H387" i="5"/>
  <c r="I387" i="5"/>
  <c r="S387" i="5"/>
  <c r="B388" i="5"/>
  <c r="C388" i="5"/>
  <c r="D388" i="5"/>
  <c r="E388" i="5"/>
  <c r="F388" i="5"/>
  <c r="G388" i="5"/>
  <c r="H388" i="5"/>
  <c r="I388" i="5"/>
  <c r="S388" i="5"/>
  <c r="B389" i="5"/>
  <c r="R389" i="5" s="1" a="1"/>
  <c r="R389" i="5" s="1"/>
  <c r="C389" i="5"/>
  <c r="D389" i="5"/>
  <c r="E389" i="5"/>
  <c r="F389" i="5"/>
  <c r="G389" i="5"/>
  <c r="H389" i="5"/>
  <c r="I389" i="5"/>
  <c r="S389" i="5"/>
  <c r="B390" i="5"/>
  <c r="P390" i="5" s="1"/>
  <c r="C390" i="5"/>
  <c r="L390" i="5" s="1"/>
  <c r="D390" i="5"/>
  <c r="E390" i="5"/>
  <c r="F390" i="5"/>
  <c r="G390" i="5"/>
  <c r="H390" i="5"/>
  <c r="I390" i="5"/>
  <c r="S390" i="5"/>
  <c r="B391" i="5"/>
  <c r="C391" i="5"/>
  <c r="K391" i="5" s="1"/>
  <c r="D391" i="5"/>
  <c r="E391" i="5"/>
  <c r="F391" i="5"/>
  <c r="G391" i="5"/>
  <c r="H391" i="5"/>
  <c r="I391" i="5"/>
  <c r="S391" i="5"/>
  <c r="B392" i="5"/>
  <c r="R392" i="5" s="1" a="1"/>
  <c r="R392" i="5" s="1"/>
  <c r="C392" i="5"/>
  <c r="K392" i="5" s="1"/>
  <c r="D392" i="5"/>
  <c r="E392" i="5"/>
  <c r="F392" i="5"/>
  <c r="G392" i="5"/>
  <c r="H392" i="5"/>
  <c r="I392" i="5"/>
  <c r="S392" i="5"/>
  <c r="B393" i="5"/>
  <c r="Q393" i="5" s="1" a="1"/>
  <c r="Q393" i="5" s="1"/>
  <c r="C393" i="5"/>
  <c r="M393" i="5" s="1"/>
  <c r="D393" i="5"/>
  <c r="E393" i="5"/>
  <c r="F393" i="5"/>
  <c r="G393" i="5"/>
  <c r="H393" i="5"/>
  <c r="I393" i="5"/>
  <c r="S393" i="5"/>
  <c r="B394" i="5"/>
  <c r="R394" i="5" s="1" a="1"/>
  <c r="R394" i="5" s="1"/>
  <c r="C394" i="5"/>
  <c r="K394" i="5" s="1"/>
  <c r="D394" i="5"/>
  <c r="E394" i="5"/>
  <c r="F394" i="5"/>
  <c r="G394" i="5"/>
  <c r="H394" i="5"/>
  <c r="I394" i="5"/>
  <c r="S394" i="5"/>
  <c r="B395" i="5"/>
  <c r="Q395" i="5" s="1" a="1"/>
  <c r="Q395" i="5" s="1"/>
  <c r="C395" i="5"/>
  <c r="D395" i="5"/>
  <c r="E395" i="5"/>
  <c r="F395" i="5"/>
  <c r="G395" i="5"/>
  <c r="H395" i="5"/>
  <c r="I395" i="5"/>
  <c r="S395" i="5"/>
  <c r="B396" i="5"/>
  <c r="R396" i="5" s="1" a="1"/>
  <c r="R396" i="5" s="1"/>
  <c r="C396" i="5"/>
  <c r="J396" i="5" s="1"/>
  <c r="D396" i="5"/>
  <c r="E396" i="5"/>
  <c r="F396" i="5"/>
  <c r="G396" i="5"/>
  <c r="H396" i="5"/>
  <c r="I396" i="5"/>
  <c r="S396" i="5"/>
  <c r="B397" i="5"/>
  <c r="P397" i="5" s="1"/>
  <c r="C397" i="5"/>
  <c r="D397" i="5"/>
  <c r="E397" i="5"/>
  <c r="F397" i="5"/>
  <c r="G397" i="5"/>
  <c r="H397" i="5"/>
  <c r="I397" i="5"/>
  <c r="S397" i="5"/>
  <c r="B398" i="5"/>
  <c r="C398" i="5"/>
  <c r="K398" i="5" s="1"/>
  <c r="D398" i="5"/>
  <c r="E398" i="5"/>
  <c r="F398" i="5"/>
  <c r="G398" i="5"/>
  <c r="H398" i="5"/>
  <c r="I398" i="5"/>
  <c r="S398" i="5"/>
  <c r="B399" i="5"/>
  <c r="Q399" i="5" s="1" a="1"/>
  <c r="Q399" i="5" s="1"/>
  <c r="C399" i="5"/>
  <c r="D399" i="5"/>
  <c r="E399" i="5"/>
  <c r="F399" i="5"/>
  <c r="G399" i="5"/>
  <c r="H399" i="5"/>
  <c r="I399" i="5"/>
  <c r="S399" i="5"/>
  <c r="B400" i="5"/>
  <c r="R400" i="5" s="1" a="1"/>
  <c r="R400" i="5" s="1"/>
  <c r="C400" i="5"/>
  <c r="J400" i="5" s="1"/>
  <c r="D400" i="5"/>
  <c r="E400" i="5"/>
  <c r="F400" i="5"/>
  <c r="G400" i="5"/>
  <c r="H400" i="5"/>
  <c r="I400" i="5"/>
  <c r="S400" i="5"/>
  <c r="B401" i="5"/>
  <c r="Q401" i="5" s="1" a="1"/>
  <c r="Q401" i="5" s="1"/>
  <c r="C401" i="5"/>
  <c r="D401" i="5"/>
  <c r="E401" i="5"/>
  <c r="F401" i="5"/>
  <c r="G401" i="5"/>
  <c r="H401" i="5"/>
  <c r="I401" i="5"/>
  <c r="S401" i="5"/>
  <c r="B402" i="5"/>
  <c r="R402" i="5" s="1" a="1"/>
  <c r="R402" i="5" s="1"/>
  <c r="C402" i="5"/>
  <c r="K402" i="5" s="1"/>
  <c r="D402" i="5"/>
  <c r="E402" i="5"/>
  <c r="F402" i="5"/>
  <c r="G402" i="5"/>
  <c r="H402" i="5"/>
  <c r="I402" i="5"/>
  <c r="S402" i="5"/>
  <c r="B403" i="5"/>
  <c r="C403" i="5"/>
  <c r="N403" i="5" s="1"/>
  <c r="D403" i="5"/>
  <c r="E403" i="5"/>
  <c r="F403" i="5"/>
  <c r="G403" i="5"/>
  <c r="H403" i="5"/>
  <c r="I403" i="5"/>
  <c r="S403" i="5"/>
  <c r="B404" i="5"/>
  <c r="R404" i="5" s="1" a="1"/>
  <c r="R404" i="5" s="1"/>
  <c r="C404" i="5"/>
  <c r="N404" i="5" s="1"/>
  <c r="D404" i="5"/>
  <c r="E404" i="5"/>
  <c r="F404" i="5"/>
  <c r="G404" i="5"/>
  <c r="H404" i="5"/>
  <c r="I404" i="5"/>
  <c r="S404" i="5"/>
  <c r="B405" i="5"/>
  <c r="P405" i="5" s="1"/>
  <c r="C405" i="5"/>
  <c r="D405" i="5"/>
  <c r="E405" i="5"/>
  <c r="F405" i="5"/>
  <c r="G405" i="5"/>
  <c r="H405" i="5"/>
  <c r="I405" i="5"/>
  <c r="S405" i="5"/>
  <c r="B406" i="5"/>
  <c r="C406" i="5"/>
  <c r="L406" i="5" s="1"/>
  <c r="D406" i="5"/>
  <c r="E406" i="5"/>
  <c r="F406" i="5"/>
  <c r="G406" i="5"/>
  <c r="H406" i="5"/>
  <c r="I406" i="5"/>
  <c r="S406" i="5"/>
  <c r="B407" i="5"/>
  <c r="Q407" i="5" s="1" a="1"/>
  <c r="Q407" i="5" s="1"/>
  <c r="C407" i="5"/>
  <c r="D407" i="5"/>
  <c r="E407" i="5"/>
  <c r="F407" i="5"/>
  <c r="G407" i="5"/>
  <c r="H407" i="5"/>
  <c r="I407" i="5"/>
  <c r="S407" i="5"/>
  <c r="B408" i="5"/>
  <c r="R408" i="5" s="1" a="1"/>
  <c r="R408" i="5" s="1"/>
  <c r="C408" i="5"/>
  <c r="N408" i="5" s="1"/>
  <c r="D408" i="5"/>
  <c r="E408" i="5"/>
  <c r="F408" i="5"/>
  <c r="G408" i="5"/>
  <c r="H408" i="5"/>
  <c r="I408" i="5"/>
  <c r="S408" i="5"/>
  <c r="B409" i="5"/>
  <c r="Q409" i="5" s="1" a="1"/>
  <c r="Q409" i="5" s="1"/>
  <c r="C409" i="5"/>
  <c r="N409" i="5" s="1"/>
  <c r="D409" i="5"/>
  <c r="E409" i="5"/>
  <c r="F409" i="5"/>
  <c r="G409" i="5"/>
  <c r="H409" i="5"/>
  <c r="I409" i="5"/>
  <c r="S409" i="5"/>
  <c r="B410" i="5"/>
  <c r="R410" i="5" s="1" a="1"/>
  <c r="R410" i="5" s="1"/>
  <c r="C410" i="5"/>
  <c r="K410" i="5" s="1"/>
  <c r="D410" i="5"/>
  <c r="E410" i="5"/>
  <c r="F410" i="5"/>
  <c r="G410" i="5"/>
  <c r="H410" i="5"/>
  <c r="I410" i="5"/>
  <c r="S410" i="5"/>
  <c r="B411" i="5"/>
  <c r="R411" i="5" s="1" a="1"/>
  <c r="R411" i="5" s="1"/>
  <c r="C411" i="5"/>
  <c r="D411" i="5"/>
  <c r="E411" i="5"/>
  <c r="F411" i="5"/>
  <c r="G411" i="5"/>
  <c r="H411" i="5"/>
  <c r="I411" i="5"/>
  <c r="S411" i="5"/>
  <c r="B412" i="5"/>
  <c r="C412" i="5"/>
  <c r="N412" i="5" s="1"/>
  <c r="D412" i="5"/>
  <c r="E412" i="5"/>
  <c r="F412" i="5"/>
  <c r="G412" i="5"/>
  <c r="H412" i="5"/>
  <c r="I412" i="5"/>
  <c r="S412" i="5"/>
  <c r="B413" i="5"/>
  <c r="C413" i="5"/>
  <c r="L413" i="5" s="1"/>
  <c r="D413" i="5"/>
  <c r="E413" i="5"/>
  <c r="F413" i="5"/>
  <c r="G413" i="5"/>
  <c r="H413" i="5"/>
  <c r="I413" i="5"/>
  <c r="S413" i="5"/>
  <c r="B414" i="5"/>
  <c r="Q414" i="5" s="1" a="1"/>
  <c r="Q414" i="5" s="1"/>
  <c r="C414" i="5"/>
  <c r="L414" i="5" s="1"/>
  <c r="D414" i="5"/>
  <c r="E414" i="5"/>
  <c r="F414" i="5"/>
  <c r="G414" i="5"/>
  <c r="H414" i="5"/>
  <c r="I414" i="5"/>
  <c r="S414" i="5"/>
  <c r="B415" i="5"/>
  <c r="C415" i="5"/>
  <c r="M415" i="5" s="1"/>
  <c r="D415" i="5"/>
  <c r="E415" i="5"/>
  <c r="F415" i="5"/>
  <c r="G415" i="5"/>
  <c r="H415" i="5"/>
  <c r="I415" i="5"/>
  <c r="S415" i="5"/>
  <c r="B416" i="5"/>
  <c r="C416" i="5"/>
  <c r="M416" i="5" s="1"/>
  <c r="D416" i="5"/>
  <c r="E416" i="5"/>
  <c r="F416" i="5"/>
  <c r="G416" i="5"/>
  <c r="H416" i="5"/>
  <c r="I416" i="5"/>
  <c r="S416" i="5"/>
  <c r="B417" i="5"/>
  <c r="P417" i="5" s="1"/>
  <c r="C417" i="5"/>
  <c r="M417" i="5" s="1"/>
  <c r="D417" i="5"/>
  <c r="E417" i="5"/>
  <c r="F417" i="5"/>
  <c r="G417" i="5"/>
  <c r="H417" i="5"/>
  <c r="I417" i="5"/>
  <c r="S417" i="5"/>
  <c r="B418" i="5"/>
  <c r="R418" i="5" s="1" a="1"/>
  <c r="R418" i="5" s="1"/>
  <c r="C418" i="5"/>
  <c r="O418" i="5" s="1"/>
  <c r="D418" i="5"/>
  <c r="E418" i="5"/>
  <c r="F418" i="5"/>
  <c r="G418" i="5"/>
  <c r="H418" i="5"/>
  <c r="I418" i="5"/>
  <c r="S418" i="5"/>
  <c r="B419" i="5"/>
  <c r="R419" i="5" s="1" a="1"/>
  <c r="R419" i="5" s="1"/>
  <c r="C419" i="5"/>
  <c r="M419" i="5" s="1"/>
  <c r="D419" i="5"/>
  <c r="E419" i="5"/>
  <c r="F419" i="5"/>
  <c r="G419" i="5"/>
  <c r="H419" i="5"/>
  <c r="I419" i="5"/>
  <c r="S419" i="5"/>
  <c r="B420" i="5"/>
  <c r="R420" i="5" s="1" a="1"/>
  <c r="R420" i="5" s="1"/>
  <c r="C420" i="5"/>
  <c r="K420" i="5" s="1"/>
  <c r="D420" i="5"/>
  <c r="E420" i="5"/>
  <c r="F420" i="5"/>
  <c r="G420" i="5"/>
  <c r="H420" i="5"/>
  <c r="I420" i="5"/>
  <c r="S420" i="5"/>
  <c r="B421" i="5"/>
  <c r="C421" i="5"/>
  <c r="D421" i="5"/>
  <c r="E421" i="5"/>
  <c r="F421" i="5"/>
  <c r="G421" i="5"/>
  <c r="H421" i="5"/>
  <c r="I421" i="5"/>
  <c r="S421" i="5"/>
  <c r="B422" i="5"/>
  <c r="C422" i="5"/>
  <c r="O422" i="5" s="1"/>
  <c r="D422" i="5"/>
  <c r="E422" i="5"/>
  <c r="F422" i="5"/>
  <c r="G422" i="5"/>
  <c r="H422" i="5"/>
  <c r="I422" i="5"/>
  <c r="S422" i="5"/>
  <c r="B423" i="5"/>
  <c r="P423" i="5" s="1"/>
  <c r="C423" i="5"/>
  <c r="D423" i="5"/>
  <c r="E423" i="5"/>
  <c r="F423" i="5"/>
  <c r="G423" i="5"/>
  <c r="H423" i="5"/>
  <c r="I423" i="5"/>
  <c r="S423" i="5"/>
  <c r="B424" i="5"/>
  <c r="R424" i="5" s="1" a="1"/>
  <c r="R424" i="5" s="1"/>
  <c r="C424" i="5"/>
  <c r="D424" i="5"/>
  <c r="E424" i="5"/>
  <c r="F424" i="5"/>
  <c r="G424" i="5"/>
  <c r="H424" i="5"/>
  <c r="I424" i="5"/>
  <c r="S424" i="5"/>
  <c r="B425" i="5"/>
  <c r="P425" i="5" s="1"/>
  <c r="C425" i="5"/>
  <c r="N425" i="5" s="1"/>
  <c r="D425" i="5"/>
  <c r="E425" i="5"/>
  <c r="F425" i="5"/>
  <c r="G425" i="5"/>
  <c r="H425" i="5"/>
  <c r="I425" i="5"/>
  <c r="S425" i="5"/>
  <c r="B426" i="5"/>
  <c r="P426" i="5" s="1"/>
  <c r="C426" i="5"/>
  <c r="J426" i="5" s="1"/>
  <c r="D426" i="5"/>
  <c r="E426" i="5"/>
  <c r="F426" i="5"/>
  <c r="G426" i="5"/>
  <c r="H426" i="5"/>
  <c r="I426" i="5"/>
  <c r="S426" i="5"/>
  <c r="B427" i="5"/>
  <c r="C427" i="5"/>
  <c r="J427" i="5" s="1"/>
  <c r="D427" i="5"/>
  <c r="E427" i="5"/>
  <c r="F427" i="5"/>
  <c r="G427" i="5"/>
  <c r="H427" i="5"/>
  <c r="I427" i="5"/>
  <c r="S427" i="5"/>
  <c r="B428" i="5"/>
  <c r="C428" i="5"/>
  <c r="K428" i="5" s="1"/>
  <c r="D428" i="5"/>
  <c r="E428" i="5"/>
  <c r="F428" i="5"/>
  <c r="G428" i="5"/>
  <c r="H428" i="5"/>
  <c r="I428" i="5"/>
  <c r="S428" i="5"/>
  <c r="B429" i="5"/>
  <c r="C429" i="5"/>
  <c r="J429" i="5" s="1"/>
  <c r="D429" i="5"/>
  <c r="E429" i="5"/>
  <c r="F429" i="5"/>
  <c r="G429" i="5"/>
  <c r="H429" i="5"/>
  <c r="I429" i="5"/>
  <c r="S429" i="5"/>
  <c r="B430" i="5"/>
  <c r="C430" i="5"/>
  <c r="J430" i="5" s="1"/>
  <c r="D430" i="5"/>
  <c r="E430" i="5"/>
  <c r="F430" i="5"/>
  <c r="G430" i="5"/>
  <c r="H430" i="5"/>
  <c r="I430" i="5"/>
  <c r="S430" i="5"/>
  <c r="B431" i="5"/>
  <c r="R431" i="5" s="1" a="1"/>
  <c r="R431" i="5" s="1"/>
  <c r="C431" i="5"/>
  <c r="J431" i="5" s="1"/>
  <c r="D431" i="5"/>
  <c r="E431" i="5"/>
  <c r="F431" i="5"/>
  <c r="G431" i="5"/>
  <c r="H431" i="5"/>
  <c r="I431" i="5"/>
  <c r="S431" i="5"/>
  <c r="B432" i="5"/>
  <c r="C432" i="5"/>
  <c r="M432" i="5" s="1"/>
  <c r="D432" i="5"/>
  <c r="E432" i="5"/>
  <c r="F432" i="5"/>
  <c r="G432" i="5"/>
  <c r="H432" i="5"/>
  <c r="I432" i="5"/>
  <c r="S432" i="5"/>
  <c r="B433" i="5"/>
  <c r="C433" i="5"/>
  <c r="J433" i="5" s="1"/>
  <c r="D433" i="5"/>
  <c r="E433" i="5"/>
  <c r="F433" i="5"/>
  <c r="G433" i="5"/>
  <c r="H433" i="5"/>
  <c r="I433" i="5"/>
  <c r="S433" i="5"/>
  <c r="B434" i="5"/>
  <c r="C434" i="5"/>
  <c r="M434" i="5" s="1"/>
  <c r="D434" i="5"/>
  <c r="E434" i="5"/>
  <c r="F434" i="5"/>
  <c r="G434" i="5"/>
  <c r="H434" i="5"/>
  <c r="I434" i="5"/>
  <c r="S434" i="5"/>
  <c r="B435" i="5"/>
  <c r="R435" i="5" s="1" a="1"/>
  <c r="R435" i="5" s="1"/>
  <c r="C435" i="5"/>
  <c r="L435" i="5" s="1"/>
  <c r="D435" i="5"/>
  <c r="E435" i="5"/>
  <c r="F435" i="5"/>
  <c r="G435" i="5"/>
  <c r="H435" i="5"/>
  <c r="I435" i="5"/>
  <c r="S435" i="5"/>
  <c r="B436" i="5"/>
  <c r="P436" i="5" s="1"/>
  <c r="C436" i="5"/>
  <c r="D436" i="5"/>
  <c r="E436" i="5"/>
  <c r="F436" i="5"/>
  <c r="G436" i="5"/>
  <c r="H436" i="5"/>
  <c r="I436" i="5"/>
  <c r="S436" i="5"/>
  <c r="B437" i="5"/>
  <c r="R437" i="5" s="1" a="1"/>
  <c r="R437" i="5" s="1"/>
  <c r="C437" i="5"/>
  <c r="N437" i="5" s="1"/>
  <c r="D437" i="5"/>
  <c r="E437" i="5"/>
  <c r="F437" i="5"/>
  <c r="G437" i="5"/>
  <c r="H437" i="5"/>
  <c r="I437" i="5"/>
  <c r="S437" i="5"/>
  <c r="B438" i="5"/>
  <c r="P438" i="5" s="1"/>
  <c r="C438" i="5"/>
  <c r="J438" i="5" s="1"/>
  <c r="D438" i="5"/>
  <c r="E438" i="5"/>
  <c r="F438" i="5"/>
  <c r="G438" i="5"/>
  <c r="H438" i="5"/>
  <c r="I438" i="5"/>
  <c r="S438" i="5"/>
  <c r="B439" i="5"/>
  <c r="R439" i="5" s="1" a="1"/>
  <c r="R439" i="5" s="1"/>
  <c r="C439" i="5"/>
  <c r="J439" i="5" s="1"/>
  <c r="D439" i="5"/>
  <c r="E439" i="5"/>
  <c r="F439" i="5"/>
  <c r="G439" i="5"/>
  <c r="H439" i="5"/>
  <c r="I439" i="5"/>
  <c r="S439" i="5"/>
  <c r="B440" i="5"/>
  <c r="P440" i="5" s="1"/>
  <c r="C440" i="5"/>
  <c r="J440" i="5" s="1"/>
  <c r="D440" i="5"/>
  <c r="E440" i="5"/>
  <c r="F440" i="5"/>
  <c r="G440" i="5"/>
  <c r="H440" i="5"/>
  <c r="I440" i="5"/>
  <c r="S440" i="5"/>
  <c r="B441" i="5"/>
  <c r="C441" i="5"/>
  <c r="D441" i="5"/>
  <c r="E441" i="5"/>
  <c r="F441" i="5"/>
  <c r="G441" i="5"/>
  <c r="H441" i="5"/>
  <c r="I441" i="5"/>
  <c r="S441" i="5"/>
  <c r="B442" i="5"/>
  <c r="C442" i="5"/>
  <c r="M442" i="5" s="1"/>
  <c r="D442" i="5"/>
  <c r="E442" i="5"/>
  <c r="F442" i="5"/>
  <c r="G442" i="5"/>
  <c r="H442" i="5"/>
  <c r="I442" i="5"/>
  <c r="S442" i="5"/>
  <c r="B443" i="5"/>
  <c r="R443" i="5" s="1" a="1"/>
  <c r="R443" i="5" s="1"/>
  <c r="C443" i="5"/>
  <c r="L443" i="5" s="1"/>
  <c r="D443" i="5"/>
  <c r="E443" i="5"/>
  <c r="F443" i="5"/>
  <c r="G443" i="5"/>
  <c r="H443" i="5"/>
  <c r="I443" i="5"/>
  <c r="S443" i="5"/>
  <c r="B444" i="5"/>
  <c r="R444" i="5" s="1" a="1"/>
  <c r="R444" i="5" s="1"/>
  <c r="C444" i="5"/>
  <c r="J444" i="5" s="1"/>
  <c r="D444" i="5"/>
  <c r="E444" i="5"/>
  <c r="F444" i="5"/>
  <c r="G444" i="5"/>
  <c r="H444" i="5"/>
  <c r="I444" i="5"/>
  <c r="S444" i="5"/>
  <c r="B445" i="5"/>
  <c r="P445" i="5" s="1"/>
  <c r="C445" i="5"/>
  <c r="D445" i="5"/>
  <c r="E445" i="5"/>
  <c r="F445" i="5"/>
  <c r="G445" i="5"/>
  <c r="H445" i="5"/>
  <c r="I445" i="5"/>
  <c r="S445" i="5"/>
  <c r="B446" i="5"/>
  <c r="C446" i="5"/>
  <c r="D446" i="5"/>
  <c r="E446" i="5"/>
  <c r="F446" i="5"/>
  <c r="G446" i="5"/>
  <c r="H446" i="5"/>
  <c r="I446" i="5"/>
  <c r="S446" i="5"/>
  <c r="B447" i="5"/>
  <c r="P447" i="5" s="1"/>
  <c r="C447" i="5"/>
  <c r="D447" i="5"/>
  <c r="E447" i="5"/>
  <c r="F447" i="5"/>
  <c r="G447" i="5"/>
  <c r="H447" i="5"/>
  <c r="I447" i="5"/>
  <c r="S447" i="5"/>
  <c r="B448" i="5"/>
  <c r="C448" i="5"/>
  <c r="O448" i="5" s="1"/>
  <c r="D448" i="5"/>
  <c r="E448" i="5"/>
  <c r="F448" i="5"/>
  <c r="G448" i="5"/>
  <c r="H448" i="5"/>
  <c r="I448" i="5"/>
  <c r="S448" i="5"/>
  <c r="B449" i="5"/>
  <c r="Q449" i="5" s="1" a="1"/>
  <c r="Q449" i="5" s="1"/>
  <c r="C449" i="5"/>
  <c r="N449" i="5" s="1"/>
  <c r="D449" i="5"/>
  <c r="E449" i="5"/>
  <c r="F449" i="5"/>
  <c r="G449" i="5"/>
  <c r="H449" i="5"/>
  <c r="I449" i="5"/>
  <c r="S449" i="5"/>
  <c r="B450" i="5"/>
  <c r="C450" i="5"/>
  <c r="D450" i="5"/>
  <c r="E450" i="5"/>
  <c r="F450" i="5"/>
  <c r="G450" i="5"/>
  <c r="H450" i="5"/>
  <c r="I450" i="5"/>
  <c r="S450" i="5"/>
  <c r="B451" i="5"/>
  <c r="Q451" i="5" s="1" a="1"/>
  <c r="Q451" i="5" s="1"/>
  <c r="C451" i="5"/>
  <c r="O451" i="5" s="1"/>
  <c r="D451" i="5"/>
  <c r="E451" i="5"/>
  <c r="F451" i="5"/>
  <c r="G451" i="5"/>
  <c r="H451" i="5"/>
  <c r="I451" i="5"/>
  <c r="S451" i="5"/>
  <c r="B452" i="5"/>
  <c r="P452" i="5" s="1"/>
  <c r="C452" i="5"/>
  <c r="N452" i="5" s="1"/>
  <c r="D452" i="5"/>
  <c r="E452" i="5"/>
  <c r="F452" i="5"/>
  <c r="G452" i="5"/>
  <c r="H452" i="5"/>
  <c r="I452" i="5"/>
  <c r="S452" i="5"/>
  <c r="B453" i="5"/>
  <c r="P453" i="5" s="1"/>
  <c r="C453" i="5"/>
  <c r="J453" i="5" s="1"/>
  <c r="D453" i="5"/>
  <c r="E453" i="5"/>
  <c r="F453" i="5"/>
  <c r="G453" i="5"/>
  <c r="H453" i="5"/>
  <c r="I453" i="5"/>
  <c r="S453" i="5"/>
  <c r="B454" i="5"/>
  <c r="P454" i="5" s="1"/>
  <c r="C454" i="5"/>
  <c r="D454" i="5"/>
  <c r="E454" i="5"/>
  <c r="F454" i="5"/>
  <c r="G454" i="5"/>
  <c r="H454" i="5"/>
  <c r="I454" i="5"/>
  <c r="S454" i="5"/>
  <c r="B455" i="5"/>
  <c r="C455" i="5"/>
  <c r="O455" i="5" s="1"/>
  <c r="D455" i="5"/>
  <c r="E455" i="5"/>
  <c r="F455" i="5"/>
  <c r="G455" i="5"/>
  <c r="H455" i="5"/>
  <c r="I455" i="5"/>
  <c r="S455" i="5"/>
  <c r="B456" i="5"/>
  <c r="C456" i="5"/>
  <c r="N456" i="5" s="1"/>
  <c r="D456" i="5"/>
  <c r="E456" i="5"/>
  <c r="F456" i="5"/>
  <c r="G456" i="5"/>
  <c r="H456" i="5"/>
  <c r="I456" i="5"/>
  <c r="S456" i="5"/>
  <c r="B457" i="5"/>
  <c r="Q457" i="5" s="1" a="1"/>
  <c r="Q457" i="5" s="1"/>
  <c r="C457" i="5"/>
  <c r="D457" i="5"/>
  <c r="E457" i="5"/>
  <c r="F457" i="5"/>
  <c r="G457" i="5"/>
  <c r="H457" i="5"/>
  <c r="I457" i="5"/>
  <c r="S457" i="5"/>
  <c r="B458" i="5"/>
  <c r="P458" i="5" s="1"/>
  <c r="C458" i="5"/>
  <c r="D458" i="5"/>
  <c r="E458" i="5"/>
  <c r="F458" i="5"/>
  <c r="G458" i="5"/>
  <c r="H458" i="5"/>
  <c r="I458" i="5"/>
  <c r="S458" i="5"/>
  <c r="B459" i="5"/>
  <c r="Q459" i="5" s="1" a="1"/>
  <c r="Q459" i="5" s="1"/>
  <c r="C459" i="5"/>
  <c r="O459" i="5" s="1"/>
  <c r="D459" i="5"/>
  <c r="E459" i="5"/>
  <c r="F459" i="5"/>
  <c r="G459" i="5"/>
  <c r="H459" i="5"/>
  <c r="I459" i="5"/>
  <c r="S459" i="5"/>
  <c r="B460" i="5"/>
  <c r="P460" i="5" s="1"/>
  <c r="C460" i="5"/>
  <c r="M460" i="5" s="1"/>
  <c r="D460" i="5"/>
  <c r="E460" i="5"/>
  <c r="F460" i="5"/>
  <c r="G460" i="5"/>
  <c r="H460" i="5"/>
  <c r="I460" i="5"/>
  <c r="S460" i="5"/>
  <c r="B461" i="5"/>
  <c r="P461" i="5" s="1"/>
  <c r="C461" i="5"/>
  <c r="N461" i="5" s="1"/>
  <c r="D461" i="5"/>
  <c r="E461" i="5"/>
  <c r="F461" i="5"/>
  <c r="G461" i="5"/>
  <c r="H461" i="5"/>
  <c r="I461" i="5"/>
  <c r="S461" i="5"/>
  <c r="B462" i="5"/>
  <c r="R462" i="5" s="1" a="1"/>
  <c r="R462" i="5" s="1"/>
  <c r="C462" i="5"/>
  <c r="D462" i="5"/>
  <c r="E462" i="5"/>
  <c r="F462" i="5"/>
  <c r="G462" i="5"/>
  <c r="H462" i="5"/>
  <c r="I462" i="5"/>
  <c r="S462" i="5"/>
  <c r="B463" i="5"/>
  <c r="C463" i="5"/>
  <c r="N463" i="5" s="1"/>
  <c r="D463" i="5"/>
  <c r="E463" i="5"/>
  <c r="F463" i="5"/>
  <c r="G463" i="5"/>
  <c r="H463" i="5"/>
  <c r="I463" i="5"/>
  <c r="S463" i="5"/>
  <c r="B464" i="5"/>
  <c r="C464" i="5"/>
  <c r="K464" i="5" s="1"/>
  <c r="D464" i="5"/>
  <c r="E464" i="5"/>
  <c r="F464" i="5"/>
  <c r="G464" i="5"/>
  <c r="H464" i="5"/>
  <c r="I464" i="5"/>
  <c r="S464" i="5"/>
  <c r="B465" i="5"/>
  <c r="C465" i="5"/>
  <c r="N465" i="5" s="1"/>
  <c r="D465" i="5"/>
  <c r="E465" i="5"/>
  <c r="F465" i="5"/>
  <c r="G465" i="5"/>
  <c r="H465" i="5"/>
  <c r="I465" i="5"/>
  <c r="S465" i="5"/>
  <c r="B466" i="5"/>
  <c r="C466" i="5"/>
  <c r="D466" i="5"/>
  <c r="E466" i="5"/>
  <c r="F466" i="5"/>
  <c r="G466" i="5"/>
  <c r="H466" i="5"/>
  <c r="I466" i="5"/>
  <c r="S466" i="5"/>
  <c r="B467" i="5"/>
  <c r="C467" i="5"/>
  <c r="O467" i="5" s="1"/>
  <c r="D467" i="5"/>
  <c r="E467" i="5"/>
  <c r="F467" i="5"/>
  <c r="G467" i="5"/>
  <c r="H467" i="5"/>
  <c r="I467" i="5"/>
  <c r="S467" i="5"/>
  <c r="B468" i="5"/>
  <c r="R468" i="5" s="1" a="1"/>
  <c r="R468" i="5" s="1"/>
  <c r="C468" i="5"/>
  <c r="D468" i="5"/>
  <c r="E468" i="5"/>
  <c r="F468" i="5"/>
  <c r="G468" i="5"/>
  <c r="H468" i="5"/>
  <c r="I468" i="5"/>
  <c r="S468" i="5"/>
  <c r="B469" i="5"/>
  <c r="C469" i="5"/>
  <c r="K469" i="5" s="1"/>
  <c r="D469" i="5"/>
  <c r="E469" i="5"/>
  <c r="F469" i="5"/>
  <c r="G469" i="5"/>
  <c r="H469" i="5"/>
  <c r="I469" i="5"/>
  <c r="S469" i="5"/>
  <c r="B470" i="5"/>
  <c r="R470" i="5" s="1" a="1"/>
  <c r="R470" i="5" s="1"/>
  <c r="C470" i="5"/>
  <c r="J470" i="5" s="1"/>
  <c r="D470" i="5"/>
  <c r="E470" i="5"/>
  <c r="F470" i="5"/>
  <c r="G470" i="5"/>
  <c r="H470" i="5"/>
  <c r="I470" i="5"/>
  <c r="S470" i="5"/>
  <c r="B471" i="5"/>
  <c r="Q471" i="5" s="1" a="1"/>
  <c r="Q471" i="5" s="1"/>
  <c r="C471" i="5"/>
  <c r="N471" i="5" s="1"/>
  <c r="D471" i="5"/>
  <c r="E471" i="5"/>
  <c r="F471" i="5"/>
  <c r="G471" i="5"/>
  <c r="H471" i="5"/>
  <c r="I471" i="5"/>
  <c r="S471" i="5"/>
  <c r="B472" i="5"/>
  <c r="P472" i="5" s="1"/>
  <c r="C472" i="5"/>
  <c r="N472" i="5" s="1"/>
  <c r="D472" i="5"/>
  <c r="E472" i="5"/>
  <c r="F472" i="5"/>
  <c r="G472" i="5"/>
  <c r="H472" i="5"/>
  <c r="I472" i="5"/>
  <c r="S472" i="5"/>
  <c r="B473" i="5"/>
  <c r="R473" i="5" s="1" a="1"/>
  <c r="R473" i="5" s="1"/>
  <c r="C473" i="5"/>
  <c r="O473" i="5" s="1"/>
  <c r="D473" i="5"/>
  <c r="E473" i="5"/>
  <c r="F473" i="5"/>
  <c r="G473" i="5"/>
  <c r="H473" i="5"/>
  <c r="I473" i="5"/>
  <c r="S473" i="5"/>
  <c r="B474" i="5"/>
  <c r="C474" i="5"/>
  <c r="J474" i="5" s="1"/>
  <c r="D474" i="5"/>
  <c r="E474" i="5"/>
  <c r="F474" i="5"/>
  <c r="G474" i="5"/>
  <c r="H474" i="5"/>
  <c r="I474" i="5"/>
  <c r="S474" i="5"/>
  <c r="B475" i="5"/>
  <c r="R475" i="5" s="1" a="1"/>
  <c r="R475" i="5" s="1"/>
  <c r="C475" i="5"/>
  <c r="D475" i="5"/>
  <c r="E475" i="5"/>
  <c r="F475" i="5"/>
  <c r="G475" i="5"/>
  <c r="H475" i="5"/>
  <c r="I475" i="5"/>
  <c r="S475" i="5"/>
  <c r="B476" i="5"/>
  <c r="C476" i="5"/>
  <c r="L476" i="5" s="1"/>
  <c r="D476" i="5"/>
  <c r="E476" i="5"/>
  <c r="F476" i="5"/>
  <c r="G476" i="5"/>
  <c r="H476" i="5"/>
  <c r="I476" i="5"/>
  <c r="S476" i="5"/>
  <c r="B477" i="5"/>
  <c r="P477" i="5" s="1"/>
  <c r="C477" i="5"/>
  <c r="D477" i="5"/>
  <c r="E477" i="5"/>
  <c r="F477" i="5"/>
  <c r="G477" i="5"/>
  <c r="H477" i="5"/>
  <c r="I477" i="5"/>
  <c r="S477" i="5"/>
  <c r="B478" i="5"/>
  <c r="C478" i="5"/>
  <c r="L478" i="5" s="1"/>
  <c r="D478" i="5"/>
  <c r="E478" i="5"/>
  <c r="F478" i="5"/>
  <c r="G478" i="5"/>
  <c r="H478" i="5"/>
  <c r="I478" i="5"/>
  <c r="S478" i="5"/>
  <c r="B479" i="5"/>
  <c r="P479" i="5" s="1"/>
  <c r="C479" i="5"/>
  <c r="N479" i="5" s="1"/>
  <c r="D479" i="5"/>
  <c r="E479" i="5"/>
  <c r="F479" i="5"/>
  <c r="G479" i="5"/>
  <c r="H479" i="5"/>
  <c r="I479" i="5"/>
  <c r="S479" i="5"/>
  <c r="B480" i="5"/>
  <c r="P480" i="5" s="1"/>
  <c r="C480" i="5"/>
  <c r="L480" i="5" s="1"/>
  <c r="D480" i="5"/>
  <c r="E480" i="5"/>
  <c r="F480" i="5"/>
  <c r="G480" i="5"/>
  <c r="H480" i="5"/>
  <c r="I480" i="5"/>
  <c r="S480" i="5"/>
  <c r="B481" i="5"/>
  <c r="P481" i="5" s="1"/>
  <c r="C481" i="5"/>
  <c r="O481" i="5" s="1"/>
  <c r="D481" i="5"/>
  <c r="E481" i="5"/>
  <c r="F481" i="5"/>
  <c r="G481" i="5"/>
  <c r="H481" i="5"/>
  <c r="I481" i="5"/>
  <c r="S481" i="5"/>
  <c r="B482" i="5"/>
  <c r="R482" i="5" s="1" a="1"/>
  <c r="R482" i="5" s="1"/>
  <c r="C482" i="5"/>
  <c r="D482" i="5"/>
  <c r="E482" i="5"/>
  <c r="F482" i="5"/>
  <c r="G482" i="5"/>
  <c r="H482" i="5"/>
  <c r="I482" i="5"/>
  <c r="S482" i="5"/>
  <c r="B483" i="5"/>
  <c r="P483" i="5" s="1"/>
  <c r="C483" i="5"/>
  <c r="M483" i="5" s="1"/>
  <c r="D483" i="5"/>
  <c r="E483" i="5"/>
  <c r="F483" i="5"/>
  <c r="G483" i="5"/>
  <c r="H483" i="5"/>
  <c r="I483" i="5"/>
  <c r="S483" i="5"/>
  <c r="B484" i="5"/>
  <c r="Q484" i="5" s="1" a="1"/>
  <c r="Q484" i="5" s="1"/>
  <c r="C484" i="5"/>
  <c r="L484" i="5" s="1"/>
  <c r="D484" i="5"/>
  <c r="E484" i="5"/>
  <c r="F484" i="5"/>
  <c r="G484" i="5"/>
  <c r="H484" i="5"/>
  <c r="I484" i="5"/>
  <c r="S484" i="5"/>
  <c r="B485" i="5"/>
  <c r="R485" i="5" s="1" a="1"/>
  <c r="R485" i="5" s="1"/>
  <c r="C485" i="5"/>
  <c r="J485" i="5" s="1"/>
  <c r="D485" i="5"/>
  <c r="E485" i="5"/>
  <c r="F485" i="5"/>
  <c r="G485" i="5"/>
  <c r="H485" i="5"/>
  <c r="I485" i="5"/>
  <c r="S485" i="5"/>
  <c r="B486" i="5"/>
  <c r="R486" i="5" s="1" a="1"/>
  <c r="R486" i="5" s="1"/>
  <c r="C486" i="5"/>
  <c r="N486" i="5" s="1"/>
  <c r="D486" i="5"/>
  <c r="E486" i="5"/>
  <c r="F486" i="5"/>
  <c r="G486" i="5"/>
  <c r="H486" i="5"/>
  <c r="I486" i="5"/>
  <c r="S486" i="5"/>
  <c r="B487" i="5"/>
  <c r="R487" i="5" s="1" a="1"/>
  <c r="R487" i="5" s="1"/>
  <c r="C487" i="5"/>
  <c r="N487" i="5" s="1"/>
  <c r="D487" i="5"/>
  <c r="E487" i="5"/>
  <c r="F487" i="5"/>
  <c r="G487" i="5"/>
  <c r="H487" i="5"/>
  <c r="I487" i="5"/>
  <c r="S487" i="5"/>
  <c r="B488" i="5"/>
  <c r="R488" i="5" s="1" a="1"/>
  <c r="R488" i="5" s="1"/>
  <c r="C488" i="5"/>
  <c r="J488" i="5" s="1"/>
  <c r="D488" i="5"/>
  <c r="E488" i="5"/>
  <c r="F488" i="5"/>
  <c r="G488" i="5"/>
  <c r="H488" i="5"/>
  <c r="I488" i="5"/>
  <c r="S488" i="5"/>
  <c r="B489" i="5"/>
  <c r="C489" i="5"/>
  <c r="J489" i="5" s="1"/>
  <c r="D489" i="5"/>
  <c r="E489" i="5"/>
  <c r="F489" i="5"/>
  <c r="G489" i="5"/>
  <c r="H489" i="5"/>
  <c r="I489" i="5"/>
  <c r="S489" i="5"/>
  <c r="B490" i="5"/>
  <c r="P490" i="5" s="1"/>
  <c r="C490" i="5"/>
  <c r="N490" i="5" s="1"/>
  <c r="D490" i="5"/>
  <c r="E490" i="5"/>
  <c r="F490" i="5"/>
  <c r="G490" i="5"/>
  <c r="H490" i="5"/>
  <c r="I490" i="5"/>
  <c r="S490" i="5"/>
  <c r="B491" i="5"/>
  <c r="P491" i="5" s="1"/>
  <c r="C491" i="5"/>
  <c r="M491" i="5" s="1"/>
  <c r="D491" i="5"/>
  <c r="E491" i="5"/>
  <c r="F491" i="5"/>
  <c r="G491" i="5"/>
  <c r="H491" i="5"/>
  <c r="I491" i="5"/>
  <c r="S491" i="5"/>
  <c r="B492" i="5"/>
  <c r="C492" i="5"/>
  <c r="J492" i="5" s="1"/>
  <c r="D492" i="5"/>
  <c r="E492" i="5"/>
  <c r="F492" i="5"/>
  <c r="G492" i="5"/>
  <c r="H492" i="5"/>
  <c r="I492" i="5"/>
  <c r="S492" i="5"/>
  <c r="B493" i="5"/>
  <c r="R493" i="5" s="1" a="1"/>
  <c r="R493" i="5" s="1"/>
  <c r="C493" i="5"/>
  <c r="D493" i="5"/>
  <c r="E493" i="5"/>
  <c r="F493" i="5"/>
  <c r="G493" i="5"/>
  <c r="H493" i="5"/>
  <c r="I493" i="5"/>
  <c r="S493" i="5"/>
  <c r="J96" i="4"/>
  <c r="S297" i="5" s="1"/>
  <c r="J86" i="4"/>
  <c r="J72" i="4"/>
  <c r="S60" i="5" s="1"/>
  <c r="J66" i="4"/>
  <c r="S256" i="5" s="1"/>
  <c r="L189" i="5" l="1"/>
  <c r="R11" i="5" a="1"/>
  <c r="R11" i="5" s="1"/>
  <c r="N240" i="5"/>
  <c r="O224" i="5"/>
  <c r="J2" i="5"/>
  <c r="N422" i="5"/>
  <c r="J443" i="5"/>
  <c r="R278" i="5" a="1"/>
  <c r="R278" i="5" s="1"/>
  <c r="K324" i="5"/>
  <c r="M266" i="5"/>
  <c r="L271" i="5"/>
  <c r="J336" i="5"/>
  <c r="Q271" i="5" a="1"/>
  <c r="Q271" i="5" s="1"/>
  <c r="L266" i="5"/>
  <c r="J271" i="5"/>
  <c r="K266" i="5"/>
  <c r="O271" i="5"/>
  <c r="L378" i="5"/>
  <c r="O371" i="5"/>
  <c r="J364" i="5"/>
  <c r="N418" i="5"/>
  <c r="R186" i="5" a="1"/>
  <c r="R186" i="5" s="1"/>
  <c r="M418" i="5"/>
  <c r="R260" i="5" a="1"/>
  <c r="R260" i="5" s="1"/>
  <c r="J191" i="5"/>
  <c r="L418" i="5"/>
  <c r="M265" i="5"/>
  <c r="K427" i="5"/>
  <c r="K265" i="5"/>
  <c r="N419" i="5"/>
  <c r="R425" i="5" a="1"/>
  <c r="R425" i="5" s="1"/>
  <c r="O420" i="5"/>
  <c r="L419" i="5"/>
  <c r="K302" i="5"/>
  <c r="J30" i="5"/>
  <c r="Q425" i="5" a="1"/>
  <c r="Q425" i="5" s="1"/>
  <c r="N420" i="5"/>
  <c r="K419" i="5"/>
  <c r="N356" i="5"/>
  <c r="J302" i="5"/>
  <c r="M420" i="5"/>
  <c r="N74" i="5"/>
  <c r="L440" i="5"/>
  <c r="J428" i="5"/>
  <c r="L420" i="5"/>
  <c r="K305" i="5"/>
  <c r="L74" i="5"/>
  <c r="K243" i="5"/>
  <c r="N473" i="5"/>
  <c r="K440" i="5"/>
  <c r="J420" i="5"/>
  <c r="J305" i="5"/>
  <c r="J248" i="5"/>
  <c r="Q160" i="5" a="1"/>
  <c r="Q160" i="5" s="1"/>
  <c r="M77" i="5"/>
  <c r="Q222" i="5" a="1"/>
  <c r="Q222" i="5" s="1"/>
  <c r="M473" i="5"/>
  <c r="M443" i="5"/>
  <c r="R331" i="5" a="1"/>
  <c r="R331" i="5" s="1"/>
  <c r="K128" i="5"/>
  <c r="J91" i="5"/>
  <c r="L77" i="5"/>
  <c r="L473" i="5"/>
  <c r="N378" i="5"/>
  <c r="Q331" i="5" a="1"/>
  <c r="Q331" i="5" s="1"/>
  <c r="L324" i="5"/>
  <c r="N105" i="5"/>
  <c r="K77" i="5"/>
  <c r="P393" i="5"/>
  <c r="M438" i="5"/>
  <c r="N393" i="5"/>
  <c r="M379" i="5"/>
  <c r="L236" i="5"/>
  <c r="P7" i="5"/>
  <c r="P443" i="5"/>
  <c r="O239" i="5"/>
  <c r="J129" i="5"/>
  <c r="N19" i="5"/>
  <c r="P291" i="5"/>
  <c r="K396" i="5"/>
  <c r="K379" i="5"/>
  <c r="N332" i="5"/>
  <c r="P222" i="5"/>
  <c r="N199" i="5"/>
  <c r="L47" i="5"/>
  <c r="Q40" i="5" a="1"/>
  <c r="Q40" i="5" s="1"/>
  <c r="M19" i="5"/>
  <c r="O465" i="5"/>
  <c r="L332" i="5"/>
  <c r="O301" i="5"/>
  <c r="J234" i="5"/>
  <c r="R134" i="5" a="1"/>
  <c r="R134" i="5" s="1"/>
  <c r="J59" i="5"/>
  <c r="N379" i="5"/>
  <c r="J484" i="5"/>
  <c r="L465" i="5"/>
  <c r="N301" i="5"/>
  <c r="R262" i="5" a="1"/>
  <c r="R262" i="5" s="1"/>
  <c r="L250" i="5"/>
  <c r="N245" i="5"/>
  <c r="O237" i="5"/>
  <c r="R169" i="5" a="1"/>
  <c r="R169" i="5" s="1"/>
  <c r="O394" i="5"/>
  <c r="K301" i="5"/>
  <c r="R265" i="5" a="1"/>
  <c r="R265" i="5" s="1"/>
  <c r="R255" i="5" a="1"/>
  <c r="R255" i="5" s="1"/>
  <c r="K245" i="5"/>
  <c r="N237" i="5"/>
  <c r="Q169" i="5" a="1"/>
  <c r="Q169" i="5" s="1"/>
  <c r="N71" i="5"/>
  <c r="Q50" i="5" a="1"/>
  <c r="Q50" i="5" s="1"/>
  <c r="L438" i="5"/>
  <c r="J465" i="5"/>
  <c r="J301" i="5"/>
  <c r="Q265" i="5" a="1"/>
  <c r="Q265" i="5" s="1"/>
  <c r="O255" i="5"/>
  <c r="J245" i="5"/>
  <c r="L71" i="5"/>
  <c r="O50" i="5"/>
  <c r="L221" i="5"/>
  <c r="P104" i="5"/>
  <c r="O73" i="5"/>
  <c r="K356" i="5"/>
  <c r="P262" i="5"/>
  <c r="Q236" i="5" a="1"/>
  <c r="Q236" i="5" s="1"/>
  <c r="Q183" i="5" a="1"/>
  <c r="Q183" i="5" s="1"/>
  <c r="J176" i="5"/>
  <c r="J73" i="5"/>
  <c r="J68" i="5"/>
  <c r="R61" i="5" a="1"/>
  <c r="R61" i="5" s="1"/>
  <c r="O76" i="5"/>
  <c r="O340" i="5"/>
  <c r="M444" i="5"/>
  <c r="P402" i="5"/>
  <c r="Q380" i="5" a="1"/>
  <c r="Q380" i="5" s="1"/>
  <c r="J340" i="5"/>
  <c r="N291" i="5"/>
  <c r="N294" i="5"/>
  <c r="P163" i="5"/>
  <c r="N127" i="5"/>
  <c r="Q122" i="5" a="1"/>
  <c r="Q122" i="5" s="1"/>
  <c r="N50" i="5"/>
  <c r="L19" i="5"/>
  <c r="P449" i="5"/>
  <c r="J286" i="5"/>
  <c r="J192" i="5"/>
  <c r="M127" i="5"/>
  <c r="M60" i="5"/>
  <c r="L444" i="5"/>
  <c r="Q488" i="5" a="1"/>
  <c r="Q488" i="5" s="1"/>
  <c r="O452" i="5"/>
  <c r="O402" i="5"/>
  <c r="P488" i="5"/>
  <c r="P380" i="5"/>
  <c r="Q367" i="5" a="1"/>
  <c r="Q367" i="5" s="1"/>
  <c r="P385" i="5"/>
  <c r="N341" i="5"/>
  <c r="O320" i="5"/>
  <c r="M294" i="5"/>
  <c r="N320" i="5"/>
  <c r="O295" i="5"/>
  <c r="J294" i="5"/>
  <c r="P284" i="5"/>
  <c r="R249" i="5" a="1"/>
  <c r="R249" i="5" s="1"/>
  <c r="L235" i="5"/>
  <c r="Q211" i="5" a="1"/>
  <c r="Q211" i="5" s="1"/>
  <c r="O135" i="5"/>
  <c r="J127" i="5"/>
  <c r="P106" i="5"/>
  <c r="P101" i="5"/>
  <c r="L402" i="5"/>
  <c r="M452" i="5"/>
  <c r="N346" i="5"/>
  <c r="L323" i="5"/>
  <c r="K320" i="5"/>
  <c r="Q300" i="5" a="1"/>
  <c r="Q300" i="5" s="1"/>
  <c r="L295" i="5"/>
  <c r="Q249" i="5" a="1"/>
  <c r="Q249" i="5" s="1"/>
  <c r="O228" i="5"/>
  <c r="Q197" i="5" a="1"/>
  <c r="Q197" i="5" s="1"/>
  <c r="K161" i="5"/>
  <c r="M135" i="5"/>
  <c r="N48" i="5"/>
  <c r="R449" i="5" a="1"/>
  <c r="R449" i="5" s="1"/>
  <c r="N340" i="5"/>
  <c r="O310" i="5"/>
  <c r="K390" i="5"/>
  <c r="N216" i="5"/>
  <c r="R202" i="5" a="1"/>
  <c r="R202" i="5" s="1"/>
  <c r="R185" i="5" a="1"/>
  <c r="R185" i="5" s="1"/>
  <c r="J135" i="5"/>
  <c r="L48" i="5"/>
  <c r="N20" i="5"/>
  <c r="K340" i="5"/>
  <c r="N286" i="5"/>
  <c r="L417" i="5"/>
  <c r="Q370" i="5" a="1"/>
  <c r="Q370" i="5" s="1"/>
  <c r="Q418" i="5" a="1"/>
  <c r="Q418" i="5" s="1"/>
  <c r="K417" i="5"/>
  <c r="P370" i="5"/>
  <c r="N336" i="5"/>
  <c r="K323" i="5"/>
  <c r="J320" i="5"/>
  <c r="P300" i="5"/>
  <c r="K295" i="5"/>
  <c r="O287" i="5"/>
  <c r="K484" i="5"/>
  <c r="L427" i="5"/>
  <c r="P418" i="5"/>
  <c r="R393" i="5" a="1"/>
  <c r="R393" i="5" s="1"/>
  <c r="K336" i="5"/>
  <c r="R326" i="5" a="1"/>
  <c r="R326" i="5" s="1"/>
  <c r="J295" i="5"/>
  <c r="Q252" i="5" a="1"/>
  <c r="Q252" i="5" s="1"/>
  <c r="P171" i="5"/>
  <c r="K154" i="5"/>
  <c r="P58" i="5"/>
  <c r="J15" i="5"/>
  <c r="M291" i="5"/>
  <c r="K236" i="5"/>
  <c r="J154" i="5"/>
  <c r="J90" i="5"/>
  <c r="N76" i="5"/>
  <c r="R39" i="5" a="1"/>
  <c r="R39" i="5" s="1"/>
  <c r="J24" i="5"/>
  <c r="N98" i="5"/>
  <c r="M76" i="5"/>
  <c r="R53" i="5" a="1"/>
  <c r="R53" i="5" s="1"/>
  <c r="Q39" i="5" a="1"/>
  <c r="Q39" i="5" s="1"/>
  <c r="N34" i="5"/>
  <c r="M262" i="5"/>
  <c r="L219" i="5"/>
  <c r="M168" i="5"/>
  <c r="M98" i="5"/>
  <c r="K76" i="5"/>
  <c r="L39" i="5"/>
  <c r="L34" i="5"/>
  <c r="Q302" i="5" a="1"/>
  <c r="Q302" i="5" s="1"/>
  <c r="R452" i="5" a="1"/>
  <c r="R452" i="5" s="1"/>
  <c r="Q117" i="5" a="1"/>
  <c r="Q117" i="5" s="1"/>
  <c r="Q217" i="5" a="1"/>
  <c r="Q217" i="5" s="1"/>
  <c r="P96" i="5"/>
  <c r="Q453" i="5" a="1"/>
  <c r="Q453" i="5" s="1"/>
  <c r="L391" i="5"/>
  <c r="M368" i="5"/>
  <c r="M365" i="5"/>
  <c r="Q342" i="5" a="1"/>
  <c r="Q342" i="5" s="1"/>
  <c r="O338" i="5"/>
  <c r="K308" i="5"/>
  <c r="M284" i="5"/>
  <c r="P272" i="5"/>
  <c r="N212" i="5"/>
  <c r="P207" i="5"/>
  <c r="P202" i="5"/>
  <c r="R197" i="5" a="1"/>
  <c r="R197" i="5" s="1"/>
  <c r="R187" i="5" a="1"/>
  <c r="R187" i="5" s="1"/>
  <c r="L169" i="5"/>
  <c r="O166" i="5"/>
  <c r="O143" i="5"/>
  <c r="R125" i="5" a="1"/>
  <c r="R125" i="5" s="1"/>
  <c r="R112" i="5" a="1"/>
  <c r="R112" i="5" s="1"/>
  <c r="J109" i="5"/>
  <c r="R84" i="5" a="1"/>
  <c r="R84" i="5" s="1"/>
  <c r="N78" i="5"/>
  <c r="M48" i="5"/>
  <c r="O45" i="5"/>
  <c r="K7" i="5"/>
  <c r="Q431" i="5" a="1"/>
  <c r="Q431" i="5" s="1"/>
  <c r="J391" i="5"/>
  <c r="P342" i="5"/>
  <c r="P277" i="5"/>
  <c r="O272" i="5"/>
  <c r="M241" i="5"/>
  <c r="R234" i="5" a="1"/>
  <c r="R234" i="5" s="1"/>
  <c r="R233" i="5" a="1"/>
  <c r="R233" i="5" s="1"/>
  <c r="Q187" i="5" a="1"/>
  <c r="Q187" i="5" s="1"/>
  <c r="Q84" i="5" a="1"/>
  <c r="Q84" i="5" s="1"/>
  <c r="Q81" i="5" a="1"/>
  <c r="Q81" i="5" s="1"/>
  <c r="R15" i="5" a="1"/>
  <c r="R15" i="5" s="1"/>
  <c r="N10" i="5"/>
  <c r="Q400" i="5" a="1"/>
  <c r="Q400" i="5" s="1"/>
  <c r="R453" i="5" a="1"/>
  <c r="R453" i="5" s="1"/>
  <c r="Q482" i="5" a="1"/>
  <c r="Q482" i="5" s="1"/>
  <c r="P471" i="5"/>
  <c r="R445" i="5" a="1"/>
  <c r="R445" i="5" s="1"/>
  <c r="R436" i="5" a="1"/>
  <c r="R436" i="5" s="1"/>
  <c r="M461" i="5"/>
  <c r="Q436" i="5" a="1"/>
  <c r="Q436" i="5" s="1"/>
  <c r="L416" i="5"/>
  <c r="J381" i="5"/>
  <c r="O372" i="5"/>
  <c r="M360" i="5"/>
  <c r="L342" i="5"/>
  <c r="L338" i="5"/>
  <c r="M322" i="5"/>
  <c r="R316" i="5" a="1"/>
  <c r="R316" i="5" s="1"/>
  <c r="N247" i="5"/>
  <c r="R235" i="5" a="1"/>
  <c r="R235" i="5" s="1"/>
  <c r="Q234" i="5" a="1"/>
  <c r="Q234" i="5" s="1"/>
  <c r="P233" i="5"/>
  <c r="M228" i="5"/>
  <c r="J161" i="5"/>
  <c r="J153" i="5"/>
  <c r="Q115" i="5" a="1"/>
  <c r="Q115" i="5" s="1"/>
  <c r="N94" i="5"/>
  <c r="P81" i="5"/>
  <c r="K48" i="5"/>
  <c r="P302" i="5"/>
  <c r="R117" i="5" a="1"/>
  <c r="R117" i="5" s="1"/>
  <c r="P400" i="5"/>
  <c r="M7" i="5"/>
  <c r="Q486" i="5" a="1"/>
  <c r="Q486" i="5" s="1"/>
  <c r="N453" i="5"/>
  <c r="K381" i="5"/>
  <c r="O360" i="5"/>
  <c r="N338" i="5"/>
  <c r="N311" i="5"/>
  <c r="K456" i="5"/>
  <c r="L453" i="5"/>
  <c r="J469" i="5"/>
  <c r="K416" i="5"/>
  <c r="R401" i="5" a="1"/>
  <c r="R401" i="5" s="1"/>
  <c r="O398" i="5"/>
  <c r="P395" i="5"/>
  <c r="Q392" i="5" a="1"/>
  <c r="Q392" i="5" s="1"/>
  <c r="M372" i="5"/>
  <c r="L360" i="5"/>
  <c r="P343" i="5"/>
  <c r="J342" i="5"/>
  <c r="J338" i="5"/>
  <c r="L322" i="5"/>
  <c r="Q306" i="5" a="1"/>
  <c r="Q306" i="5" s="1"/>
  <c r="R294" i="5" a="1"/>
  <c r="R294" i="5" s="1"/>
  <c r="Q285" i="5" a="1"/>
  <c r="Q285" i="5" s="1"/>
  <c r="K251" i="5"/>
  <c r="O248" i="5"/>
  <c r="L244" i="5"/>
  <c r="P235" i="5"/>
  <c r="O234" i="5"/>
  <c r="K228" i="5"/>
  <c r="R205" i="5" a="1"/>
  <c r="R205" i="5" s="1"/>
  <c r="Q190" i="5" a="1"/>
  <c r="Q190" i="5" s="1"/>
  <c r="O187" i="5"/>
  <c r="R141" i="5" a="1"/>
  <c r="R141" i="5" s="1"/>
  <c r="N123" i="5"/>
  <c r="P115" i="5"/>
  <c r="R107" i="5" a="1"/>
  <c r="R107" i="5" s="1"/>
  <c r="O84" i="5"/>
  <c r="K81" i="5"/>
  <c r="Q52" i="5" a="1"/>
  <c r="Q52" i="5" s="1"/>
  <c r="R49" i="5" a="1"/>
  <c r="R49" i="5" s="1"/>
  <c r="J48" i="5"/>
  <c r="Q18" i="5" a="1"/>
  <c r="Q18" i="5" s="1"/>
  <c r="N391" i="5"/>
  <c r="L308" i="5"/>
  <c r="Q477" i="5" a="1"/>
  <c r="Q477" i="5" s="1"/>
  <c r="P486" i="5"/>
  <c r="R483" i="5" a="1"/>
  <c r="R483" i="5" s="1"/>
  <c r="O472" i="5"/>
  <c r="L409" i="5"/>
  <c r="P401" i="5"/>
  <c r="N398" i="5"/>
  <c r="R384" i="5" a="1"/>
  <c r="R384" i="5" s="1"/>
  <c r="R375" i="5" a="1"/>
  <c r="R375" i="5" s="1"/>
  <c r="K372" i="5"/>
  <c r="K369" i="5"/>
  <c r="J363" i="5"/>
  <c r="M343" i="5"/>
  <c r="Q319" i="5" a="1"/>
  <c r="Q319" i="5" s="1"/>
  <c r="P306" i="5"/>
  <c r="Q294" i="5" a="1"/>
  <c r="Q294" i="5" s="1"/>
  <c r="N285" i="5"/>
  <c r="Q261" i="5" a="1"/>
  <c r="Q261" i="5" s="1"/>
  <c r="N248" i="5"/>
  <c r="O235" i="5"/>
  <c r="M234" i="5"/>
  <c r="O218" i="5"/>
  <c r="R210" i="5" a="1"/>
  <c r="R210" i="5" s="1"/>
  <c r="O167" i="5"/>
  <c r="O154" i="5"/>
  <c r="M141" i="5"/>
  <c r="M123" i="5"/>
  <c r="L110" i="5"/>
  <c r="Q97" i="5" a="1"/>
  <c r="Q97" i="5" s="1"/>
  <c r="M84" i="5"/>
  <c r="R60" i="5" a="1"/>
  <c r="R60" i="5" s="1"/>
  <c r="K49" i="5"/>
  <c r="P26" i="5"/>
  <c r="P18" i="5"/>
  <c r="O8" i="5"/>
  <c r="O78" i="5"/>
  <c r="P482" i="5"/>
  <c r="O484" i="5"/>
  <c r="Q483" i="5" a="1"/>
  <c r="Q483" i="5" s="1"/>
  <c r="L472" i="5"/>
  <c r="N464" i="5"/>
  <c r="N484" i="5"/>
  <c r="O483" i="5"/>
  <c r="J472" i="5"/>
  <c r="M464" i="5"/>
  <c r="P459" i="5"/>
  <c r="R454" i="5" a="1"/>
  <c r="R454" i="5" s="1"/>
  <c r="N417" i="5"/>
  <c r="L398" i="5"/>
  <c r="P384" i="5"/>
  <c r="Q378" i="5" a="1"/>
  <c r="Q378" i="5" s="1"/>
  <c r="P375" i="5"/>
  <c r="J372" i="5"/>
  <c r="J369" i="5"/>
  <c r="O366" i="5"/>
  <c r="J343" i="5"/>
  <c r="N339" i="5"/>
  <c r="P319" i="5"/>
  <c r="Q291" i="5" a="1"/>
  <c r="Q291" i="5" s="1"/>
  <c r="J285" i="5"/>
  <c r="L248" i="5"/>
  <c r="R245" i="5" a="1"/>
  <c r="R245" i="5" s="1"/>
  <c r="N235" i="5"/>
  <c r="L234" i="5"/>
  <c r="N218" i="5"/>
  <c r="R213" i="5" a="1"/>
  <c r="R213" i="5" s="1"/>
  <c r="M167" i="5"/>
  <c r="N154" i="5"/>
  <c r="K151" i="5"/>
  <c r="K141" i="5"/>
  <c r="K110" i="5"/>
  <c r="K84" i="5"/>
  <c r="R65" i="5" a="1"/>
  <c r="R65" i="5" s="1"/>
  <c r="Q60" i="5" a="1"/>
  <c r="Q60" i="5" s="1"/>
  <c r="J49" i="5"/>
  <c r="M26" i="5"/>
  <c r="O18" i="5"/>
  <c r="O391" i="5"/>
  <c r="Q96" i="5" a="1"/>
  <c r="Q96" i="5" s="1"/>
  <c r="N368" i="5"/>
  <c r="R272" i="5" a="1"/>
  <c r="R272" i="5" s="1"/>
  <c r="M484" i="5"/>
  <c r="J464" i="5"/>
  <c r="Q402" i="5" a="1"/>
  <c r="Q402" i="5" s="1"/>
  <c r="J398" i="5"/>
  <c r="P378" i="5"/>
  <c r="K375" i="5"/>
  <c r="P353" i="5"/>
  <c r="K339" i="5"/>
  <c r="O336" i="5"/>
  <c r="N323" i="5"/>
  <c r="K248" i="5"/>
  <c r="O245" i="5"/>
  <c r="R239" i="5" a="1"/>
  <c r="R239" i="5" s="1"/>
  <c r="M235" i="5"/>
  <c r="K234" i="5"/>
  <c r="O213" i="5"/>
  <c r="N198" i="5"/>
  <c r="N175" i="5"/>
  <c r="K167" i="5"/>
  <c r="L154" i="5"/>
  <c r="O144" i="5"/>
  <c r="K129" i="5"/>
  <c r="O113" i="5"/>
  <c r="J110" i="5"/>
  <c r="Q76" i="5" a="1"/>
  <c r="Q76" i="5" s="1"/>
  <c r="O60" i="5"/>
  <c r="R50" i="5" a="1"/>
  <c r="R50" i="5" s="1"/>
  <c r="R36" i="5" a="1"/>
  <c r="R36" i="5" s="1"/>
  <c r="P257" i="5"/>
  <c r="R257" i="5" a="1"/>
  <c r="R257" i="5" s="1"/>
  <c r="Q191" i="5" a="1"/>
  <c r="Q191" i="5" s="1"/>
  <c r="P191" i="5"/>
  <c r="R191" i="5" a="1"/>
  <c r="R191" i="5" s="1"/>
  <c r="O457" i="5"/>
  <c r="K457" i="5"/>
  <c r="L457" i="5"/>
  <c r="P434" i="5"/>
  <c r="Q434" i="5" a="1"/>
  <c r="Q434" i="5" s="1"/>
  <c r="J424" i="5"/>
  <c r="K424" i="5"/>
  <c r="P419" i="5"/>
  <c r="Q415" i="5" a="1"/>
  <c r="Q415" i="5" s="1"/>
  <c r="P415" i="5"/>
  <c r="N348" i="5"/>
  <c r="K348" i="5"/>
  <c r="J348" i="5"/>
  <c r="M348" i="5"/>
  <c r="P165" i="5"/>
  <c r="R165" i="5" a="1"/>
  <c r="R165" i="5" s="1"/>
  <c r="M303" i="5"/>
  <c r="J303" i="5"/>
  <c r="L303" i="5"/>
  <c r="L273" i="5"/>
  <c r="K273" i="5"/>
  <c r="R176" i="5" a="1"/>
  <c r="R176" i="5" s="1"/>
  <c r="P176" i="5"/>
  <c r="Q492" i="5" a="1"/>
  <c r="Q492" i="5" s="1"/>
  <c r="P492" i="5"/>
  <c r="Q437" i="5" a="1"/>
  <c r="Q437" i="5" s="1"/>
  <c r="R382" i="5" a="1"/>
  <c r="R382" i="5" s="1"/>
  <c r="Q382" i="5" a="1"/>
  <c r="Q382" i="5" s="1"/>
  <c r="P299" i="5"/>
  <c r="R299" i="5" a="1"/>
  <c r="R299" i="5" s="1"/>
  <c r="R86" i="5" a="1"/>
  <c r="R86" i="5" s="1"/>
  <c r="P86" i="5"/>
  <c r="Q86" i="5" a="1"/>
  <c r="Q86" i="5" s="1"/>
  <c r="K382" i="5"/>
  <c r="L382" i="5"/>
  <c r="J382" i="5"/>
  <c r="O382" i="5"/>
  <c r="R448" i="5" a="1"/>
  <c r="R448" i="5" s="1"/>
  <c r="Q448" i="5" a="1"/>
  <c r="Q448" i="5" s="1"/>
  <c r="P437" i="5"/>
  <c r="N328" i="5"/>
  <c r="L328" i="5"/>
  <c r="M328" i="5"/>
  <c r="J263" i="5"/>
  <c r="K263" i="5"/>
  <c r="N263" i="5"/>
  <c r="P250" i="5"/>
  <c r="Q250" i="5" a="1"/>
  <c r="Q250" i="5" s="1"/>
  <c r="R250" i="5" a="1"/>
  <c r="R250" i="5" s="1"/>
  <c r="P469" i="5"/>
  <c r="R469" i="5" a="1"/>
  <c r="R469" i="5" s="1"/>
  <c r="P446" i="5"/>
  <c r="Q446" i="5" a="1"/>
  <c r="Q446" i="5" s="1"/>
  <c r="R438" i="5" a="1"/>
  <c r="R438" i="5" s="1"/>
  <c r="O437" i="5"/>
  <c r="R434" i="5" a="1"/>
  <c r="R434" i="5" s="1"/>
  <c r="N406" i="5"/>
  <c r="R366" i="5" a="1"/>
  <c r="R366" i="5" s="1"/>
  <c r="J179" i="5"/>
  <c r="O179" i="5"/>
  <c r="P442" i="5"/>
  <c r="Q442" i="5" a="1"/>
  <c r="Q442" i="5" s="1"/>
  <c r="O406" i="5"/>
  <c r="J487" i="5"/>
  <c r="O487" i="5"/>
  <c r="K485" i="5"/>
  <c r="N434" i="5"/>
  <c r="R422" i="5" a="1"/>
  <c r="R422" i="5" s="1"/>
  <c r="Q422" i="5" a="1"/>
  <c r="Q422" i="5" s="1"/>
  <c r="P422" i="5"/>
  <c r="O411" i="5"/>
  <c r="N411" i="5"/>
  <c r="O408" i="5"/>
  <c r="K408" i="5"/>
  <c r="J408" i="5"/>
  <c r="M408" i="5"/>
  <c r="O392" i="5"/>
  <c r="L392" i="5"/>
  <c r="M392" i="5"/>
  <c r="N392" i="5"/>
  <c r="Q363" i="5" a="1"/>
  <c r="Q363" i="5" s="1"/>
  <c r="P290" i="5"/>
  <c r="Q290" i="5" a="1"/>
  <c r="Q290" i="5" s="1"/>
  <c r="J238" i="5"/>
  <c r="K238" i="5"/>
  <c r="L238" i="5"/>
  <c r="O238" i="5"/>
  <c r="P192" i="5"/>
  <c r="Q192" i="5" a="1"/>
  <c r="Q192" i="5" s="1"/>
  <c r="R192" i="5" a="1"/>
  <c r="R192" i="5" s="1"/>
  <c r="P69" i="5"/>
  <c r="R69" i="5" a="1"/>
  <c r="R69" i="5" s="1"/>
  <c r="O460" i="5"/>
  <c r="R457" i="5" a="1"/>
  <c r="R457" i="5" s="1"/>
  <c r="K400" i="5"/>
  <c r="L383" i="5"/>
  <c r="M383" i="5"/>
  <c r="K383" i="5"/>
  <c r="R379" i="5" a="1"/>
  <c r="R379" i="5" s="1"/>
  <c r="Q379" i="5" a="1"/>
  <c r="Q379" i="5" s="1"/>
  <c r="P359" i="5"/>
  <c r="Q359" i="5" a="1"/>
  <c r="Q359" i="5" s="1"/>
  <c r="R359" i="5" a="1"/>
  <c r="R359" i="5" s="1"/>
  <c r="K296" i="5"/>
  <c r="P283" i="5"/>
  <c r="R283" i="5" a="1"/>
  <c r="R283" i="5" s="1"/>
  <c r="O184" i="5"/>
  <c r="J184" i="5"/>
  <c r="L184" i="5"/>
  <c r="M184" i="5"/>
  <c r="P166" i="5"/>
  <c r="Q166" i="5" a="1"/>
  <c r="Q166" i="5" s="1"/>
  <c r="R166" i="5" a="1"/>
  <c r="R166" i="5" s="1"/>
  <c r="L434" i="5"/>
  <c r="O434" i="5"/>
  <c r="K473" i="5"/>
  <c r="J473" i="5"/>
  <c r="N460" i="5"/>
  <c r="P457" i="5"/>
  <c r="J452" i="5"/>
  <c r="K452" i="5"/>
  <c r="K443" i="5"/>
  <c r="N443" i="5"/>
  <c r="O443" i="5"/>
  <c r="K438" i="5"/>
  <c r="K434" i="5"/>
  <c r="P304" i="5"/>
  <c r="R304" i="5" a="1"/>
  <c r="R304" i="5" s="1"/>
  <c r="P148" i="5"/>
  <c r="Q148" i="5" a="1"/>
  <c r="Q148" i="5" s="1"/>
  <c r="P281" i="5"/>
  <c r="Q281" i="5" a="1"/>
  <c r="Q281" i="5" s="1"/>
  <c r="R267" i="5" a="1"/>
  <c r="R267" i="5" s="1"/>
  <c r="P267" i="5"/>
  <c r="Q267" i="5" a="1"/>
  <c r="Q267" i="5" s="1"/>
  <c r="N115" i="5"/>
  <c r="J115" i="5"/>
  <c r="K115" i="5"/>
  <c r="L115" i="5"/>
  <c r="M115" i="5"/>
  <c r="M457" i="5"/>
  <c r="P448" i="5"/>
  <c r="N433" i="5"/>
  <c r="L433" i="5"/>
  <c r="M433" i="5"/>
  <c r="N424" i="5"/>
  <c r="L410" i="5"/>
  <c r="O403" i="5"/>
  <c r="K403" i="5"/>
  <c r="P399" i="5"/>
  <c r="R399" i="5" a="1"/>
  <c r="R399" i="5" s="1"/>
  <c r="P388" i="5"/>
  <c r="R388" i="5" a="1"/>
  <c r="R388" i="5" s="1"/>
  <c r="P382" i="5"/>
  <c r="Q365" i="5" a="1"/>
  <c r="Q365" i="5" s="1"/>
  <c r="P365" i="5"/>
  <c r="L348" i="5"/>
  <c r="R303" i="5" a="1"/>
  <c r="R303" i="5" s="1"/>
  <c r="Q419" i="5" a="1"/>
  <c r="Q419" i="5" s="1"/>
  <c r="M489" i="5"/>
  <c r="N457" i="5"/>
  <c r="O424" i="5"/>
  <c r="O380" i="5"/>
  <c r="L380" i="5"/>
  <c r="M380" i="5"/>
  <c r="N380" i="5"/>
  <c r="R492" i="5" a="1"/>
  <c r="R492" i="5" s="1"/>
  <c r="R480" i="5" a="1"/>
  <c r="R480" i="5" s="1"/>
  <c r="K474" i="5"/>
  <c r="L474" i="5"/>
  <c r="N469" i="5"/>
  <c r="R451" i="5" a="1"/>
  <c r="R451" i="5" s="1"/>
  <c r="N448" i="5"/>
  <c r="J447" i="5"/>
  <c r="N447" i="5"/>
  <c r="O447" i="5"/>
  <c r="O444" i="5"/>
  <c r="K444" i="5"/>
  <c r="N444" i="5"/>
  <c r="R442" i="5" a="1"/>
  <c r="R442" i="5" s="1"/>
  <c r="K435" i="5"/>
  <c r="K418" i="5"/>
  <c r="J418" i="5"/>
  <c r="O416" i="5"/>
  <c r="R403" i="5" a="1"/>
  <c r="R403" i="5" s="1"/>
  <c r="Q403" i="5" a="1"/>
  <c r="Q403" i="5" s="1"/>
  <c r="N382" i="5"/>
  <c r="J353" i="5"/>
  <c r="P315" i="5"/>
  <c r="Q315" i="5" a="1"/>
  <c r="Q315" i="5" s="1"/>
  <c r="Q310" i="5" a="1"/>
  <c r="Q310" i="5" s="1"/>
  <c r="P310" i="5"/>
  <c r="R310" i="5" a="1"/>
  <c r="R310" i="5" s="1"/>
  <c r="Q303" i="5" a="1"/>
  <c r="Q303" i="5" s="1"/>
  <c r="O159" i="5"/>
  <c r="M159" i="5"/>
  <c r="N159" i="5"/>
  <c r="J79" i="5"/>
  <c r="L79" i="5"/>
  <c r="N79" i="5"/>
  <c r="L466" i="5"/>
  <c r="K466" i="5"/>
  <c r="N439" i="5"/>
  <c r="O439" i="5"/>
  <c r="P407" i="5"/>
  <c r="R407" i="5" a="1"/>
  <c r="R407" i="5" s="1"/>
  <c r="K367" i="5"/>
  <c r="J367" i="5"/>
  <c r="Q358" i="5" a="1"/>
  <c r="Q358" i="5" s="1"/>
  <c r="R358" i="5" a="1"/>
  <c r="R358" i="5" s="1"/>
  <c r="J483" i="5"/>
  <c r="N483" i="5"/>
  <c r="J466" i="5"/>
  <c r="J434" i="5"/>
  <c r="O410" i="5"/>
  <c r="O404" i="5"/>
  <c r="O388" i="5"/>
  <c r="J388" i="5"/>
  <c r="P358" i="5"/>
  <c r="O348" i="5"/>
  <c r="M334" i="5"/>
  <c r="J334" i="5"/>
  <c r="L334" i="5"/>
  <c r="P475" i="5"/>
  <c r="K491" i="5"/>
  <c r="J491" i="5"/>
  <c r="L469" i="5"/>
  <c r="P451" i="5"/>
  <c r="Q444" i="5" a="1"/>
  <c r="Q444" i="5" s="1"/>
  <c r="P444" i="5"/>
  <c r="O419" i="5"/>
  <c r="J419" i="5"/>
  <c r="N416" i="5"/>
  <c r="R395" i="5" a="1"/>
  <c r="R395" i="5" s="1"/>
  <c r="J387" i="5"/>
  <c r="R372" i="5" a="1"/>
  <c r="R372" i="5" s="1"/>
  <c r="Q372" i="5" a="1"/>
  <c r="Q372" i="5" s="1"/>
  <c r="P372" i="5"/>
  <c r="J333" i="5"/>
  <c r="P287" i="5"/>
  <c r="Q287" i="5" a="1"/>
  <c r="Q287" i="5" s="1"/>
  <c r="R287" i="5" a="1"/>
  <c r="R287" i="5" s="1"/>
  <c r="J226" i="5"/>
  <c r="K226" i="5"/>
  <c r="P203" i="5"/>
  <c r="R203" i="5" a="1"/>
  <c r="R203" i="5" s="1"/>
  <c r="M126" i="5"/>
  <c r="N126" i="5"/>
  <c r="O126" i="5"/>
  <c r="R412" i="5" a="1"/>
  <c r="R412" i="5" s="1"/>
  <c r="P412" i="5"/>
  <c r="Q412" i="5" a="1"/>
  <c r="Q412" i="5" s="1"/>
  <c r="Q341" i="5" a="1"/>
  <c r="Q341" i="5" s="1"/>
  <c r="P341" i="5"/>
  <c r="P188" i="5"/>
  <c r="Q188" i="5" a="1"/>
  <c r="Q188" i="5" s="1"/>
  <c r="R188" i="5" a="1"/>
  <c r="R188" i="5" s="1"/>
  <c r="Q248" i="5" a="1"/>
  <c r="Q248" i="5" s="1"/>
  <c r="P248" i="5"/>
  <c r="P229" i="5"/>
  <c r="Q229" i="5" a="1"/>
  <c r="Q229" i="5" s="1"/>
  <c r="R229" i="5" a="1"/>
  <c r="R229" i="5" s="1"/>
  <c r="K173" i="5"/>
  <c r="M173" i="5"/>
  <c r="N173" i="5"/>
  <c r="O173" i="5"/>
  <c r="P82" i="5"/>
  <c r="Q82" i="5" a="1"/>
  <c r="Q82" i="5" s="1"/>
  <c r="K406" i="5"/>
  <c r="J406" i="5"/>
  <c r="M406" i="5"/>
  <c r="P381" i="5"/>
  <c r="R381" i="5" a="1"/>
  <c r="R381" i="5" s="1"/>
  <c r="R327" i="5" a="1"/>
  <c r="R327" i="5" s="1"/>
  <c r="Q327" i="5" a="1"/>
  <c r="Q327" i="5" s="1"/>
  <c r="R259" i="5" a="1"/>
  <c r="R259" i="5" s="1"/>
  <c r="P259" i="5"/>
  <c r="Q259" i="5" a="1"/>
  <c r="Q259" i="5" s="1"/>
  <c r="K487" i="5"/>
  <c r="J416" i="5"/>
  <c r="K411" i="5"/>
  <c r="L408" i="5"/>
  <c r="O400" i="5"/>
  <c r="L400" i="5"/>
  <c r="N400" i="5"/>
  <c r="M400" i="5"/>
  <c r="J392" i="5"/>
  <c r="J376" i="5"/>
  <c r="Q318" i="5" a="1"/>
  <c r="Q318" i="5" s="1"/>
  <c r="P318" i="5"/>
  <c r="J249" i="5"/>
  <c r="K249" i="5"/>
  <c r="L249" i="5"/>
  <c r="M249" i="5"/>
  <c r="N249" i="5"/>
  <c r="O140" i="5"/>
  <c r="M113" i="5"/>
  <c r="J97" i="5"/>
  <c r="J96" i="5"/>
  <c r="O4" i="5"/>
  <c r="O378" i="5"/>
  <c r="O332" i="5"/>
  <c r="Q277" i="5" a="1"/>
  <c r="Q277" i="5" s="1"/>
  <c r="N265" i="5"/>
  <c r="Q255" i="5" a="1"/>
  <c r="Q255" i="5" s="1"/>
  <c r="O247" i="5"/>
  <c r="P164" i="5"/>
  <c r="N129" i="5"/>
  <c r="Q141" i="5" a="1"/>
  <c r="Q141" i="5" s="1"/>
  <c r="L60" i="5"/>
  <c r="R19" i="5" a="1"/>
  <c r="R19" i="5" s="1"/>
  <c r="R155" i="5" a="1"/>
  <c r="R155" i="5" s="1"/>
  <c r="L151" i="5"/>
  <c r="R68" i="5" a="1"/>
  <c r="R68" i="5" s="1"/>
  <c r="R26" i="5" a="1"/>
  <c r="R26" i="5" s="1"/>
  <c r="Q19" i="5" a="1"/>
  <c r="Q19" i="5" s="1"/>
  <c r="O2" i="5"/>
  <c r="R173" i="5" a="1"/>
  <c r="R173" i="5" s="1"/>
  <c r="O158" i="5"/>
  <c r="Q111" i="5" a="1"/>
  <c r="Q111" i="5" s="1"/>
  <c r="Q78" i="5" a="1"/>
  <c r="Q78" i="5" s="1"/>
  <c r="P68" i="5"/>
  <c r="Q57" i="5" a="1"/>
  <c r="Q57" i="5" s="1"/>
  <c r="M2" i="5"/>
  <c r="R481" i="5" a="1"/>
  <c r="R481" i="5" s="1"/>
  <c r="M472" i="5"/>
  <c r="O453" i="5"/>
  <c r="M398" i="5"/>
  <c r="M391" i="5"/>
  <c r="P376" i="5"/>
  <c r="O356" i="5"/>
  <c r="R353" i="5" a="1"/>
  <c r="R353" i="5" s="1"/>
  <c r="L340" i="5"/>
  <c r="M336" i="5"/>
  <c r="L256" i="5"/>
  <c r="Q173" i="5" a="1"/>
  <c r="Q173" i="5" s="1"/>
  <c r="M158" i="5"/>
  <c r="O145" i="5"/>
  <c r="N130" i="5"/>
  <c r="N121" i="5"/>
  <c r="R118" i="5" a="1"/>
  <c r="R118" i="5" s="1"/>
  <c r="O81" i="5"/>
  <c r="P57" i="5"/>
  <c r="R54" i="5" a="1"/>
  <c r="R54" i="5" s="1"/>
  <c r="O26" i="5"/>
  <c r="O20" i="5"/>
  <c r="K2" i="5"/>
  <c r="K158" i="5"/>
  <c r="O148" i="5"/>
  <c r="M145" i="5"/>
  <c r="R126" i="5" a="1"/>
  <c r="R126" i="5" s="1"/>
  <c r="J121" i="5"/>
  <c r="O57" i="5"/>
  <c r="Q54" i="5" a="1"/>
  <c r="Q54" i="5" s="1"/>
  <c r="R367" i="5" a="1"/>
  <c r="R367" i="5" s="1"/>
  <c r="N360" i="5"/>
  <c r="Q273" i="5" a="1"/>
  <c r="Q273" i="5" s="1"/>
  <c r="Q245" i="5" a="1"/>
  <c r="Q245" i="5" s="1"/>
  <c r="Q241" i="5" a="1"/>
  <c r="Q241" i="5" s="1"/>
  <c r="Q240" i="5" a="1"/>
  <c r="Q240" i="5" s="1"/>
  <c r="Q239" i="5" a="1"/>
  <c r="Q239" i="5" s="1"/>
  <c r="N232" i="5"/>
  <c r="N208" i="5"/>
  <c r="R195" i="5" a="1"/>
  <c r="R195" i="5" s="1"/>
  <c r="O192" i="5"/>
  <c r="R162" i="5" a="1"/>
  <c r="R162" i="5" s="1"/>
  <c r="R159" i="5" a="1"/>
  <c r="R159" i="5" s="1"/>
  <c r="N152" i="5"/>
  <c r="N148" i="5"/>
  <c r="K145" i="5"/>
  <c r="R142" i="5" a="1"/>
  <c r="R142" i="5" s="1"/>
  <c r="P133" i="5"/>
  <c r="P126" i="5"/>
  <c r="O123" i="5"/>
  <c r="P122" i="5"/>
  <c r="K104" i="5"/>
  <c r="R99" i="5" a="1"/>
  <c r="R99" i="5" s="1"/>
  <c r="M94" i="5"/>
  <c r="Q90" i="5" a="1"/>
  <c r="Q90" i="5" s="1"/>
  <c r="P89" i="5"/>
  <c r="J78" i="5"/>
  <c r="R64" i="5" a="1"/>
  <c r="R64" i="5" s="1"/>
  <c r="R58" i="5" a="1"/>
  <c r="R58" i="5" s="1"/>
  <c r="N57" i="5"/>
  <c r="K54" i="5"/>
  <c r="R43" i="5" a="1"/>
  <c r="R43" i="5" s="1"/>
  <c r="N40" i="5"/>
  <c r="R29" i="5" a="1"/>
  <c r="R29" i="5" s="1"/>
  <c r="K23" i="5"/>
  <c r="M20" i="5"/>
  <c r="J19" i="5"/>
  <c r="Q11" i="5" a="1"/>
  <c r="Q11" i="5" s="1"/>
  <c r="O244" i="5"/>
  <c r="P241" i="5"/>
  <c r="P240" i="5"/>
  <c r="R217" i="5" a="1"/>
  <c r="R217" i="5" s="1"/>
  <c r="P195" i="5"/>
  <c r="N192" i="5"/>
  <c r="P167" i="5"/>
  <c r="Q162" i="5" a="1"/>
  <c r="Q162" i="5" s="1"/>
  <c r="P159" i="5"/>
  <c r="M152" i="5"/>
  <c r="M148" i="5"/>
  <c r="N122" i="5"/>
  <c r="O105" i="5"/>
  <c r="O99" i="5"/>
  <c r="Q91" i="5" a="1"/>
  <c r="Q91" i="5" s="1"/>
  <c r="P90" i="5"/>
  <c r="O89" i="5"/>
  <c r="O69" i="5"/>
  <c r="K66" i="5"/>
  <c r="J64" i="5"/>
  <c r="M57" i="5"/>
  <c r="J54" i="5"/>
  <c r="Q43" i="5" a="1"/>
  <c r="Q43" i="5" s="1"/>
  <c r="N32" i="5"/>
  <c r="J20" i="5"/>
  <c r="J152" i="5"/>
  <c r="O149" i="5"/>
  <c r="J148" i="5"/>
  <c r="L122" i="5"/>
  <c r="Q95" i="5" a="1"/>
  <c r="Q95" i="5" s="1"/>
  <c r="O91" i="5"/>
  <c r="O90" i="5"/>
  <c r="N89" i="5"/>
  <c r="J82" i="5"/>
  <c r="L69" i="5"/>
  <c r="J57" i="5"/>
  <c r="R46" i="5" a="1"/>
  <c r="R46" i="5" s="1"/>
  <c r="M32" i="5"/>
  <c r="O24" i="5"/>
  <c r="O3" i="5"/>
  <c r="O396" i="5"/>
  <c r="P368" i="5"/>
  <c r="R357" i="5" a="1"/>
  <c r="R357" i="5" s="1"/>
  <c r="R354" i="5" a="1"/>
  <c r="R354" i="5" s="1"/>
  <c r="Q343" i="5" a="1"/>
  <c r="Q343" i="5" s="1"/>
  <c r="N342" i="5"/>
  <c r="R297" i="5" a="1"/>
  <c r="R297" i="5" s="1"/>
  <c r="Q260" i="5" a="1"/>
  <c r="Q260" i="5" s="1"/>
  <c r="L241" i="5"/>
  <c r="M240" i="5"/>
  <c r="N239" i="5"/>
  <c r="P230" i="5"/>
  <c r="M224" i="5"/>
  <c r="R221" i="5" a="1"/>
  <c r="R221" i="5" s="1"/>
  <c r="R218" i="5" a="1"/>
  <c r="R218" i="5" s="1"/>
  <c r="O217" i="5"/>
  <c r="Q185" i="5" a="1"/>
  <c r="Q185" i="5" s="1"/>
  <c r="R182" i="5" a="1"/>
  <c r="R182" i="5" s="1"/>
  <c r="P174" i="5"/>
  <c r="R168" i="5" a="1"/>
  <c r="R168" i="5" s="1"/>
  <c r="N167" i="5"/>
  <c r="N149" i="5"/>
  <c r="Q131" i="5" a="1"/>
  <c r="Q131" i="5" s="1"/>
  <c r="L127" i="5"/>
  <c r="L123" i="5"/>
  <c r="K122" i="5"/>
  <c r="M119" i="5"/>
  <c r="Q112" i="5" a="1"/>
  <c r="Q112" i="5" s="1"/>
  <c r="L105" i="5"/>
  <c r="P102" i="5"/>
  <c r="O95" i="5"/>
  <c r="N91" i="5"/>
  <c r="N90" i="5"/>
  <c r="L89" i="5"/>
  <c r="M58" i="5"/>
  <c r="O47" i="5"/>
  <c r="Q46" i="5" a="1"/>
  <c r="Q46" i="5" s="1"/>
  <c r="R35" i="5" a="1"/>
  <c r="R35" i="5" s="1"/>
  <c r="J32" i="5"/>
  <c r="N24" i="5"/>
  <c r="Q21" i="5" a="1"/>
  <c r="Q21" i="5" s="1"/>
  <c r="R14" i="5" a="1"/>
  <c r="R14" i="5" s="1"/>
  <c r="M409" i="5"/>
  <c r="N396" i="5"/>
  <c r="O368" i="5"/>
  <c r="Q357" i="5" a="1"/>
  <c r="Q357" i="5" s="1"/>
  <c r="R288" i="5" a="1"/>
  <c r="R288" i="5" s="1"/>
  <c r="Q284" i="5" a="1"/>
  <c r="Q284" i="5" s="1"/>
  <c r="M245" i="5"/>
  <c r="K241" i="5"/>
  <c r="L240" i="5"/>
  <c r="M239" i="5"/>
  <c r="L224" i="5"/>
  <c r="O221" i="5"/>
  <c r="P218" i="5"/>
  <c r="M217" i="5"/>
  <c r="R193" i="5" a="1"/>
  <c r="R193" i="5" s="1"/>
  <c r="P182" i="5"/>
  <c r="R163" i="5" a="1"/>
  <c r="R163" i="5" s="1"/>
  <c r="N153" i="5"/>
  <c r="M149" i="5"/>
  <c r="O139" i="5"/>
  <c r="P131" i="5"/>
  <c r="K127" i="5"/>
  <c r="K123" i="5"/>
  <c r="J122" i="5"/>
  <c r="L119" i="5"/>
  <c r="Q109" i="5" a="1"/>
  <c r="Q109" i="5" s="1"/>
  <c r="R106" i="5" a="1"/>
  <c r="R106" i="5" s="1"/>
  <c r="K105" i="5"/>
  <c r="O96" i="5"/>
  <c r="L95" i="5"/>
  <c r="R92" i="5" a="1"/>
  <c r="R92" i="5" s="1"/>
  <c r="M91" i="5"/>
  <c r="L90" i="5"/>
  <c r="K89" i="5"/>
  <c r="R48" i="5" a="1"/>
  <c r="R48" i="5" s="1"/>
  <c r="N47" i="5"/>
  <c r="M24" i="5"/>
  <c r="N21" i="5"/>
  <c r="O6" i="5"/>
  <c r="P288" i="5"/>
  <c r="R261" i="5" a="1"/>
  <c r="R261" i="5" s="1"/>
  <c r="J241" i="5"/>
  <c r="K240" i="5"/>
  <c r="J224" i="5"/>
  <c r="N221" i="5"/>
  <c r="Q201" i="5" a="1"/>
  <c r="Q201" i="5" s="1"/>
  <c r="P168" i="5"/>
  <c r="M153" i="5"/>
  <c r="P143" i="5"/>
  <c r="N128" i="5"/>
  <c r="J105" i="5"/>
  <c r="N96" i="5"/>
  <c r="J95" i="5"/>
  <c r="N92" i="5"/>
  <c r="L91" i="5"/>
  <c r="K90" i="5"/>
  <c r="O59" i="5"/>
  <c r="R52" i="5" a="1"/>
  <c r="R52" i="5" s="1"/>
  <c r="M47" i="5"/>
  <c r="R41" i="5" a="1"/>
  <c r="R41" i="5" s="1"/>
  <c r="K24" i="5"/>
  <c r="M96" i="5"/>
  <c r="M92" i="5"/>
  <c r="R83" i="5" a="1"/>
  <c r="R83" i="5" s="1"/>
  <c r="M338" i="5"/>
  <c r="R285" i="5" a="1"/>
  <c r="R285" i="5" s="1"/>
  <c r="R236" i="5" a="1"/>
  <c r="R236" i="5" s="1"/>
  <c r="K218" i="5"/>
  <c r="O212" i="5"/>
  <c r="R180" i="5" a="1"/>
  <c r="R180" i="5" s="1"/>
  <c r="K168" i="5"/>
  <c r="L150" i="5"/>
  <c r="P137" i="5"/>
  <c r="J128" i="5"/>
  <c r="N113" i="5"/>
  <c r="J106" i="5"/>
  <c r="L97" i="5"/>
  <c r="K96" i="5"/>
  <c r="K92" i="5"/>
  <c r="N83" i="5"/>
  <c r="J47" i="5"/>
  <c r="R7" i="5" a="1"/>
  <c r="R7" i="5" s="1"/>
  <c r="J389" i="5"/>
  <c r="K389" i="5"/>
  <c r="L389" i="5"/>
  <c r="M389" i="5"/>
  <c r="N389" i="5"/>
  <c r="O389" i="5"/>
  <c r="K318" i="5"/>
  <c r="M318" i="5"/>
  <c r="N318" i="5"/>
  <c r="O318" i="5"/>
  <c r="P484" i="5"/>
  <c r="J481" i="5"/>
  <c r="L481" i="5"/>
  <c r="M481" i="5"/>
  <c r="M453" i="5"/>
  <c r="M435" i="5"/>
  <c r="N435" i="5"/>
  <c r="O435" i="5"/>
  <c r="R484" i="5" a="1"/>
  <c r="R484" i="5" s="1"/>
  <c r="M439" i="5"/>
  <c r="M429" i="5"/>
  <c r="M427" i="5"/>
  <c r="N427" i="5"/>
  <c r="O427" i="5"/>
  <c r="O412" i="5"/>
  <c r="Q408" i="5" a="1"/>
  <c r="Q408" i="5" s="1"/>
  <c r="P403" i="5"/>
  <c r="Q463" i="5" a="1"/>
  <c r="Q463" i="5" s="1"/>
  <c r="R463" i="5" a="1"/>
  <c r="R463" i="5" s="1"/>
  <c r="Q455" i="5" a="1"/>
  <c r="Q455" i="5" s="1"/>
  <c r="P455" i="5"/>
  <c r="R455" i="5" a="1"/>
  <c r="R455" i="5" s="1"/>
  <c r="N476" i="5"/>
  <c r="L464" i="5"/>
  <c r="O464" i="5"/>
  <c r="R458" i="5" a="1"/>
  <c r="R458" i="5" s="1"/>
  <c r="J457" i="5"/>
  <c r="K453" i="5"/>
  <c r="O449" i="5"/>
  <c r="L439" i="5"/>
  <c r="K431" i="5"/>
  <c r="L431" i="5"/>
  <c r="M431" i="5"/>
  <c r="N431" i="5"/>
  <c r="O431" i="5"/>
  <c r="L429" i="5"/>
  <c r="R427" i="5" a="1"/>
  <c r="R427" i="5" s="1"/>
  <c r="P427" i="5"/>
  <c r="Q427" i="5" a="1"/>
  <c r="Q427" i="5" s="1"/>
  <c r="R423" i="5" a="1"/>
  <c r="R423" i="5" s="1"/>
  <c r="K414" i="5"/>
  <c r="J414" i="5"/>
  <c r="M414" i="5"/>
  <c r="N414" i="5"/>
  <c r="O414" i="5"/>
  <c r="P408" i="5"/>
  <c r="J300" i="5"/>
  <c r="L300" i="5"/>
  <c r="N300" i="5"/>
  <c r="K300" i="5"/>
  <c r="M477" i="5"/>
  <c r="O477" i="5"/>
  <c r="R477" i="5" a="1"/>
  <c r="R477" i="5" s="1"/>
  <c r="P464" i="5"/>
  <c r="Q464" i="5" a="1"/>
  <c r="Q464" i="5" s="1"/>
  <c r="R464" i="5" a="1"/>
  <c r="R464" i="5" s="1"/>
  <c r="J460" i="5"/>
  <c r="K460" i="5"/>
  <c r="R440" i="5" a="1"/>
  <c r="R440" i="5" s="1"/>
  <c r="K439" i="5"/>
  <c r="Q423" i="5" a="1"/>
  <c r="Q423" i="5" s="1"/>
  <c r="P308" i="5"/>
  <c r="Q308" i="5" a="1"/>
  <c r="Q308" i="5" s="1"/>
  <c r="Q430" i="5" a="1"/>
  <c r="Q430" i="5" s="1"/>
  <c r="P430" i="5"/>
  <c r="R430" i="5" a="1"/>
  <c r="R430" i="5" s="1"/>
  <c r="Q481" i="5" a="1"/>
  <c r="Q481" i="5" s="1"/>
  <c r="J480" i="5"/>
  <c r="N477" i="5"/>
  <c r="N475" i="5"/>
  <c r="O475" i="5"/>
  <c r="Q473" i="5" a="1"/>
  <c r="Q473" i="5" s="1"/>
  <c r="P463" i="5"/>
  <c r="J456" i="5"/>
  <c r="O456" i="5"/>
  <c r="P428" i="5"/>
  <c r="Q428" i="5" a="1"/>
  <c r="Q428" i="5" s="1"/>
  <c r="L397" i="5"/>
  <c r="K397" i="5"/>
  <c r="M397" i="5"/>
  <c r="O329" i="5"/>
  <c r="J329" i="5"/>
  <c r="K329" i="5"/>
  <c r="L329" i="5"/>
  <c r="M329" i="5"/>
  <c r="N329" i="5"/>
  <c r="L477" i="5"/>
  <c r="P473" i="5"/>
  <c r="R472" i="5" a="1"/>
  <c r="R472" i="5" s="1"/>
  <c r="R471" i="5" a="1"/>
  <c r="R471" i="5" s="1"/>
  <c r="P465" i="5"/>
  <c r="Q465" i="5" a="1"/>
  <c r="Q465" i="5" s="1"/>
  <c r="O463" i="5"/>
  <c r="J461" i="5"/>
  <c r="K461" i="5"/>
  <c r="L461" i="5"/>
  <c r="R459" i="5" a="1"/>
  <c r="R459" i="5" s="1"/>
  <c r="P456" i="5"/>
  <c r="R456" i="5" a="1"/>
  <c r="R456" i="5" s="1"/>
  <c r="K425" i="5"/>
  <c r="J425" i="5"/>
  <c r="L425" i="5"/>
  <c r="M425" i="5"/>
  <c r="Q258" i="5" a="1"/>
  <c r="Q258" i="5" s="1"/>
  <c r="P258" i="5"/>
  <c r="R258" i="5" a="1"/>
  <c r="R258" i="5" s="1"/>
  <c r="R446" i="5" a="1"/>
  <c r="R446" i="5" s="1"/>
  <c r="P432" i="5"/>
  <c r="Q432" i="5" a="1"/>
  <c r="Q432" i="5" s="1"/>
  <c r="R432" i="5" a="1"/>
  <c r="R432" i="5" s="1"/>
  <c r="J385" i="5"/>
  <c r="K385" i="5"/>
  <c r="L385" i="5"/>
  <c r="M385" i="5"/>
  <c r="N385" i="5"/>
  <c r="O385" i="5"/>
  <c r="Q472" i="5" a="1"/>
  <c r="Q472" i="5" s="1"/>
  <c r="O492" i="5"/>
  <c r="Q487" i="5" a="1"/>
  <c r="Q487" i="5" s="1"/>
  <c r="M469" i="5"/>
  <c r="O469" i="5"/>
  <c r="K422" i="5"/>
  <c r="J422" i="5"/>
  <c r="L422" i="5"/>
  <c r="M422" i="5"/>
  <c r="O415" i="5"/>
  <c r="N415" i="5"/>
  <c r="J280" i="5"/>
  <c r="L280" i="5"/>
  <c r="M280" i="5"/>
  <c r="N280" i="5"/>
  <c r="O280" i="5"/>
  <c r="K280" i="5"/>
  <c r="N481" i="5"/>
  <c r="J477" i="5"/>
  <c r="N492" i="5"/>
  <c r="O488" i="5"/>
  <c r="P487" i="5"/>
  <c r="K481" i="5"/>
  <c r="J478" i="5"/>
  <c r="R465" i="5" a="1"/>
  <c r="R465" i="5" s="1"/>
  <c r="R460" i="5" a="1"/>
  <c r="R460" i="5" s="1"/>
  <c r="J435" i="5"/>
  <c r="J412" i="5"/>
  <c r="K412" i="5"/>
  <c r="L412" i="5"/>
  <c r="M412" i="5"/>
  <c r="J476" i="5"/>
  <c r="M476" i="5"/>
  <c r="O476" i="5"/>
  <c r="R461" i="5" a="1"/>
  <c r="R461" i="5" s="1"/>
  <c r="K449" i="5"/>
  <c r="J449" i="5"/>
  <c r="L449" i="5"/>
  <c r="M449" i="5"/>
  <c r="K429" i="5"/>
  <c r="N429" i="5"/>
  <c r="O429" i="5"/>
  <c r="M423" i="5"/>
  <c r="L423" i="5"/>
  <c r="Q410" i="5" a="1"/>
  <c r="Q410" i="5" s="1"/>
  <c r="M492" i="5"/>
  <c r="N488" i="5"/>
  <c r="O486" i="5"/>
  <c r="L492" i="5"/>
  <c r="M488" i="5"/>
  <c r="P476" i="5"/>
  <c r="R476" i="5" a="1"/>
  <c r="R476" i="5" s="1"/>
  <c r="K472" i="5"/>
  <c r="M465" i="5"/>
  <c r="Q461" i="5" a="1"/>
  <c r="Q461" i="5" s="1"/>
  <c r="P429" i="5"/>
  <c r="Q429" i="5" a="1"/>
  <c r="Q429" i="5" s="1"/>
  <c r="R429" i="5" a="1"/>
  <c r="R429" i="5" s="1"/>
  <c r="P450" i="5"/>
  <c r="R450" i="5" a="1"/>
  <c r="R450" i="5" s="1"/>
  <c r="P433" i="5"/>
  <c r="R433" i="5" a="1"/>
  <c r="R433" i="5" s="1"/>
  <c r="K477" i="5"/>
  <c r="K492" i="5"/>
  <c r="Q411" i="5" a="1"/>
  <c r="Q411" i="5" s="1"/>
  <c r="L488" i="5"/>
  <c r="K488" i="5"/>
  <c r="Q475" i="5" a="1"/>
  <c r="Q475" i="5" s="1"/>
  <c r="Q469" i="5" a="1"/>
  <c r="Q469" i="5" s="1"/>
  <c r="K465" i="5"/>
  <c r="O461" i="5"/>
  <c r="M456" i="5"/>
  <c r="N430" i="5"/>
  <c r="K430" i="5"/>
  <c r="L430" i="5"/>
  <c r="M430" i="5"/>
  <c r="P411" i="5"/>
  <c r="J404" i="5"/>
  <c r="K404" i="5"/>
  <c r="L404" i="5"/>
  <c r="M404" i="5"/>
  <c r="O395" i="5"/>
  <c r="J395" i="5"/>
  <c r="K395" i="5"/>
  <c r="L395" i="5"/>
  <c r="M395" i="5"/>
  <c r="N395" i="5"/>
  <c r="P392" i="5"/>
  <c r="P329" i="5"/>
  <c r="R329" i="5" a="1"/>
  <c r="R329" i="5" s="1"/>
  <c r="O325" i="5"/>
  <c r="K325" i="5"/>
  <c r="L283" i="5"/>
  <c r="J283" i="5"/>
  <c r="K283" i="5"/>
  <c r="M283" i="5"/>
  <c r="N283" i="5"/>
  <c r="L275" i="5"/>
  <c r="J275" i="5"/>
  <c r="K275" i="5"/>
  <c r="M275" i="5"/>
  <c r="N275" i="5"/>
  <c r="O275" i="5"/>
  <c r="Q385" i="5" a="1"/>
  <c r="Q385" i="5" s="1"/>
  <c r="K380" i="5"/>
  <c r="P366" i="5"/>
  <c r="N347" i="5"/>
  <c r="L347" i="5"/>
  <c r="R338" i="5" a="1"/>
  <c r="R338" i="5" s="1"/>
  <c r="N333" i="5"/>
  <c r="M332" i="5"/>
  <c r="O331" i="5"/>
  <c r="P327" i="5"/>
  <c r="N319" i="5"/>
  <c r="O319" i="5"/>
  <c r="R311" i="5" a="1"/>
  <c r="R311" i="5" s="1"/>
  <c r="N310" i="5"/>
  <c r="J171" i="5"/>
  <c r="K171" i="5"/>
  <c r="L171" i="5"/>
  <c r="M171" i="5"/>
  <c r="N171" i="5"/>
  <c r="O171" i="5"/>
  <c r="J102" i="5"/>
  <c r="K102" i="5"/>
  <c r="P3" i="5"/>
  <c r="R3" i="5" a="1"/>
  <c r="R3" i="5" s="1"/>
  <c r="N367" i="5"/>
  <c r="Q338" i="5" a="1"/>
  <c r="Q338" i="5" s="1"/>
  <c r="M333" i="5"/>
  <c r="K330" i="5"/>
  <c r="J330" i="5"/>
  <c r="L330" i="5"/>
  <c r="N269" i="5"/>
  <c r="J269" i="5"/>
  <c r="K269" i="5"/>
  <c r="L269" i="5"/>
  <c r="M269" i="5"/>
  <c r="O269" i="5"/>
  <c r="P79" i="5"/>
  <c r="R79" i="5" a="1"/>
  <c r="R79" i="5" s="1"/>
  <c r="K368" i="5"/>
  <c r="L367" i="5"/>
  <c r="N366" i="5"/>
  <c r="K360" i="5"/>
  <c r="N334" i="5"/>
  <c r="L333" i="5"/>
  <c r="K332" i="5"/>
  <c r="O328" i="5"/>
  <c r="N324" i="5"/>
  <c r="M311" i="5"/>
  <c r="Q299" i="5" a="1"/>
  <c r="Q299" i="5" s="1"/>
  <c r="P228" i="5"/>
  <c r="Q228" i="5" a="1"/>
  <c r="Q228" i="5" s="1"/>
  <c r="R228" i="5" a="1"/>
  <c r="R228" i="5" s="1"/>
  <c r="J12" i="5"/>
  <c r="K12" i="5"/>
  <c r="L12" i="5"/>
  <c r="M12" i="5"/>
  <c r="N12" i="5"/>
  <c r="O12" i="5"/>
  <c r="J368" i="5"/>
  <c r="O339" i="5"/>
  <c r="K333" i="5"/>
  <c r="R318" i="5" a="1"/>
  <c r="R318" i="5" s="1"/>
  <c r="J183" i="5"/>
  <c r="K183" i="5"/>
  <c r="L183" i="5"/>
  <c r="M183" i="5"/>
  <c r="N183" i="5"/>
  <c r="O183" i="5"/>
  <c r="K289" i="5"/>
  <c r="J289" i="5"/>
  <c r="L289" i="5"/>
  <c r="M289" i="5"/>
  <c r="O289" i="5"/>
  <c r="P100" i="5"/>
  <c r="Q100" i="5" a="1"/>
  <c r="Q100" i="5" s="1"/>
  <c r="N394" i="5"/>
  <c r="Q388" i="5" a="1"/>
  <c r="Q388" i="5" s="1"/>
  <c r="Q387" i="5" a="1"/>
  <c r="Q387" i="5" s="1"/>
  <c r="N386" i="5"/>
  <c r="K358" i="5"/>
  <c r="N358" i="5"/>
  <c r="O353" i="5"/>
  <c r="N353" i="5"/>
  <c r="J229" i="5"/>
  <c r="K229" i="5"/>
  <c r="L229" i="5"/>
  <c r="M229" i="5"/>
  <c r="N229" i="5"/>
  <c r="O229" i="5"/>
  <c r="M448" i="5"/>
  <c r="M447" i="5"/>
  <c r="M424" i="5"/>
  <c r="M411" i="5"/>
  <c r="N410" i="5"/>
  <c r="M403" i="5"/>
  <c r="N402" i="5"/>
  <c r="M396" i="5"/>
  <c r="M394" i="5"/>
  <c r="P387" i="5"/>
  <c r="N371" i="5"/>
  <c r="M356" i="5"/>
  <c r="Q348" i="5" a="1"/>
  <c r="Q348" i="5" s="1"/>
  <c r="M319" i="5"/>
  <c r="Q295" i="5" a="1"/>
  <c r="Q295" i="5" s="1"/>
  <c r="P295" i="5"/>
  <c r="N276" i="5"/>
  <c r="J276" i="5"/>
  <c r="L448" i="5"/>
  <c r="L447" i="5"/>
  <c r="R426" i="5" a="1"/>
  <c r="R426" i="5" s="1"/>
  <c r="L424" i="5"/>
  <c r="L411" i="5"/>
  <c r="M410" i="5"/>
  <c r="L403" i="5"/>
  <c r="M402" i="5"/>
  <c r="L396" i="5"/>
  <c r="L394" i="5"/>
  <c r="N388" i="5"/>
  <c r="O387" i="5"/>
  <c r="Q376" i="5" a="1"/>
  <c r="Q376" i="5" s="1"/>
  <c r="N372" i="5"/>
  <c r="M371" i="5"/>
  <c r="L356" i="5"/>
  <c r="N351" i="5"/>
  <c r="P348" i="5"/>
  <c r="R347" i="5" a="1"/>
  <c r="R347" i="5" s="1"/>
  <c r="Q344" i="5" a="1"/>
  <c r="Q344" i="5" s="1"/>
  <c r="P322" i="5"/>
  <c r="R322" i="5" a="1"/>
  <c r="R322" i="5" s="1"/>
  <c r="L319" i="5"/>
  <c r="R315" i="5" a="1"/>
  <c r="R315" i="5" s="1"/>
  <c r="N307" i="5"/>
  <c r="L307" i="5"/>
  <c r="M307" i="5"/>
  <c r="M388" i="5"/>
  <c r="N387" i="5"/>
  <c r="M373" i="5"/>
  <c r="O344" i="5"/>
  <c r="J325" i="5"/>
  <c r="L310" i="5"/>
  <c r="K310" i="5"/>
  <c r="M310" i="5"/>
  <c r="Q307" i="5" a="1"/>
  <c r="Q307" i="5" s="1"/>
  <c r="R307" i="5" a="1"/>
  <c r="R307" i="5" s="1"/>
  <c r="O283" i="5"/>
  <c r="P279" i="5"/>
  <c r="Q279" i="5" a="1"/>
  <c r="Q279" i="5" s="1"/>
  <c r="R279" i="5" a="1"/>
  <c r="R279" i="5" s="1"/>
  <c r="K448" i="5"/>
  <c r="K447" i="5"/>
  <c r="M428" i="5"/>
  <c r="J394" i="5"/>
  <c r="J448" i="5"/>
  <c r="L428" i="5"/>
  <c r="R415" i="5" a="1"/>
  <c r="R415" i="5" s="1"/>
  <c r="J411" i="5"/>
  <c r="J410" i="5"/>
  <c r="J403" i="5"/>
  <c r="J402" i="5"/>
  <c r="M390" i="5"/>
  <c r="L388" i="5"/>
  <c r="M387" i="5"/>
  <c r="R377" i="5" a="1"/>
  <c r="R377" i="5" s="1"/>
  <c r="O376" i="5"/>
  <c r="Q374" i="5" a="1"/>
  <c r="Q374" i="5" s="1"/>
  <c r="L373" i="5"/>
  <c r="P363" i="5"/>
  <c r="O352" i="5"/>
  <c r="J347" i="5"/>
  <c r="N344" i="5"/>
  <c r="O343" i="5"/>
  <c r="J323" i="5"/>
  <c r="O323" i="5"/>
  <c r="J319" i="5"/>
  <c r="N315" i="5"/>
  <c r="K388" i="5"/>
  <c r="L387" i="5"/>
  <c r="M377" i="5"/>
  <c r="N376" i="5"/>
  <c r="P374" i="5"/>
  <c r="O364" i="5"/>
  <c r="O363" i="5"/>
  <c r="M352" i="5"/>
  <c r="M344" i="5"/>
  <c r="N343" i="5"/>
  <c r="Q321" i="5" a="1"/>
  <c r="Q321" i="5" s="1"/>
  <c r="O311" i="5"/>
  <c r="J311" i="5"/>
  <c r="K311" i="5"/>
  <c r="Q292" i="5" a="1"/>
  <c r="Q292" i="5" s="1"/>
  <c r="P292" i="5"/>
  <c r="R254" i="5" a="1"/>
  <c r="R254" i="5" s="1"/>
  <c r="P254" i="5"/>
  <c r="Q254" i="5" a="1"/>
  <c r="Q254" i="5" s="1"/>
  <c r="P244" i="5"/>
  <c r="Q244" i="5" a="1"/>
  <c r="Q244" i="5" s="1"/>
  <c r="R244" i="5" a="1"/>
  <c r="R244" i="5" s="1"/>
  <c r="J101" i="5"/>
  <c r="K101" i="5"/>
  <c r="L101" i="5"/>
  <c r="M101" i="5"/>
  <c r="N101" i="5"/>
  <c r="O101" i="5"/>
  <c r="L377" i="5"/>
  <c r="M376" i="5"/>
  <c r="N375" i="5"/>
  <c r="O374" i="5"/>
  <c r="M367" i="5"/>
  <c r="O367" i="5"/>
  <c r="N364" i="5"/>
  <c r="N363" i="5"/>
  <c r="O358" i="5"/>
  <c r="L352" i="5"/>
  <c r="L344" i="5"/>
  <c r="R332" i="5" a="1"/>
  <c r="R332" i="5" s="1"/>
  <c r="P332" i="5"/>
  <c r="Q332" i="5" a="1"/>
  <c r="Q332" i="5" s="1"/>
  <c r="P321" i="5"/>
  <c r="N316" i="5"/>
  <c r="P314" i="5"/>
  <c r="R314" i="5" a="1"/>
  <c r="R314" i="5" s="1"/>
  <c r="P286" i="5"/>
  <c r="Q286" i="5" a="1"/>
  <c r="Q286" i="5" s="1"/>
  <c r="P282" i="5"/>
  <c r="R282" i="5" a="1"/>
  <c r="R282" i="5" s="1"/>
  <c r="N246" i="5"/>
  <c r="J246" i="5"/>
  <c r="K246" i="5"/>
  <c r="L246" i="5"/>
  <c r="M246" i="5"/>
  <c r="P379" i="5"/>
  <c r="K377" i="5"/>
  <c r="L376" i="5"/>
  <c r="M375" i="5"/>
  <c r="N374" i="5"/>
  <c r="M364" i="5"/>
  <c r="M363" i="5"/>
  <c r="M358" i="5"/>
  <c r="L353" i="5"/>
  <c r="K352" i="5"/>
  <c r="R349" i="5" a="1"/>
  <c r="R349" i="5" s="1"/>
  <c r="K344" i="5"/>
  <c r="L343" i="5"/>
  <c r="K334" i="5"/>
  <c r="O334" i="5"/>
  <c r="P333" i="5"/>
  <c r="Q333" i="5" a="1"/>
  <c r="Q333" i="5" s="1"/>
  <c r="J328" i="5"/>
  <c r="K328" i="5"/>
  <c r="J324" i="5"/>
  <c r="O324" i="5"/>
  <c r="L316" i="5"/>
  <c r="P273" i="5"/>
  <c r="P268" i="5"/>
  <c r="Q268" i="5" a="1"/>
  <c r="Q268" i="5" s="1"/>
  <c r="R268" i="5" a="1"/>
  <c r="R268" i="5" s="1"/>
  <c r="L108" i="5"/>
  <c r="N108" i="5"/>
  <c r="O108" i="5"/>
  <c r="L374" i="5"/>
  <c r="Q368" i="5" a="1"/>
  <c r="Q368" i="5" s="1"/>
  <c r="L364" i="5"/>
  <c r="K363" i="5"/>
  <c r="L358" i="5"/>
  <c r="K353" i="5"/>
  <c r="J352" i="5"/>
  <c r="L339" i="5"/>
  <c r="M339" i="5"/>
  <c r="P334" i="5"/>
  <c r="R334" i="5" a="1"/>
  <c r="R334" i="5" s="1"/>
  <c r="R328" i="5" a="1"/>
  <c r="R328" i="5" s="1"/>
  <c r="P328" i="5"/>
  <c r="Q326" i="5" a="1"/>
  <c r="Q326" i="5" s="1"/>
  <c r="K316" i="5"/>
  <c r="K313" i="5"/>
  <c r="R224" i="5" a="1"/>
  <c r="R224" i="5" s="1"/>
  <c r="P224" i="5"/>
  <c r="K162" i="5"/>
  <c r="J162" i="5"/>
  <c r="L162" i="5"/>
  <c r="M162" i="5"/>
  <c r="N162" i="5"/>
  <c r="O162" i="5"/>
  <c r="M288" i="5"/>
  <c r="N287" i="5"/>
  <c r="L286" i="5"/>
  <c r="M285" i="5"/>
  <c r="K284" i="5"/>
  <c r="N274" i="5"/>
  <c r="M263" i="5"/>
  <c r="L262" i="5"/>
  <c r="Q257" i="5" a="1"/>
  <c r="Q257" i="5" s="1"/>
  <c r="K256" i="5"/>
  <c r="N255" i="5"/>
  <c r="R253" i="5" a="1"/>
  <c r="R253" i="5" s="1"/>
  <c r="P252" i="5"/>
  <c r="O230" i="5"/>
  <c r="J219" i="5"/>
  <c r="J218" i="5"/>
  <c r="L217" i="5"/>
  <c r="R214" i="5" a="1"/>
  <c r="R214" i="5" s="1"/>
  <c r="N213" i="5"/>
  <c r="M208" i="5"/>
  <c r="O207" i="5"/>
  <c r="Q206" i="5" a="1"/>
  <c r="Q206" i="5" s="1"/>
  <c r="Q205" i="5" a="1"/>
  <c r="Q205" i="5" s="1"/>
  <c r="Q204" i="5" a="1"/>
  <c r="Q204" i="5" s="1"/>
  <c r="Q203" i="5" a="1"/>
  <c r="Q203" i="5" s="1"/>
  <c r="M199" i="5"/>
  <c r="Q198" i="5" a="1"/>
  <c r="Q198" i="5" s="1"/>
  <c r="O194" i="5"/>
  <c r="M192" i="5"/>
  <c r="N191" i="5"/>
  <c r="P190" i="5"/>
  <c r="K189" i="5"/>
  <c r="Q180" i="5" a="1"/>
  <c r="Q180" i="5" s="1"/>
  <c r="N179" i="5"/>
  <c r="Q178" i="5" a="1"/>
  <c r="Q178" i="5" s="1"/>
  <c r="Q177" i="5" a="1"/>
  <c r="Q177" i="5" s="1"/>
  <c r="N176" i="5"/>
  <c r="M175" i="5"/>
  <c r="J168" i="5"/>
  <c r="J167" i="5"/>
  <c r="N166" i="5"/>
  <c r="L159" i="5"/>
  <c r="J158" i="5"/>
  <c r="R146" i="5" a="1"/>
  <c r="R146" i="5" s="1"/>
  <c r="Q145" i="5" a="1"/>
  <c r="Q145" i="5" s="1"/>
  <c r="N144" i="5"/>
  <c r="N143" i="5"/>
  <c r="N140" i="5"/>
  <c r="N139" i="5"/>
  <c r="R135" i="5" a="1"/>
  <c r="R135" i="5" s="1"/>
  <c r="Q134" i="5" a="1"/>
  <c r="Q134" i="5" s="1"/>
  <c r="J112" i="5"/>
  <c r="L285" i="5"/>
  <c r="J284" i="5"/>
  <c r="Q278" i="5" a="1"/>
  <c r="Q278" i="5" s="1"/>
  <c r="L263" i="5"/>
  <c r="J262" i="5"/>
  <c r="J256" i="5"/>
  <c r="M255" i="5"/>
  <c r="Q253" i="5" a="1"/>
  <c r="Q253" i="5" s="1"/>
  <c r="M230" i="5"/>
  <c r="K217" i="5"/>
  <c r="M213" i="5"/>
  <c r="L208" i="5"/>
  <c r="N207" i="5"/>
  <c r="P206" i="5"/>
  <c r="O205" i="5"/>
  <c r="O204" i="5"/>
  <c r="L199" i="5"/>
  <c r="P198" i="5"/>
  <c r="N194" i="5"/>
  <c r="Q193" i="5" a="1"/>
  <c r="Q193" i="5" s="1"/>
  <c r="L192" i="5"/>
  <c r="N190" i="5"/>
  <c r="J189" i="5"/>
  <c r="R181" i="5" a="1"/>
  <c r="R181" i="5" s="1"/>
  <c r="M179" i="5"/>
  <c r="O178" i="5"/>
  <c r="O177" i="5"/>
  <c r="L175" i="5"/>
  <c r="Q171" i="5" a="1"/>
  <c r="Q171" i="5" s="1"/>
  <c r="K159" i="5"/>
  <c r="P145" i="5"/>
  <c r="M144" i="5"/>
  <c r="M143" i="5"/>
  <c r="Q142" i="5" a="1"/>
  <c r="Q142" i="5" s="1"/>
  <c r="L140" i="5"/>
  <c r="M139" i="5"/>
  <c r="Q135" i="5" a="1"/>
  <c r="Q135" i="5" s="1"/>
  <c r="Q133" i="5" a="1"/>
  <c r="Q133" i="5" s="1"/>
  <c r="O257" i="5"/>
  <c r="L255" i="5"/>
  <c r="O254" i="5"/>
  <c r="M231" i="5"/>
  <c r="L230" i="5"/>
  <c r="P214" i="5"/>
  <c r="L213" i="5"/>
  <c r="K208" i="5"/>
  <c r="M207" i="5"/>
  <c r="N206" i="5"/>
  <c r="N205" i="5"/>
  <c r="M204" i="5"/>
  <c r="M203" i="5"/>
  <c r="K199" i="5"/>
  <c r="M194" i="5"/>
  <c r="K190" i="5"/>
  <c r="K180" i="5"/>
  <c r="L179" i="5"/>
  <c r="N178" i="5"/>
  <c r="N177" i="5"/>
  <c r="K175" i="5"/>
  <c r="N161" i="5"/>
  <c r="P146" i="5"/>
  <c r="L144" i="5"/>
  <c r="L143" i="5"/>
  <c r="K140" i="5"/>
  <c r="L139" i="5"/>
  <c r="N134" i="5"/>
  <c r="O132" i="5"/>
  <c r="K20" i="5"/>
  <c r="K19" i="5"/>
  <c r="Q12" i="5" a="1"/>
  <c r="Q12" i="5" s="1"/>
  <c r="N2" i="5"/>
  <c r="Q316" i="5" a="1"/>
  <c r="Q316" i="5" s="1"/>
  <c r="N295" i="5"/>
  <c r="O264" i="5"/>
  <c r="K255" i="5"/>
  <c r="L254" i="5"/>
  <c r="O253" i="5"/>
  <c r="L231" i="5"/>
  <c r="K230" i="5"/>
  <c r="N224" i="5"/>
  <c r="R220" i="5" a="1"/>
  <c r="R220" i="5" s="1"/>
  <c r="K213" i="5"/>
  <c r="K209" i="5"/>
  <c r="J208" i="5"/>
  <c r="L207" i="5"/>
  <c r="M206" i="5"/>
  <c r="L205" i="5"/>
  <c r="L204" i="5"/>
  <c r="J199" i="5"/>
  <c r="K194" i="5"/>
  <c r="N184" i="5"/>
  <c r="Q181" i="5" a="1"/>
  <c r="Q181" i="5" s="1"/>
  <c r="K179" i="5"/>
  <c r="M178" i="5"/>
  <c r="M177" i="5"/>
  <c r="J175" i="5"/>
  <c r="R170" i="5" a="1"/>
  <c r="R170" i="5" s="1"/>
  <c r="R148" i="5" a="1"/>
  <c r="R148" i="5" s="1"/>
  <c r="K144" i="5"/>
  <c r="K143" i="5"/>
  <c r="O142" i="5"/>
  <c r="J140" i="5"/>
  <c r="K139" i="5"/>
  <c r="M134" i="5"/>
  <c r="O133" i="5"/>
  <c r="N132" i="5"/>
  <c r="Q53" i="5" a="1"/>
  <c r="Q53" i="5" s="1"/>
  <c r="Q16" i="5" a="1"/>
  <c r="Q16" i="5" s="1"/>
  <c r="L264" i="5"/>
  <c r="K254" i="5"/>
  <c r="J230" i="5"/>
  <c r="Q220" i="5" a="1"/>
  <c r="Q220" i="5" s="1"/>
  <c r="J209" i="5"/>
  <c r="J207" i="5"/>
  <c r="K204" i="5"/>
  <c r="J194" i="5"/>
  <c r="L181" i="5"/>
  <c r="K178" i="5"/>
  <c r="O147" i="5"/>
  <c r="L134" i="5"/>
  <c r="N133" i="5"/>
  <c r="M132" i="5"/>
  <c r="O131" i="5"/>
  <c r="O119" i="5"/>
  <c r="R102" i="5" a="1"/>
  <c r="R102" i="5" s="1"/>
  <c r="O100" i="5"/>
  <c r="N99" i="5"/>
  <c r="J92" i="5"/>
  <c r="L78" i="5"/>
  <c r="N60" i="5"/>
  <c r="R51" i="5" a="1"/>
  <c r="R51" i="5" s="1"/>
  <c r="R27" i="5" a="1"/>
  <c r="R27" i="5" s="1"/>
  <c r="P21" i="5"/>
  <c r="O16" i="5"/>
  <c r="Q15" i="5" a="1"/>
  <c r="Q15" i="5" s="1"/>
  <c r="M8" i="5"/>
  <c r="N7" i="5"/>
  <c r="L258" i="5"/>
  <c r="J254" i="5"/>
  <c r="J204" i="5"/>
  <c r="K195" i="5"/>
  <c r="N182" i="5"/>
  <c r="J178" i="5"/>
  <c r="M147" i="5"/>
  <c r="L136" i="5"/>
  <c r="K134" i="5"/>
  <c r="K133" i="5"/>
  <c r="L132" i="5"/>
  <c r="N131" i="5"/>
  <c r="N119" i="5"/>
  <c r="Q107" i="5" a="1"/>
  <c r="Q107" i="5" s="1"/>
  <c r="M100" i="5"/>
  <c r="M99" i="5"/>
  <c r="K78" i="5"/>
  <c r="Q66" i="5" a="1"/>
  <c r="Q66" i="5" s="1"/>
  <c r="Q62" i="5" a="1"/>
  <c r="Q62" i="5" s="1"/>
  <c r="R55" i="5" a="1"/>
  <c r="R55" i="5" s="1"/>
  <c r="O53" i="5"/>
  <c r="R37" i="5" a="1"/>
  <c r="R37" i="5" s="1"/>
  <c r="R30" i="5" a="1"/>
  <c r="R30" i="5" s="1"/>
  <c r="R22" i="5" a="1"/>
  <c r="R22" i="5" s="1"/>
  <c r="N16" i="5"/>
  <c r="L8" i="5"/>
  <c r="R248" i="5" a="1"/>
  <c r="R248" i="5" s="1"/>
  <c r="N244" i="5"/>
  <c r="L228" i="5"/>
  <c r="K184" i="5"/>
  <c r="J147" i="5"/>
  <c r="J134" i="5"/>
  <c r="K132" i="5"/>
  <c r="J107" i="5"/>
  <c r="K100" i="5"/>
  <c r="P66" i="5"/>
  <c r="P62" i="5"/>
  <c r="P55" i="5"/>
  <c r="N53" i="5"/>
  <c r="O52" i="5"/>
  <c r="O42" i="5"/>
  <c r="P37" i="5"/>
  <c r="P30" i="5"/>
  <c r="O28" i="5"/>
  <c r="Q22" i="5" a="1"/>
  <c r="Q22" i="5" s="1"/>
  <c r="M16" i="5"/>
  <c r="K8" i="5"/>
  <c r="R151" i="5" a="1"/>
  <c r="R151" i="5" s="1"/>
  <c r="R150" i="5" a="1"/>
  <c r="R150" i="5" s="1"/>
  <c r="R137" i="5" a="1"/>
  <c r="R137" i="5" s="1"/>
  <c r="J100" i="5"/>
  <c r="R87" i="5" a="1"/>
  <c r="R87" i="5" s="1"/>
  <c r="O86" i="5"/>
  <c r="K79" i="5"/>
  <c r="K74" i="5"/>
  <c r="O66" i="5"/>
  <c r="O62" i="5"/>
  <c r="O55" i="5"/>
  <c r="M53" i="5"/>
  <c r="N52" i="5"/>
  <c r="O43" i="5"/>
  <c r="N42" i="5"/>
  <c r="O37" i="5"/>
  <c r="Q36" i="5" a="1"/>
  <c r="Q36" i="5" s="1"/>
  <c r="R31" i="5" a="1"/>
  <c r="R31" i="5" s="1"/>
  <c r="O30" i="5"/>
  <c r="Q29" i="5" a="1"/>
  <c r="Q29" i="5" s="1"/>
  <c r="N28" i="5"/>
  <c r="R23" i="5" a="1"/>
  <c r="R23" i="5" s="1"/>
  <c r="N22" i="5"/>
  <c r="L16" i="5"/>
  <c r="J8" i="5"/>
  <c r="N4" i="5"/>
  <c r="M3" i="5"/>
  <c r="M320" i="5"/>
  <c r="O303" i="5"/>
  <c r="N302" i="5"/>
  <c r="M301" i="5"/>
  <c r="R238" i="5" a="1"/>
  <c r="R238" i="5" s="1"/>
  <c r="R154" i="5" a="1"/>
  <c r="R154" i="5" s="1"/>
  <c r="Q152" i="5" a="1"/>
  <c r="Q152" i="5" s="1"/>
  <c r="O151" i="5"/>
  <c r="Q150" i="5" a="1"/>
  <c r="Q150" i="5" s="1"/>
  <c r="K149" i="5"/>
  <c r="L148" i="5"/>
  <c r="Q125" i="5" a="1"/>
  <c r="Q125" i="5" s="1"/>
  <c r="K119" i="5"/>
  <c r="O115" i="5"/>
  <c r="Q110" i="5" a="1"/>
  <c r="Q110" i="5" s="1"/>
  <c r="R103" i="5" a="1"/>
  <c r="R103" i="5" s="1"/>
  <c r="M87" i="5"/>
  <c r="N86" i="5"/>
  <c r="R71" i="5" a="1"/>
  <c r="R71" i="5" s="1"/>
  <c r="N66" i="5"/>
  <c r="N62" i="5"/>
  <c r="N55" i="5"/>
  <c r="K53" i="5"/>
  <c r="M52" i="5"/>
  <c r="R44" i="5" a="1"/>
  <c r="R44" i="5" s="1"/>
  <c r="N43" i="5"/>
  <c r="M42" i="5"/>
  <c r="N37" i="5"/>
  <c r="O36" i="5"/>
  <c r="R32" i="5" a="1"/>
  <c r="R32" i="5" s="1"/>
  <c r="Q31" i="5" a="1"/>
  <c r="Q31" i="5" s="1"/>
  <c r="N30" i="5"/>
  <c r="M28" i="5"/>
  <c r="M22" i="5"/>
  <c r="K16" i="5"/>
  <c r="M4" i="5"/>
  <c r="O240" i="5"/>
  <c r="R211" i="5" a="1"/>
  <c r="R211" i="5" s="1"/>
  <c r="R201" i="5" a="1"/>
  <c r="R201" i="5" s="1"/>
  <c r="Q186" i="5" a="1"/>
  <c r="Q186" i="5" s="1"/>
  <c r="R164" i="5" a="1"/>
  <c r="R164" i="5" s="1"/>
  <c r="Q154" i="5" a="1"/>
  <c r="Q154" i="5" s="1"/>
  <c r="O153" i="5"/>
  <c r="O152" i="5"/>
  <c r="M151" i="5"/>
  <c r="J149" i="5"/>
  <c r="O128" i="5"/>
  <c r="N120" i="5"/>
  <c r="P110" i="5"/>
  <c r="N103" i="5"/>
  <c r="R94" i="5" a="1"/>
  <c r="R94" i="5" s="1"/>
  <c r="L87" i="5"/>
  <c r="M86" i="5"/>
  <c r="Q71" i="5" a="1"/>
  <c r="Q71" i="5" s="1"/>
  <c r="M67" i="5"/>
  <c r="M66" i="5"/>
  <c r="M63" i="5"/>
  <c r="M62" i="5"/>
  <c r="M55" i="5"/>
  <c r="J53" i="5"/>
  <c r="L52" i="5"/>
  <c r="K44" i="5"/>
  <c r="M43" i="5"/>
  <c r="K42" i="5"/>
  <c r="L38" i="5"/>
  <c r="M37" i="5"/>
  <c r="N36" i="5"/>
  <c r="O32" i="5"/>
  <c r="M31" i="5"/>
  <c r="M30" i="5"/>
  <c r="N29" i="5"/>
  <c r="K28" i="5"/>
  <c r="Q23" i="5" a="1"/>
  <c r="Q23" i="5" s="1"/>
  <c r="L22" i="5"/>
  <c r="L4" i="5"/>
  <c r="Q238" i="5" a="1"/>
  <c r="Q238" i="5" s="1"/>
  <c r="R237" i="5" a="1"/>
  <c r="R237" i="5" s="1"/>
  <c r="O110" i="5"/>
  <c r="R109" i="5" a="1"/>
  <c r="R109" i="5" s="1"/>
  <c r="M103" i="5"/>
  <c r="Q94" i="5" a="1"/>
  <c r="Q94" i="5" s="1"/>
  <c r="K87" i="5"/>
  <c r="L86" i="5"/>
  <c r="O71" i="5"/>
  <c r="L67" i="5"/>
  <c r="L66" i="5"/>
  <c r="L63" i="5"/>
  <c r="L62" i="5"/>
  <c r="J52" i="5"/>
  <c r="R45" i="5" a="1"/>
  <c r="R45" i="5" s="1"/>
  <c r="J44" i="5"/>
  <c r="L43" i="5"/>
  <c r="J42" i="5"/>
  <c r="K38" i="5"/>
  <c r="K37" i="5"/>
  <c r="M36" i="5"/>
  <c r="L31" i="5"/>
  <c r="L30" i="5"/>
  <c r="M29" i="5"/>
  <c r="J28" i="5"/>
  <c r="K4" i="5"/>
  <c r="Q237" i="5" a="1"/>
  <c r="Q237" i="5" s="1"/>
  <c r="M128" i="5"/>
  <c r="M116" i="5"/>
  <c r="R111" i="5" a="1"/>
  <c r="R111" i="5" s="1"/>
  <c r="N110" i="5"/>
  <c r="J87" i="5"/>
  <c r="K86" i="5"/>
  <c r="K67" i="5"/>
  <c r="K63" i="5"/>
  <c r="J62" i="5"/>
  <c r="R56" i="5" a="1"/>
  <c r="R56" i="5" s="1"/>
  <c r="Q45" i="5" a="1"/>
  <c r="Q45" i="5" s="1"/>
  <c r="K43" i="5"/>
  <c r="J38" i="5"/>
  <c r="J37" i="5"/>
  <c r="K36" i="5"/>
  <c r="R33" i="5" a="1"/>
  <c r="R33" i="5" s="1"/>
  <c r="K31" i="5"/>
  <c r="K29" i="5"/>
  <c r="R25" i="5" a="1"/>
  <c r="R25" i="5" s="1"/>
  <c r="J23" i="5"/>
  <c r="R5" i="5" a="1"/>
  <c r="R5" i="5" s="1"/>
  <c r="N158" i="5"/>
  <c r="K153" i="5"/>
  <c r="L152" i="5"/>
  <c r="J151" i="5"/>
  <c r="R140" i="5" a="1"/>
  <c r="R140" i="5" s="1"/>
  <c r="L116" i="5"/>
  <c r="R104" i="5" a="1"/>
  <c r="R104" i="5" s="1"/>
  <c r="M97" i="5"/>
  <c r="N95" i="5"/>
  <c r="M82" i="5"/>
  <c r="N81" i="5"/>
  <c r="R76" i="5" a="1"/>
  <c r="R76" i="5" s="1"/>
  <c r="N72" i="5"/>
  <c r="M71" i="5"/>
  <c r="J36" i="5"/>
  <c r="P33" i="5"/>
  <c r="K32" i="5"/>
  <c r="K5" i="5"/>
  <c r="R207" i="5" a="1"/>
  <c r="R207" i="5" s="1"/>
  <c r="N189" i="5"/>
  <c r="R179" i="5" a="1"/>
  <c r="R179" i="5" s="1"/>
  <c r="P175" i="5"/>
  <c r="L82" i="5"/>
  <c r="M81" i="5"/>
  <c r="M72" i="5"/>
  <c r="Q48" i="5" a="1"/>
  <c r="Q48" i="5" s="1"/>
  <c r="Q47" i="5" a="1"/>
  <c r="Q47" i="5" s="1"/>
  <c r="O39" i="5"/>
  <c r="O33" i="5"/>
  <c r="Q25" i="5" a="1"/>
  <c r="Q25" i="5" s="1"/>
  <c r="O285" i="5"/>
  <c r="Q283" i="5" a="1"/>
  <c r="Q283" i="5" s="1"/>
  <c r="O263" i="5"/>
  <c r="L239" i="5"/>
  <c r="K235" i="5"/>
  <c r="R230" i="5" a="1"/>
  <c r="R230" i="5" s="1"/>
  <c r="M218" i="5"/>
  <c r="N217" i="5"/>
  <c r="Q213" i="5" a="1"/>
  <c r="Q213" i="5" s="1"/>
  <c r="R204" i="5" a="1"/>
  <c r="R204" i="5" s="1"/>
  <c r="J197" i="5"/>
  <c r="M189" i="5"/>
  <c r="Q179" i="5" a="1"/>
  <c r="Q179" i="5" s="1"/>
  <c r="R178" i="5" a="1"/>
  <c r="R178" i="5" s="1"/>
  <c r="Q176" i="5" a="1"/>
  <c r="Q176" i="5" s="1"/>
  <c r="R174" i="5" a="1"/>
  <c r="R174" i="5" s="1"/>
  <c r="L173" i="5"/>
  <c r="L168" i="5"/>
  <c r="Q165" i="5" a="1"/>
  <c r="Q165" i="5" s="1"/>
  <c r="N155" i="5"/>
  <c r="Q140" i="5" a="1"/>
  <c r="Q140" i="5" s="1"/>
  <c r="K97" i="5"/>
  <c r="K95" i="5"/>
  <c r="R91" i="5" a="1"/>
  <c r="R91" i="5" s="1"/>
  <c r="K82" i="5"/>
  <c r="L81" i="5"/>
  <c r="K72" i="5"/>
  <c r="K71" i="5"/>
  <c r="O64" i="5"/>
  <c r="N58" i="5"/>
  <c r="P47" i="5"/>
  <c r="N39" i="5"/>
  <c r="M33" i="5"/>
  <c r="J468" i="5"/>
  <c r="K468" i="5"/>
  <c r="L468" i="5"/>
  <c r="M468" i="5"/>
  <c r="N468" i="5"/>
  <c r="O468" i="5"/>
  <c r="M462" i="5"/>
  <c r="N462" i="5"/>
  <c r="O462" i="5"/>
  <c r="J462" i="5"/>
  <c r="K462" i="5"/>
  <c r="L462" i="5"/>
  <c r="J401" i="5"/>
  <c r="O401" i="5"/>
  <c r="K401" i="5"/>
  <c r="L401" i="5"/>
  <c r="M401" i="5"/>
  <c r="N401" i="5"/>
  <c r="P468" i="5"/>
  <c r="Q468" i="5" a="1"/>
  <c r="Q468" i="5" s="1"/>
  <c r="K441" i="5"/>
  <c r="J441" i="5"/>
  <c r="L441" i="5"/>
  <c r="M441" i="5"/>
  <c r="N441" i="5"/>
  <c r="O441" i="5"/>
  <c r="M450" i="5"/>
  <c r="N450" i="5"/>
  <c r="O450" i="5"/>
  <c r="J450" i="5"/>
  <c r="K450" i="5"/>
  <c r="L450" i="5"/>
  <c r="P441" i="5"/>
  <c r="Q441" i="5" a="1"/>
  <c r="Q441" i="5" s="1"/>
  <c r="R441" i="5" a="1"/>
  <c r="R441" i="5" s="1"/>
  <c r="J405" i="5"/>
  <c r="O405" i="5"/>
  <c r="N405" i="5"/>
  <c r="K405" i="5"/>
  <c r="L405" i="5"/>
  <c r="M405" i="5"/>
  <c r="M458" i="5"/>
  <c r="N458" i="5"/>
  <c r="O458" i="5"/>
  <c r="J458" i="5"/>
  <c r="K458" i="5"/>
  <c r="L458" i="5"/>
  <c r="N493" i="5"/>
  <c r="O493" i="5"/>
  <c r="J493" i="5"/>
  <c r="K493" i="5"/>
  <c r="L493" i="5"/>
  <c r="M493" i="5"/>
  <c r="P493" i="5"/>
  <c r="Q493" i="5" a="1"/>
  <c r="Q493" i="5" s="1"/>
  <c r="P467" i="5"/>
  <c r="Q467" i="5" a="1"/>
  <c r="Q467" i="5" s="1"/>
  <c r="R467" i="5" a="1"/>
  <c r="R467" i="5" s="1"/>
  <c r="K445" i="5"/>
  <c r="N445" i="5"/>
  <c r="O445" i="5"/>
  <c r="J445" i="5"/>
  <c r="L445" i="5"/>
  <c r="M445" i="5"/>
  <c r="M454" i="5"/>
  <c r="N454" i="5"/>
  <c r="O454" i="5"/>
  <c r="J454" i="5"/>
  <c r="K454" i="5"/>
  <c r="L454" i="5"/>
  <c r="K480" i="5"/>
  <c r="J467" i="5"/>
  <c r="K467" i="5"/>
  <c r="L467" i="5"/>
  <c r="M467" i="5"/>
  <c r="P466" i="5"/>
  <c r="Q466" i="5" a="1"/>
  <c r="Q466" i="5" s="1"/>
  <c r="O399" i="5"/>
  <c r="J399" i="5"/>
  <c r="K399" i="5"/>
  <c r="L399" i="5"/>
  <c r="M399" i="5"/>
  <c r="N399" i="5"/>
  <c r="R398" i="5" a="1"/>
  <c r="R398" i="5" s="1"/>
  <c r="P398" i="5"/>
  <c r="Q398" i="5" a="1"/>
  <c r="Q398" i="5" s="1"/>
  <c r="P394" i="5"/>
  <c r="J386" i="5"/>
  <c r="O386" i="5"/>
  <c r="K386" i="5"/>
  <c r="L386" i="5"/>
  <c r="P317" i="5"/>
  <c r="R317" i="5" a="1"/>
  <c r="R317" i="5" s="1"/>
  <c r="Q317" i="5" a="1"/>
  <c r="Q317" i="5" s="1"/>
  <c r="P386" i="5"/>
  <c r="Q386" i="5" a="1"/>
  <c r="Q386" i="5" s="1"/>
  <c r="K362" i="5"/>
  <c r="N362" i="5"/>
  <c r="J362" i="5"/>
  <c r="L362" i="5"/>
  <c r="O362" i="5"/>
  <c r="L335" i="5"/>
  <c r="M335" i="5"/>
  <c r="N335" i="5"/>
  <c r="O335" i="5"/>
  <c r="J335" i="5"/>
  <c r="K335" i="5"/>
  <c r="M487" i="5"/>
  <c r="M485" i="5"/>
  <c r="J482" i="5"/>
  <c r="K482" i="5"/>
  <c r="L482" i="5"/>
  <c r="M482" i="5"/>
  <c r="K476" i="5"/>
  <c r="L470" i="5"/>
  <c r="J463" i="5"/>
  <c r="K463" i="5"/>
  <c r="L463" i="5"/>
  <c r="M463" i="5"/>
  <c r="P462" i="5"/>
  <c r="Q462" i="5" a="1"/>
  <c r="Q462" i="5" s="1"/>
  <c r="Q438" i="5" a="1"/>
  <c r="Q438" i="5" s="1"/>
  <c r="Q433" i="5" a="1"/>
  <c r="Q433" i="5" s="1"/>
  <c r="P431" i="5"/>
  <c r="O428" i="5"/>
  <c r="N428" i="5"/>
  <c r="K426" i="5"/>
  <c r="L426" i="5"/>
  <c r="M426" i="5"/>
  <c r="N426" i="5"/>
  <c r="O426" i="5"/>
  <c r="P362" i="5"/>
  <c r="Q362" i="5" a="1"/>
  <c r="Q362" i="5" s="1"/>
  <c r="R320" i="5" a="1"/>
  <c r="R320" i="5" s="1"/>
  <c r="P320" i="5"/>
  <c r="Q320" i="5" a="1"/>
  <c r="Q320" i="5" s="1"/>
  <c r="L487" i="5"/>
  <c r="L485" i="5"/>
  <c r="K470" i="5"/>
  <c r="R466" i="5" a="1"/>
  <c r="R466" i="5" s="1"/>
  <c r="J459" i="5"/>
  <c r="K459" i="5"/>
  <c r="L459" i="5"/>
  <c r="M459" i="5"/>
  <c r="N459" i="5"/>
  <c r="J455" i="5"/>
  <c r="K455" i="5"/>
  <c r="L455" i="5"/>
  <c r="M455" i="5"/>
  <c r="N455" i="5"/>
  <c r="J451" i="5"/>
  <c r="K451" i="5"/>
  <c r="L451" i="5"/>
  <c r="M451" i="5"/>
  <c r="N451" i="5"/>
  <c r="J446" i="5"/>
  <c r="K446" i="5"/>
  <c r="L446" i="5"/>
  <c r="M446" i="5"/>
  <c r="N446" i="5"/>
  <c r="O446" i="5"/>
  <c r="J442" i="5"/>
  <c r="K442" i="5"/>
  <c r="L442" i="5"/>
  <c r="O471" i="5"/>
  <c r="N432" i="5"/>
  <c r="J413" i="5"/>
  <c r="O413" i="5"/>
  <c r="M413" i="5"/>
  <c r="N413" i="5"/>
  <c r="R323" i="5" a="1"/>
  <c r="R323" i="5" s="1"/>
  <c r="P323" i="5"/>
  <c r="M478" i="5"/>
  <c r="N478" i="5"/>
  <c r="O478" i="5"/>
  <c r="Q443" i="5" a="1"/>
  <c r="Q443" i="5" s="1"/>
  <c r="R428" i="5" a="1"/>
  <c r="R428" i="5" s="1"/>
  <c r="J421" i="5"/>
  <c r="O421" i="5"/>
  <c r="K421" i="5"/>
  <c r="L421" i="5"/>
  <c r="M421" i="5"/>
  <c r="N421" i="5"/>
  <c r="P413" i="5"/>
  <c r="Q413" i="5" a="1"/>
  <c r="Q413" i="5" s="1"/>
  <c r="R413" i="5" a="1"/>
  <c r="R413" i="5" s="1"/>
  <c r="R491" i="5" a="1"/>
  <c r="R491" i="5" s="1"/>
  <c r="J490" i="5"/>
  <c r="K490" i="5"/>
  <c r="L490" i="5"/>
  <c r="M490" i="5"/>
  <c r="N489" i="5"/>
  <c r="O489" i="5"/>
  <c r="J479" i="5"/>
  <c r="K479" i="5"/>
  <c r="L479" i="5"/>
  <c r="M479" i="5"/>
  <c r="P478" i="5"/>
  <c r="Q478" i="5" a="1"/>
  <c r="Q478" i="5" s="1"/>
  <c r="R447" i="5" a="1"/>
  <c r="R447" i="5" s="1"/>
  <c r="Q447" i="5" a="1"/>
  <c r="Q447" i="5" s="1"/>
  <c r="P421" i="5"/>
  <c r="Q421" i="5" a="1"/>
  <c r="Q421" i="5" s="1"/>
  <c r="O407" i="5"/>
  <c r="J407" i="5"/>
  <c r="K407" i="5"/>
  <c r="L407" i="5"/>
  <c r="M407" i="5"/>
  <c r="N407" i="5"/>
  <c r="R406" i="5" a="1"/>
  <c r="R406" i="5" s="1"/>
  <c r="P406" i="5"/>
  <c r="Q406" i="5" a="1"/>
  <c r="Q406" i="5" s="1"/>
  <c r="R391" i="5" a="1"/>
  <c r="R391" i="5" s="1"/>
  <c r="P391" i="5"/>
  <c r="Q391" i="5" a="1"/>
  <c r="Q391" i="5" s="1"/>
  <c r="R386" i="5" a="1"/>
  <c r="R386" i="5" s="1"/>
  <c r="P489" i="5"/>
  <c r="Q489" i="5" a="1"/>
  <c r="Q489" i="5" s="1"/>
  <c r="O423" i="5"/>
  <c r="J423" i="5"/>
  <c r="K423" i="5"/>
  <c r="N359" i="5"/>
  <c r="O359" i="5"/>
  <c r="J359" i="5"/>
  <c r="K359" i="5"/>
  <c r="L359" i="5"/>
  <c r="M359" i="5"/>
  <c r="O337" i="5"/>
  <c r="N337" i="5"/>
  <c r="J337" i="5"/>
  <c r="K337" i="5"/>
  <c r="M337" i="5"/>
  <c r="K326" i="5"/>
  <c r="J326" i="5"/>
  <c r="L326" i="5"/>
  <c r="M326" i="5"/>
  <c r="N326" i="5"/>
  <c r="O326" i="5"/>
  <c r="Q491" i="5" a="1"/>
  <c r="Q491" i="5" s="1"/>
  <c r="M474" i="5"/>
  <c r="N474" i="5"/>
  <c r="O474" i="5"/>
  <c r="N467" i="5"/>
  <c r="J409" i="5"/>
  <c r="O409" i="5"/>
  <c r="K409" i="5"/>
  <c r="P371" i="5"/>
  <c r="Q371" i="5" a="1"/>
  <c r="Q371" i="5" s="1"/>
  <c r="P337" i="5"/>
  <c r="Q337" i="5" a="1"/>
  <c r="Q337" i="5" s="1"/>
  <c r="R336" i="5" a="1"/>
  <c r="R336" i="5" s="1"/>
  <c r="Q336" i="5" a="1"/>
  <c r="Q336" i="5" s="1"/>
  <c r="P336" i="5"/>
  <c r="L483" i="5"/>
  <c r="J475" i="5"/>
  <c r="K475" i="5"/>
  <c r="L475" i="5"/>
  <c r="M475" i="5"/>
  <c r="P474" i="5"/>
  <c r="Q474" i="5" a="1"/>
  <c r="Q474" i="5" s="1"/>
  <c r="Q460" i="5" a="1"/>
  <c r="Q460" i="5" s="1"/>
  <c r="Q456" i="5" a="1"/>
  <c r="Q456" i="5" s="1"/>
  <c r="Q452" i="5" a="1"/>
  <c r="Q452" i="5" s="1"/>
  <c r="Q424" i="5" a="1"/>
  <c r="Q424" i="5" s="1"/>
  <c r="R414" i="5" a="1"/>
  <c r="R414" i="5" s="1"/>
  <c r="P414" i="5"/>
  <c r="J393" i="5"/>
  <c r="O393" i="5"/>
  <c r="K393" i="5"/>
  <c r="L393" i="5"/>
  <c r="P305" i="5"/>
  <c r="Q305" i="5" a="1"/>
  <c r="Q305" i="5" s="1"/>
  <c r="R305" i="5" a="1"/>
  <c r="R305" i="5" s="1"/>
  <c r="O491" i="5"/>
  <c r="R490" i="5" a="1"/>
  <c r="R490" i="5" s="1"/>
  <c r="R489" i="5" a="1"/>
  <c r="R489" i="5" s="1"/>
  <c r="K483" i="5"/>
  <c r="O482" i="5"/>
  <c r="Q480" i="5" a="1"/>
  <c r="Q480" i="5" s="1"/>
  <c r="R479" i="5" a="1"/>
  <c r="R479" i="5" s="1"/>
  <c r="R478" i="5" a="1"/>
  <c r="R478" i="5" s="1"/>
  <c r="O442" i="5"/>
  <c r="O436" i="5"/>
  <c r="J436" i="5"/>
  <c r="K436" i="5"/>
  <c r="L436" i="5"/>
  <c r="M436" i="5"/>
  <c r="N436" i="5"/>
  <c r="Q426" i="5" a="1"/>
  <c r="Q426" i="5" s="1"/>
  <c r="P424" i="5"/>
  <c r="R416" i="5" a="1"/>
  <c r="R416" i="5" s="1"/>
  <c r="P416" i="5"/>
  <c r="Q416" i="5" a="1"/>
  <c r="Q416" i="5" s="1"/>
  <c r="J397" i="5"/>
  <c r="O397" i="5"/>
  <c r="N397" i="5"/>
  <c r="M312" i="5"/>
  <c r="N312" i="5"/>
  <c r="O312" i="5"/>
  <c r="J312" i="5"/>
  <c r="K312" i="5"/>
  <c r="L312" i="5"/>
  <c r="N491" i="5"/>
  <c r="N482" i="5"/>
  <c r="O480" i="5"/>
  <c r="M470" i="5"/>
  <c r="N470" i="5"/>
  <c r="O470" i="5"/>
  <c r="N442" i="5"/>
  <c r="R417" i="5" a="1"/>
  <c r="R417" i="5" s="1"/>
  <c r="R371" i="5" a="1"/>
  <c r="R371" i="5" s="1"/>
  <c r="Q490" i="5" a="1"/>
  <c r="Q490" i="5" s="1"/>
  <c r="J486" i="5"/>
  <c r="K486" i="5"/>
  <c r="L486" i="5"/>
  <c r="M486" i="5"/>
  <c r="N485" i="5"/>
  <c r="O485" i="5"/>
  <c r="N480" i="5"/>
  <c r="Q479" i="5" a="1"/>
  <c r="Q479" i="5" s="1"/>
  <c r="J471" i="5"/>
  <c r="K471" i="5"/>
  <c r="L471" i="5"/>
  <c r="M471" i="5"/>
  <c r="P470" i="5"/>
  <c r="Q470" i="5" a="1"/>
  <c r="Q470" i="5" s="1"/>
  <c r="O432" i="5"/>
  <c r="J432" i="5"/>
  <c r="K432" i="5"/>
  <c r="L432" i="5"/>
  <c r="O361" i="5"/>
  <c r="J361" i="5"/>
  <c r="K361" i="5"/>
  <c r="L361" i="5"/>
  <c r="M361" i="5"/>
  <c r="P345" i="5"/>
  <c r="Q345" i="5" a="1"/>
  <c r="Q345" i="5" s="1"/>
  <c r="R345" i="5" a="1"/>
  <c r="R345" i="5" s="1"/>
  <c r="L491" i="5"/>
  <c r="L489" i="5"/>
  <c r="P485" i="5"/>
  <c r="Q485" i="5" a="1"/>
  <c r="Q485" i="5" s="1"/>
  <c r="M480" i="5"/>
  <c r="K478" i="5"/>
  <c r="Q476" i="5" a="1"/>
  <c r="Q476" i="5" s="1"/>
  <c r="R474" i="5" a="1"/>
  <c r="R474" i="5" s="1"/>
  <c r="L460" i="5"/>
  <c r="L456" i="5"/>
  <c r="L452" i="5"/>
  <c r="K437" i="5"/>
  <c r="J437" i="5"/>
  <c r="L437" i="5"/>
  <c r="M437" i="5"/>
  <c r="K433" i="5"/>
  <c r="O433" i="5"/>
  <c r="R421" i="5" a="1"/>
  <c r="R421" i="5" s="1"/>
  <c r="Q417" i="5" a="1"/>
  <c r="Q417" i="5" s="1"/>
  <c r="K413" i="5"/>
  <c r="P410" i="5"/>
  <c r="R409" i="5" a="1"/>
  <c r="R409" i="5" s="1"/>
  <c r="Q361" i="5" a="1"/>
  <c r="Q361" i="5" s="1"/>
  <c r="P361" i="5"/>
  <c r="R361" i="5" a="1"/>
  <c r="R361" i="5" s="1"/>
  <c r="R360" i="5" a="1"/>
  <c r="R360" i="5" s="1"/>
  <c r="P360" i="5"/>
  <c r="Q360" i="5" a="1"/>
  <c r="Q360" i="5" s="1"/>
  <c r="O490" i="5"/>
  <c r="K489" i="5"/>
  <c r="O479" i="5"/>
  <c r="M466" i="5"/>
  <c r="N466" i="5"/>
  <c r="O466" i="5"/>
  <c r="O440" i="5"/>
  <c r="M440" i="5"/>
  <c r="N440" i="5"/>
  <c r="N438" i="5"/>
  <c r="O438" i="5"/>
  <c r="N423" i="5"/>
  <c r="P409" i="5"/>
  <c r="Q394" i="5" a="1"/>
  <c r="Q394" i="5" s="1"/>
  <c r="P350" i="5"/>
  <c r="Q350" i="5" a="1"/>
  <c r="Q350" i="5" s="1"/>
  <c r="R350" i="5" a="1"/>
  <c r="R350" i="5" s="1"/>
  <c r="R337" i="5" a="1"/>
  <c r="R337" i="5" s="1"/>
  <c r="P330" i="5"/>
  <c r="Q330" i="5" a="1"/>
  <c r="Q330" i="5" s="1"/>
  <c r="R330" i="5" a="1"/>
  <c r="R330" i="5" s="1"/>
  <c r="M317" i="5"/>
  <c r="K317" i="5"/>
  <c r="N317" i="5"/>
  <c r="J317" i="5"/>
  <c r="L317" i="5"/>
  <c r="J309" i="5"/>
  <c r="L309" i="5"/>
  <c r="N309" i="5"/>
  <c r="N292" i="5"/>
  <c r="L292" i="5"/>
  <c r="O292" i="5"/>
  <c r="K252" i="5"/>
  <c r="L252" i="5"/>
  <c r="J252" i="5"/>
  <c r="M252" i="5"/>
  <c r="O252" i="5"/>
  <c r="P312" i="5"/>
  <c r="Q312" i="5" a="1"/>
  <c r="Q312" i="5" s="1"/>
  <c r="R312" i="5" a="1"/>
  <c r="R312" i="5" s="1"/>
  <c r="P309" i="5"/>
  <c r="R309" i="5" a="1"/>
  <c r="R309" i="5" s="1"/>
  <c r="K299" i="5"/>
  <c r="J299" i="5"/>
  <c r="L299" i="5"/>
  <c r="M299" i="5"/>
  <c r="N299" i="5"/>
  <c r="J327" i="5"/>
  <c r="M327" i="5"/>
  <c r="O327" i="5"/>
  <c r="J304" i="5"/>
  <c r="O304" i="5"/>
  <c r="K304" i="5"/>
  <c r="L304" i="5"/>
  <c r="K293" i="5"/>
  <c r="N293" i="5"/>
  <c r="L293" i="5"/>
  <c r="O293" i="5"/>
  <c r="M281" i="5"/>
  <c r="O281" i="5"/>
  <c r="L281" i="5"/>
  <c r="P264" i="5"/>
  <c r="R264" i="5" a="1"/>
  <c r="R264" i="5" s="1"/>
  <c r="Q264" i="5" a="1"/>
  <c r="Q264" i="5" s="1"/>
  <c r="P293" i="5"/>
  <c r="R293" i="5" a="1"/>
  <c r="R293" i="5" s="1"/>
  <c r="P275" i="5"/>
  <c r="Q275" i="5" a="1"/>
  <c r="Q275" i="5" s="1"/>
  <c r="R275" i="5" a="1"/>
  <c r="R275" i="5" s="1"/>
  <c r="J270" i="5"/>
  <c r="O270" i="5"/>
  <c r="K270" i="5"/>
  <c r="L270" i="5"/>
  <c r="M270" i="5"/>
  <c r="K354" i="5"/>
  <c r="O354" i="5"/>
  <c r="J331" i="5"/>
  <c r="K331" i="5"/>
  <c r="L331" i="5"/>
  <c r="M331" i="5"/>
  <c r="P301" i="5"/>
  <c r="Q301" i="5" a="1"/>
  <c r="Q301" i="5" s="1"/>
  <c r="M296" i="5"/>
  <c r="N296" i="5"/>
  <c r="O296" i="5"/>
  <c r="J296" i="5"/>
  <c r="O288" i="5"/>
  <c r="N288" i="5"/>
  <c r="J288" i="5"/>
  <c r="K288" i="5"/>
  <c r="R263" i="5" a="1"/>
  <c r="R263" i="5" s="1"/>
  <c r="O357" i="5"/>
  <c r="M357" i="5"/>
  <c r="K355" i="5"/>
  <c r="L355" i="5"/>
  <c r="M355" i="5"/>
  <c r="N355" i="5"/>
  <c r="O355" i="5"/>
  <c r="O349" i="5"/>
  <c r="N349" i="5"/>
  <c r="Q296" i="5" a="1"/>
  <c r="Q296" i="5" s="1"/>
  <c r="P296" i="5"/>
  <c r="J282" i="5"/>
  <c r="L282" i="5"/>
  <c r="M282" i="5"/>
  <c r="O282" i="5"/>
  <c r="P276" i="5"/>
  <c r="Q276" i="5" a="1"/>
  <c r="Q276" i="5" s="1"/>
  <c r="P263" i="5"/>
  <c r="P243" i="5"/>
  <c r="R243" i="5" a="1"/>
  <c r="R243" i="5" s="1"/>
  <c r="L202" i="5"/>
  <c r="K202" i="5"/>
  <c r="M202" i="5"/>
  <c r="O202" i="5"/>
  <c r="N202" i="5"/>
  <c r="J202" i="5"/>
  <c r="K350" i="5"/>
  <c r="L350" i="5"/>
  <c r="M350" i="5"/>
  <c r="N350" i="5"/>
  <c r="O350" i="5"/>
  <c r="O345" i="5"/>
  <c r="K345" i="5"/>
  <c r="L345" i="5"/>
  <c r="M345" i="5"/>
  <c r="N345" i="5"/>
  <c r="R335" i="5" a="1"/>
  <c r="R335" i="5" s="1"/>
  <c r="P313" i="5"/>
  <c r="Q313" i="5" a="1"/>
  <c r="Q313" i="5" s="1"/>
  <c r="R313" i="5" a="1"/>
  <c r="R313" i="5" s="1"/>
  <c r="Q309" i="5" a="1"/>
  <c r="Q309" i="5" s="1"/>
  <c r="P289" i="5"/>
  <c r="Q289" i="5" a="1"/>
  <c r="Q289" i="5" s="1"/>
  <c r="R356" i="5" a="1"/>
  <c r="R356" i="5" s="1"/>
  <c r="P356" i="5"/>
  <c r="J351" i="5"/>
  <c r="K351" i="5"/>
  <c r="L351" i="5"/>
  <c r="K346" i="5"/>
  <c r="J346" i="5"/>
  <c r="L346" i="5"/>
  <c r="M346" i="5"/>
  <c r="Q335" i="5" a="1"/>
  <c r="Q335" i="5" s="1"/>
  <c r="M309" i="5"/>
  <c r="N297" i="5"/>
  <c r="K297" i="5"/>
  <c r="L297" i="5"/>
  <c r="M297" i="5"/>
  <c r="O297" i="5"/>
  <c r="K292" i="5"/>
  <c r="P266" i="5"/>
  <c r="Q266" i="5" a="1"/>
  <c r="Q266" i="5" s="1"/>
  <c r="R266" i="5" a="1"/>
  <c r="R266" i="5" s="1"/>
  <c r="J390" i="5"/>
  <c r="O390" i="5"/>
  <c r="J383" i="5"/>
  <c r="O383" i="5"/>
  <c r="N381" i="5"/>
  <c r="O381" i="5"/>
  <c r="O341" i="5"/>
  <c r="J341" i="5"/>
  <c r="K341" i="5"/>
  <c r="L341" i="5"/>
  <c r="N327" i="5"/>
  <c r="L314" i="5"/>
  <c r="J314" i="5"/>
  <c r="M314" i="5"/>
  <c r="N314" i="5"/>
  <c r="O314" i="5"/>
  <c r="K309" i="5"/>
  <c r="L306" i="5"/>
  <c r="J306" i="5"/>
  <c r="K306" i="5"/>
  <c r="M306" i="5"/>
  <c r="N306" i="5"/>
  <c r="J292" i="5"/>
  <c r="N281" i="5"/>
  <c r="J267" i="5"/>
  <c r="L267" i="5"/>
  <c r="K267" i="5"/>
  <c r="N267" i="5"/>
  <c r="O267" i="5"/>
  <c r="N252" i="5"/>
  <c r="O369" i="5"/>
  <c r="M369" i="5"/>
  <c r="N369" i="5"/>
  <c r="Q356" i="5" a="1"/>
  <c r="Q356" i="5" s="1"/>
  <c r="R355" i="5" a="1"/>
  <c r="R355" i="5" s="1"/>
  <c r="Q352" i="5" a="1"/>
  <c r="Q352" i="5" s="1"/>
  <c r="K342" i="5"/>
  <c r="O342" i="5"/>
  <c r="L327" i="5"/>
  <c r="N304" i="5"/>
  <c r="O299" i="5"/>
  <c r="M293" i="5"/>
  <c r="L290" i="5"/>
  <c r="J290" i="5"/>
  <c r="K290" i="5"/>
  <c r="M290" i="5"/>
  <c r="N290" i="5"/>
  <c r="K281" i="5"/>
  <c r="J272" i="5"/>
  <c r="L272" i="5"/>
  <c r="K272" i="5"/>
  <c r="M272" i="5"/>
  <c r="K200" i="5"/>
  <c r="M200" i="5"/>
  <c r="O200" i="5"/>
  <c r="J200" i="5"/>
  <c r="N200" i="5"/>
  <c r="L200" i="5"/>
  <c r="Q458" i="5" a="1"/>
  <c r="Q458" i="5" s="1"/>
  <c r="Q454" i="5" a="1"/>
  <c r="Q454" i="5" s="1"/>
  <c r="Q450" i="5" a="1"/>
  <c r="Q450" i="5" s="1"/>
  <c r="Q435" i="5" a="1"/>
  <c r="Q435" i="5" s="1"/>
  <c r="Q420" i="5" a="1"/>
  <c r="Q420" i="5" s="1"/>
  <c r="L415" i="5"/>
  <c r="R405" i="5" a="1"/>
  <c r="R405" i="5" s="1"/>
  <c r="R397" i="5" a="1"/>
  <c r="R397" i="5" s="1"/>
  <c r="R390" i="5" a="1"/>
  <c r="R390" i="5" s="1"/>
  <c r="N384" i="5"/>
  <c r="R383" i="5" a="1"/>
  <c r="R383" i="5" s="1"/>
  <c r="N377" i="5"/>
  <c r="O377" i="5"/>
  <c r="P369" i="5"/>
  <c r="Q369" i="5" a="1"/>
  <c r="Q369" i="5" s="1"/>
  <c r="N357" i="5"/>
  <c r="M354" i="5"/>
  <c r="P352" i="5"/>
  <c r="M349" i="5"/>
  <c r="K327" i="5"/>
  <c r="M304" i="5"/>
  <c r="R296" i="5" a="1"/>
  <c r="R296" i="5" s="1"/>
  <c r="J293" i="5"/>
  <c r="R289" i="5" a="1"/>
  <c r="R289" i="5" s="1"/>
  <c r="J281" i="5"/>
  <c r="R276" i="5" a="1"/>
  <c r="R276" i="5" s="1"/>
  <c r="N273" i="5"/>
  <c r="O273" i="5"/>
  <c r="M273" i="5"/>
  <c r="J273" i="5"/>
  <c r="Q243" i="5" a="1"/>
  <c r="Q243" i="5" s="1"/>
  <c r="Q232" i="5" a="1"/>
  <c r="Q232" i="5" s="1"/>
  <c r="P232" i="5"/>
  <c r="R232" i="5" a="1"/>
  <c r="R232" i="5" s="1"/>
  <c r="Q445" i="5" a="1"/>
  <c r="Q445" i="5" s="1"/>
  <c r="Q440" i="5" a="1"/>
  <c r="Q440" i="5" s="1"/>
  <c r="P435" i="5"/>
  <c r="P420" i="5"/>
  <c r="K415" i="5"/>
  <c r="M384" i="5"/>
  <c r="J379" i="5"/>
  <c r="O379" i="5"/>
  <c r="K373" i="5"/>
  <c r="N373" i="5"/>
  <c r="O373" i="5"/>
  <c r="L357" i="5"/>
  <c r="Q355" i="5" a="1"/>
  <c r="Q355" i="5" s="1"/>
  <c r="L354" i="5"/>
  <c r="R351" i="5" a="1"/>
  <c r="R351" i="5" s="1"/>
  <c r="L349" i="5"/>
  <c r="Q347" i="5" a="1"/>
  <c r="Q347" i="5" s="1"/>
  <c r="N225" i="5"/>
  <c r="O225" i="5"/>
  <c r="J225" i="5"/>
  <c r="L225" i="5"/>
  <c r="M225" i="5"/>
  <c r="K225" i="5"/>
  <c r="J415" i="5"/>
  <c r="Q405" i="5" a="1"/>
  <c r="Q405" i="5" s="1"/>
  <c r="Q397" i="5" a="1"/>
  <c r="Q397" i="5" s="1"/>
  <c r="Q390" i="5" a="1"/>
  <c r="Q390" i="5" s="1"/>
  <c r="L384" i="5"/>
  <c r="Q383" i="5" a="1"/>
  <c r="Q383" i="5" s="1"/>
  <c r="P373" i="5"/>
  <c r="Q373" i="5" a="1"/>
  <c r="Q373" i="5" s="1"/>
  <c r="K357" i="5"/>
  <c r="J354" i="5"/>
  <c r="K349" i="5"/>
  <c r="R346" i="5" a="1"/>
  <c r="R346" i="5" s="1"/>
  <c r="J315" i="5"/>
  <c r="K315" i="5"/>
  <c r="L315" i="5"/>
  <c r="M315" i="5"/>
  <c r="P298" i="5"/>
  <c r="Q298" i="5" a="1"/>
  <c r="Q298" i="5" s="1"/>
  <c r="N282" i="5"/>
  <c r="K274" i="5"/>
  <c r="L274" i="5"/>
  <c r="O274" i="5"/>
  <c r="J274" i="5"/>
  <c r="Q439" i="5" a="1"/>
  <c r="Q439" i="5" s="1"/>
  <c r="O430" i="5"/>
  <c r="Q404" i="5" a="1"/>
  <c r="Q404" i="5" s="1"/>
  <c r="Q396" i="5" a="1"/>
  <c r="Q396" i="5" s="1"/>
  <c r="Q389" i="5" a="1"/>
  <c r="Q389" i="5" s="1"/>
  <c r="K384" i="5"/>
  <c r="J375" i="5"/>
  <c r="O375" i="5"/>
  <c r="K366" i="5"/>
  <c r="J366" i="5"/>
  <c r="L366" i="5"/>
  <c r="R364" i="5" a="1"/>
  <c r="R364" i="5" s="1"/>
  <c r="P364" i="5"/>
  <c r="Q364" i="5" a="1"/>
  <c r="Q364" i="5" s="1"/>
  <c r="J357" i="5"/>
  <c r="J355" i="5"/>
  <c r="P351" i="5"/>
  <c r="J349" i="5"/>
  <c r="O347" i="5"/>
  <c r="Q346" i="5" a="1"/>
  <c r="Q346" i="5" s="1"/>
  <c r="R341" i="5" a="1"/>
  <c r="R341" i="5" s="1"/>
  <c r="Q340" i="5" a="1"/>
  <c r="Q340" i="5" s="1"/>
  <c r="O321" i="5"/>
  <c r="J321" i="5"/>
  <c r="K321" i="5"/>
  <c r="L321" i="5"/>
  <c r="M321" i="5"/>
  <c r="J308" i="5"/>
  <c r="M308" i="5"/>
  <c r="N308" i="5"/>
  <c r="K282" i="5"/>
  <c r="P274" i="5"/>
  <c r="Q274" i="5" a="1"/>
  <c r="Q274" i="5" s="1"/>
  <c r="R274" i="5" a="1"/>
  <c r="R274" i="5" s="1"/>
  <c r="K268" i="5"/>
  <c r="L268" i="5"/>
  <c r="N268" i="5"/>
  <c r="O268" i="5"/>
  <c r="J268" i="5"/>
  <c r="M268" i="5"/>
  <c r="P439" i="5"/>
  <c r="O425" i="5"/>
  <c r="J417" i="5"/>
  <c r="O417" i="5"/>
  <c r="P404" i="5"/>
  <c r="P396" i="5"/>
  <c r="N390" i="5"/>
  <c r="P389" i="5"/>
  <c r="J384" i="5"/>
  <c r="N383" i="5"/>
  <c r="M381" i="5"/>
  <c r="J371" i="5"/>
  <c r="K371" i="5"/>
  <c r="O351" i="5"/>
  <c r="J350" i="5"/>
  <c r="M347" i="5"/>
  <c r="J345" i="5"/>
  <c r="P340" i="5"/>
  <c r="P325" i="5"/>
  <c r="Q325" i="5" a="1"/>
  <c r="Q325" i="5" s="1"/>
  <c r="K322" i="5"/>
  <c r="J322" i="5"/>
  <c r="N322" i="5"/>
  <c r="Q242" i="5" a="1"/>
  <c r="Q242" i="5" s="1"/>
  <c r="P242" i="5"/>
  <c r="R242" i="5" a="1"/>
  <c r="R242" i="5" s="1"/>
  <c r="M233" i="5"/>
  <c r="J233" i="5"/>
  <c r="K233" i="5"/>
  <c r="L233" i="5"/>
  <c r="O233" i="5"/>
  <c r="P227" i="5"/>
  <c r="R227" i="5" a="1"/>
  <c r="R227" i="5" s="1"/>
  <c r="R308" i="5" a="1"/>
  <c r="R308" i="5" s="1"/>
  <c r="R292" i="5" a="1"/>
  <c r="R292" i="5" s="1"/>
  <c r="R281" i="5" a="1"/>
  <c r="R281" i="5" s="1"/>
  <c r="K253" i="5"/>
  <c r="N253" i="5"/>
  <c r="Q280" i="5" a="1"/>
  <c r="Q280" i="5" s="1"/>
  <c r="R280" i="5" a="1"/>
  <c r="R280" i="5" s="1"/>
  <c r="L279" i="5"/>
  <c r="M279" i="5"/>
  <c r="N261" i="5"/>
  <c r="J261" i="5"/>
  <c r="L261" i="5"/>
  <c r="O261" i="5"/>
  <c r="J260" i="5"/>
  <c r="M260" i="5"/>
  <c r="O260" i="5"/>
  <c r="J259" i="5"/>
  <c r="K259" i="5"/>
  <c r="L259" i="5"/>
  <c r="N259" i="5"/>
  <c r="P219" i="5"/>
  <c r="Q219" i="5" a="1"/>
  <c r="Q219" i="5" s="1"/>
  <c r="O316" i="5"/>
  <c r="O300" i="5"/>
  <c r="L298" i="5"/>
  <c r="K298" i="5"/>
  <c r="O298" i="5"/>
  <c r="P280" i="5"/>
  <c r="J277" i="5"/>
  <c r="L277" i="5"/>
  <c r="J220" i="5"/>
  <c r="K220" i="5"/>
  <c r="L220" i="5"/>
  <c r="M220" i="5"/>
  <c r="N220" i="5"/>
  <c r="O220" i="5"/>
  <c r="M316" i="5"/>
  <c r="J313" i="5"/>
  <c r="M313" i="5"/>
  <c r="O307" i="5"/>
  <c r="M300" i="5"/>
  <c r="O291" i="5"/>
  <c r="O370" i="5"/>
  <c r="N365" i="5"/>
  <c r="R339" i="5" a="1"/>
  <c r="R339" i="5" s="1"/>
  <c r="Q314" i="5" a="1"/>
  <c r="Q314" i="5" s="1"/>
  <c r="K307" i="5"/>
  <c r="Q297" i="5" a="1"/>
  <c r="Q297" i="5" s="1"/>
  <c r="K291" i="5"/>
  <c r="L287" i="5"/>
  <c r="J287" i="5"/>
  <c r="M287" i="5"/>
  <c r="N279" i="5"/>
  <c r="N278" i="5"/>
  <c r="K271" i="5"/>
  <c r="N271" i="5"/>
  <c r="Q270" i="5" a="1"/>
  <c r="Q270" i="5" s="1"/>
  <c r="R270" i="5" a="1"/>
  <c r="R270" i="5" s="1"/>
  <c r="N260" i="5"/>
  <c r="L253" i="5"/>
  <c r="P246" i="5"/>
  <c r="R246" i="5" a="1"/>
  <c r="R246" i="5" s="1"/>
  <c r="Q200" i="5" a="1"/>
  <c r="Q200" i="5" s="1"/>
  <c r="P200" i="5"/>
  <c r="R200" i="5" a="1"/>
  <c r="R200" i="5" s="1"/>
  <c r="M382" i="5"/>
  <c r="Q381" i="5" a="1"/>
  <c r="Q381" i="5" s="1"/>
  <c r="M378" i="5"/>
  <c r="Q377" i="5" a="1"/>
  <c r="Q377" i="5" s="1"/>
  <c r="M374" i="5"/>
  <c r="N370" i="5"/>
  <c r="J307" i="5"/>
  <c r="O305" i="5"/>
  <c r="K303" i="5"/>
  <c r="N303" i="5"/>
  <c r="J291" i="5"/>
  <c r="M286" i="5"/>
  <c r="O286" i="5"/>
  <c r="K279" i="5"/>
  <c r="M278" i="5"/>
  <c r="O277" i="5"/>
  <c r="M261" i="5"/>
  <c r="L260" i="5"/>
  <c r="O259" i="5"/>
  <c r="J253" i="5"/>
  <c r="Q247" i="5" a="1"/>
  <c r="Q247" i="5" s="1"/>
  <c r="P247" i="5"/>
  <c r="Q215" i="5" a="1"/>
  <c r="Q215" i="5" s="1"/>
  <c r="R215" i="5" a="1"/>
  <c r="R215" i="5" s="1"/>
  <c r="M370" i="5"/>
  <c r="L365" i="5"/>
  <c r="Q354" i="5" a="1"/>
  <c r="Q354" i="5" s="1"/>
  <c r="Q349" i="5" a="1"/>
  <c r="Q349" i="5" s="1"/>
  <c r="P344" i="5"/>
  <c r="Q339" i="5" a="1"/>
  <c r="Q339" i="5" s="1"/>
  <c r="O330" i="5"/>
  <c r="N325" i="5"/>
  <c r="Q324" i="5" a="1"/>
  <c r="Q324" i="5" s="1"/>
  <c r="N305" i="5"/>
  <c r="Q304" i="5" a="1"/>
  <c r="Q304" i="5" s="1"/>
  <c r="L302" i="5"/>
  <c r="O302" i="5"/>
  <c r="N298" i="5"/>
  <c r="R295" i="5" a="1"/>
  <c r="R295" i="5" s="1"/>
  <c r="L284" i="5"/>
  <c r="O284" i="5"/>
  <c r="J279" i="5"/>
  <c r="L278" i="5"/>
  <c r="N277" i="5"/>
  <c r="O276" i="5"/>
  <c r="K261" i="5"/>
  <c r="K260" i="5"/>
  <c r="M259" i="5"/>
  <c r="K378" i="5"/>
  <c r="K374" i="5"/>
  <c r="L370" i="5"/>
  <c r="K365" i="5"/>
  <c r="Q334" i="5" a="1"/>
  <c r="Q334" i="5" s="1"/>
  <c r="N330" i="5"/>
  <c r="Q329" i="5" a="1"/>
  <c r="Q329" i="5" s="1"/>
  <c r="M325" i="5"/>
  <c r="P324" i="5"/>
  <c r="L318" i="5"/>
  <c r="J318" i="5"/>
  <c r="O313" i="5"/>
  <c r="P311" i="5"/>
  <c r="M305" i="5"/>
  <c r="M298" i="5"/>
  <c r="K278" i="5"/>
  <c r="M277" i="5"/>
  <c r="M276" i="5"/>
  <c r="R271" i="5" a="1"/>
  <c r="R271" i="5" s="1"/>
  <c r="Q269" i="5" a="1"/>
  <c r="Q269" i="5" s="1"/>
  <c r="P251" i="5"/>
  <c r="Q251" i="5" a="1"/>
  <c r="Q251" i="5" s="1"/>
  <c r="L222" i="5"/>
  <c r="J222" i="5"/>
  <c r="O222" i="5"/>
  <c r="K222" i="5"/>
  <c r="M222" i="5"/>
  <c r="N222" i="5"/>
  <c r="J370" i="5"/>
  <c r="J365" i="5"/>
  <c r="M330" i="5"/>
  <c r="L325" i="5"/>
  <c r="N313" i="5"/>
  <c r="J298" i="5"/>
  <c r="L294" i="5"/>
  <c r="K294" i="5"/>
  <c r="J278" i="5"/>
  <c r="K277" i="5"/>
  <c r="L276" i="5"/>
  <c r="P269" i="5"/>
  <c r="J257" i="5"/>
  <c r="K257" i="5"/>
  <c r="M257" i="5"/>
  <c r="N257" i="5"/>
  <c r="P256" i="5"/>
  <c r="R256" i="5" a="1"/>
  <c r="R256" i="5" s="1"/>
  <c r="Q246" i="5" a="1"/>
  <c r="Q246" i="5" s="1"/>
  <c r="O193" i="5"/>
  <c r="J193" i="5"/>
  <c r="K193" i="5"/>
  <c r="J188" i="5"/>
  <c r="L188" i="5"/>
  <c r="M188" i="5"/>
  <c r="O188" i="5"/>
  <c r="P194" i="5"/>
  <c r="Q194" i="5" a="1"/>
  <c r="Q194" i="5" s="1"/>
  <c r="R138" i="5" a="1"/>
  <c r="R138" i="5" s="1"/>
  <c r="P138" i="5"/>
  <c r="Q138" i="5" a="1"/>
  <c r="Q138" i="5" s="1"/>
  <c r="M254" i="5"/>
  <c r="J251" i="5"/>
  <c r="O251" i="5"/>
  <c r="J243" i="5"/>
  <c r="N243" i="5"/>
  <c r="N242" i="5"/>
  <c r="K242" i="5"/>
  <c r="L242" i="5"/>
  <c r="L174" i="5"/>
  <c r="J174" i="5"/>
  <c r="K174" i="5"/>
  <c r="M174" i="5"/>
  <c r="N174" i="5"/>
  <c r="O174" i="5"/>
  <c r="K223" i="5"/>
  <c r="L223" i="5"/>
  <c r="N223" i="5"/>
  <c r="O223" i="5"/>
  <c r="L214" i="5"/>
  <c r="O214" i="5"/>
  <c r="N214" i="5"/>
  <c r="J201" i="5"/>
  <c r="L201" i="5"/>
  <c r="N201" i="5"/>
  <c r="M201" i="5"/>
  <c r="P189" i="5"/>
  <c r="Q189" i="5" a="1"/>
  <c r="Q189" i="5" s="1"/>
  <c r="O265" i="5"/>
  <c r="K215" i="5"/>
  <c r="M215" i="5"/>
  <c r="N215" i="5"/>
  <c r="O215" i="5"/>
  <c r="R194" i="5" a="1"/>
  <c r="R194" i="5" s="1"/>
  <c r="P225" i="5"/>
  <c r="Q225" i="5" a="1"/>
  <c r="Q225" i="5" s="1"/>
  <c r="R225" i="5" a="1"/>
  <c r="R225" i="5" s="1"/>
  <c r="R189" i="5" a="1"/>
  <c r="R189" i="5" s="1"/>
  <c r="L170" i="5"/>
  <c r="J170" i="5"/>
  <c r="K170" i="5"/>
  <c r="M170" i="5"/>
  <c r="O170" i="5"/>
  <c r="N170" i="5"/>
  <c r="N156" i="5"/>
  <c r="J156" i="5"/>
  <c r="K156" i="5"/>
  <c r="M156" i="5"/>
  <c r="O156" i="5"/>
  <c r="L156" i="5"/>
  <c r="L265" i="5"/>
  <c r="N256" i="5"/>
  <c r="O256" i="5"/>
  <c r="M244" i="5"/>
  <c r="M236" i="5"/>
  <c r="N236" i="5"/>
  <c r="O236" i="5"/>
  <c r="R212" i="5" a="1"/>
  <c r="R212" i="5" s="1"/>
  <c r="K203" i="5"/>
  <c r="L203" i="5"/>
  <c r="N203" i="5"/>
  <c r="O203" i="5"/>
  <c r="N193" i="5"/>
  <c r="N238" i="5"/>
  <c r="M238" i="5"/>
  <c r="J237" i="5"/>
  <c r="K237" i="5"/>
  <c r="L237" i="5"/>
  <c r="R223" i="5" a="1"/>
  <c r="R223" i="5" s="1"/>
  <c r="M216" i="5"/>
  <c r="K216" i="5"/>
  <c r="L216" i="5"/>
  <c r="O216" i="5"/>
  <c r="P212" i="5"/>
  <c r="P209" i="5"/>
  <c r="Q209" i="5" a="1"/>
  <c r="Q209" i="5" s="1"/>
  <c r="M193" i="5"/>
  <c r="N188" i="5"/>
  <c r="N289" i="5"/>
  <c r="N264" i="5"/>
  <c r="N262" i="5"/>
  <c r="K262" i="5"/>
  <c r="O258" i="5"/>
  <c r="M251" i="5"/>
  <c r="O250" i="5"/>
  <c r="K244" i="5"/>
  <c r="M243" i="5"/>
  <c r="O242" i="5"/>
  <c r="J231" i="5"/>
  <c r="N231" i="5"/>
  <c r="O231" i="5"/>
  <c r="P226" i="5"/>
  <c r="Q226" i="5" a="1"/>
  <c r="Q226" i="5" s="1"/>
  <c r="P216" i="5"/>
  <c r="Q216" i="5" a="1"/>
  <c r="Q216" i="5" s="1"/>
  <c r="L193" i="5"/>
  <c r="M264" i="5"/>
  <c r="M258" i="5"/>
  <c r="L251" i="5"/>
  <c r="M250" i="5"/>
  <c r="J247" i="5"/>
  <c r="L247" i="5"/>
  <c r="M247" i="5"/>
  <c r="L243" i="5"/>
  <c r="M242" i="5"/>
  <c r="J232" i="5"/>
  <c r="K232" i="5"/>
  <c r="L232" i="5"/>
  <c r="M232" i="5"/>
  <c r="P231" i="5"/>
  <c r="Q231" i="5" a="1"/>
  <c r="Q231" i="5" s="1"/>
  <c r="J227" i="5"/>
  <c r="K227" i="5"/>
  <c r="L227" i="5"/>
  <c r="M227" i="5"/>
  <c r="N227" i="5"/>
  <c r="Q223" i="5" a="1"/>
  <c r="Q223" i="5" s="1"/>
  <c r="M219" i="5"/>
  <c r="N219" i="5"/>
  <c r="O219" i="5"/>
  <c r="M214" i="5"/>
  <c r="O172" i="5"/>
  <c r="J172" i="5"/>
  <c r="L172" i="5"/>
  <c r="K172" i="5"/>
  <c r="M172" i="5"/>
  <c r="N172" i="5"/>
  <c r="O201" i="5"/>
  <c r="P172" i="5"/>
  <c r="Q172" i="5" a="1"/>
  <c r="Q172" i="5" s="1"/>
  <c r="R172" i="5" a="1"/>
  <c r="R172" i="5" s="1"/>
  <c r="K264" i="5"/>
  <c r="K258" i="5"/>
  <c r="K250" i="5"/>
  <c r="J223" i="5"/>
  <c r="L215" i="5"/>
  <c r="J214" i="5"/>
  <c r="K201" i="5"/>
  <c r="N266" i="5"/>
  <c r="O266" i="5"/>
  <c r="J258" i="5"/>
  <c r="J250" i="5"/>
  <c r="J215" i="5"/>
  <c r="Q199" i="5" a="1"/>
  <c r="Q199" i="5" s="1"/>
  <c r="R199" i="5" a="1"/>
  <c r="R199" i="5" s="1"/>
  <c r="J187" i="5"/>
  <c r="L187" i="5"/>
  <c r="L186" i="5"/>
  <c r="K186" i="5"/>
  <c r="N186" i="5"/>
  <c r="L160" i="5"/>
  <c r="O160" i="5"/>
  <c r="L185" i="5"/>
  <c r="N185" i="5"/>
  <c r="L157" i="5"/>
  <c r="K157" i="5"/>
  <c r="M157" i="5"/>
  <c r="N157" i="5"/>
  <c r="O157" i="5"/>
  <c r="Q184" i="5" a="1"/>
  <c r="Q184" i="5" s="1"/>
  <c r="R184" i="5" a="1"/>
  <c r="R184" i="5" s="1"/>
  <c r="L88" i="5"/>
  <c r="J88" i="5"/>
  <c r="K88" i="5"/>
  <c r="M88" i="5"/>
  <c r="N88" i="5"/>
  <c r="O88" i="5"/>
  <c r="J163" i="5"/>
  <c r="K163" i="5"/>
  <c r="L163" i="5"/>
  <c r="N163" i="5"/>
  <c r="O163" i="5"/>
  <c r="Q161" i="5" a="1"/>
  <c r="Q161" i="5" s="1"/>
  <c r="R161" i="5" a="1"/>
  <c r="R161" i="5" s="1"/>
  <c r="J211" i="5"/>
  <c r="N211" i="5"/>
  <c r="L210" i="5"/>
  <c r="K210" i="5"/>
  <c r="N210" i="5"/>
  <c r="J196" i="5"/>
  <c r="L196" i="5"/>
  <c r="N196" i="5"/>
  <c r="K239" i="5"/>
  <c r="N228" i="5"/>
  <c r="L226" i="5"/>
  <c r="N226" i="5"/>
  <c r="Q221" i="5" a="1"/>
  <c r="Q221" i="5" s="1"/>
  <c r="L195" i="5"/>
  <c r="N195" i="5"/>
  <c r="L182" i="5"/>
  <c r="J182" i="5"/>
  <c r="M182" i="5"/>
  <c r="K181" i="5"/>
  <c r="M181" i="5"/>
  <c r="O181" i="5"/>
  <c r="L180" i="5"/>
  <c r="N180" i="5"/>
  <c r="Q158" i="5" a="1"/>
  <c r="Q158" i="5" s="1"/>
  <c r="P147" i="5"/>
  <c r="Q147" i="5" a="1"/>
  <c r="Q147" i="5" s="1"/>
  <c r="O164" i="5"/>
  <c r="J164" i="5"/>
  <c r="L164" i="5"/>
  <c r="M164" i="5"/>
  <c r="N164" i="5"/>
  <c r="N160" i="5"/>
  <c r="P158" i="5"/>
  <c r="R105" i="5" a="1"/>
  <c r="R105" i="5" s="1"/>
  <c r="P105" i="5"/>
  <c r="Q105" i="5" a="1"/>
  <c r="Q105" i="5" s="1"/>
  <c r="Q208" i="5" a="1"/>
  <c r="Q208" i="5" s="1"/>
  <c r="R208" i="5" a="1"/>
  <c r="R208" i="5" s="1"/>
  <c r="O198" i="5"/>
  <c r="R196" i="5" a="1"/>
  <c r="R196" i="5" s="1"/>
  <c r="N187" i="5"/>
  <c r="O186" i="5"/>
  <c r="O185" i="5"/>
  <c r="P183" i="5"/>
  <c r="P161" i="5"/>
  <c r="M160" i="5"/>
  <c r="R157" i="5" a="1"/>
  <c r="R157" i="5" s="1"/>
  <c r="Q149" i="5" a="1"/>
  <c r="Q149" i="5" s="1"/>
  <c r="P149" i="5"/>
  <c r="O241" i="5"/>
  <c r="K221" i="5"/>
  <c r="M212" i="5"/>
  <c r="Q210" i="5" a="1"/>
  <c r="Q210" i="5" s="1"/>
  <c r="P208" i="5"/>
  <c r="M198" i="5"/>
  <c r="O197" i="5"/>
  <c r="Q196" i="5" a="1"/>
  <c r="Q196" i="5" s="1"/>
  <c r="K187" i="5"/>
  <c r="J186" i="5"/>
  <c r="K185" i="5"/>
  <c r="J177" i="5"/>
  <c r="L177" i="5"/>
  <c r="K176" i="5"/>
  <c r="M176" i="5"/>
  <c r="O176" i="5"/>
  <c r="K165" i="5"/>
  <c r="J165" i="5"/>
  <c r="L165" i="5"/>
  <c r="M165" i="5"/>
  <c r="O165" i="5"/>
  <c r="J160" i="5"/>
  <c r="P157" i="5"/>
  <c r="P153" i="5"/>
  <c r="Q153" i="5" a="1"/>
  <c r="Q153" i="5" s="1"/>
  <c r="O246" i="5"/>
  <c r="J221" i="5"/>
  <c r="L212" i="5"/>
  <c r="O211" i="5"/>
  <c r="O209" i="5"/>
  <c r="L206" i="5"/>
  <c r="J206" i="5"/>
  <c r="O206" i="5"/>
  <c r="K205" i="5"/>
  <c r="M205" i="5"/>
  <c r="K198" i="5"/>
  <c r="N197" i="5"/>
  <c r="J185" i="5"/>
  <c r="K169" i="5"/>
  <c r="M169" i="5"/>
  <c r="N169" i="5"/>
  <c r="O169" i="5"/>
  <c r="J157" i="5"/>
  <c r="R147" i="5" a="1"/>
  <c r="R147" i="5" s="1"/>
  <c r="O114" i="5"/>
  <c r="J114" i="5"/>
  <c r="L114" i="5"/>
  <c r="M114" i="5"/>
  <c r="N114" i="5"/>
  <c r="K114" i="5"/>
  <c r="O226" i="5"/>
  <c r="Q224" i="5" a="1"/>
  <c r="Q224" i="5" s="1"/>
  <c r="K212" i="5"/>
  <c r="M211" i="5"/>
  <c r="O210" i="5"/>
  <c r="M209" i="5"/>
  <c r="J198" i="5"/>
  <c r="M197" i="5"/>
  <c r="O196" i="5"/>
  <c r="O195" i="5"/>
  <c r="K191" i="5"/>
  <c r="M191" i="5"/>
  <c r="O191" i="5"/>
  <c r="O180" i="5"/>
  <c r="L166" i="5"/>
  <c r="J166" i="5"/>
  <c r="M166" i="5"/>
  <c r="L137" i="5"/>
  <c r="M137" i="5"/>
  <c r="K137" i="5"/>
  <c r="N137" i="5"/>
  <c r="O137" i="5"/>
  <c r="J137" i="5"/>
  <c r="P114" i="5"/>
  <c r="Q114" i="5" a="1"/>
  <c r="Q114" i="5" s="1"/>
  <c r="R114" i="5" a="1"/>
  <c r="R114" i="5" s="1"/>
  <c r="M226" i="5"/>
  <c r="L211" i="5"/>
  <c r="M210" i="5"/>
  <c r="L209" i="5"/>
  <c r="L197" i="5"/>
  <c r="M196" i="5"/>
  <c r="M195" i="5"/>
  <c r="L190" i="5"/>
  <c r="M190" i="5"/>
  <c r="O190" i="5"/>
  <c r="O182" i="5"/>
  <c r="N181" i="5"/>
  <c r="M180" i="5"/>
  <c r="R177" i="5" a="1"/>
  <c r="R177" i="5" s="1"/>
  <c r="M163" i="5"/>
  <c r="R153" i="5" a="1"/>
  <c r="R153" i="5" s="1"/>
  <c r="Q151" i="5" a="1"/>
  <c r="Q151" i="5" s="1"/>
  <c r="O150" i="5"/>
  <c r="M142" i="5"/>
  <c r="J173" i="5"/>
  <c r="J159" i="5"/>
  <c r="R156" i="5" a="1"/>
  <c r="R156" i="5" s="1"/>
  <c r="N150" i="5"/>
  <c r="O138" i="5"/>
  <c r="K117" i="5"/>
  <c r="L117" i="5"/>
  <c r="M117" i="5"/>
  <c r="J117" i="5"/>
  <c r="N117" i="5"/>
  <c r="R98" i="5" a="1"/>
  <c r="R98" i="5" s="1"/>
  <c r="Q98" i="5" a="1"/>
  <c r="Q98" i="5" s="1"/>
  <c r="J56" i="5"/>
  <c r="K56" i="5"/>
  <c r="L56" i="5"/>
  <c r="M56" i="5"/>
  <c r="N56" i="5"/>
  <c r="O56" i="5"/>
  <c r="J146" i="5"/>
  <c r="M146" i="5"/>
  <c r="O146" i="5"/>
  <c r="N138" i="5"/>
  <c r="P67" i="5"/>
  <c r="Q67" i="5" a="1"/>
  <c r="Q67" i="5" s="1"/>
  <c r="R175" i="5" a="1"/>
  <c r="R175" i="5" s="1"/>
  <c r="Q170" i="5" a="1"/>
  <c r="Q170" i="5" s="1"/>
  <c r="Q156" i="5" a="1"/>
  <c r="Q156" i="5" s="1"/>
  <c r="K150" i="5"/>
  <c r="M138" i="5"/>
  <c r="O124" i="5"/>
  <c r="J124" i="5"/>
  <c r="L124" i="5"/>
  <c r="M124" i="5"/>
  <c r="N124" i="5"/>
  <c r="Q121" i="5" a="1"/>
  <c r="Q121" i="5" s="1"/>
  <c r="R121" i="5" a="1"/>
  <c r="R121" i="5" s="1"/>
  <c r="R119" i="5" a="1"/>
  <c r="R119" i="5" s="1"/>
  <c r="Q119" i="5" a="1"/>
  <c r="Q119" i="5" s="1"/>
  <c r="J118" i="5"/>
  <c r="K118" i="5"/>
  <c r="P108" i="5"/>
  <c r="Q108" i="5" a="1"/>
  <c r="Q108" i="5" s="1"/>
  <c r="R108" i="5" a="1"/>
  <c r="R108" i="5" s="1"/>
  <c r="P155" i="5"/>
  <c r="J150" i="5"/>
  <c r="L145" i="5"/>
  <c r="N145" i="5"/>
  <c r="P124" i="5"/>
  <c r="Q124" i="5" a="1"/>
  <c r="Q124" i="5" s="1"/>
  <c r="P72" i="5"/>
  <c r="Q72" i="5" a="1"/>
  <c r="Q72" i="5" s="1"/>
  <c r="L161" i="5"/>
  <c r="O161" i="5"/>
  <c r="O155" i="5"/>
  <c r="R123" i="5" a="1"/>
  <c r="R123" i="5" s="1"/>
  <c r="P123" i="5"/>
  <c r="P10" i="5"/>
  <c r="Q10" i="5" a="1"/>
  <c r="Q10" i="5" s="1"/>
  <c r="R10" i="5" a="1"/>
  <c r="R10" i="5" s="1"/>
  <c r="P144" i="5"/>
  <c r="Q144" i="5" a="1"/>
  <c r="Q144" i="5" s="1"/>
  <c r="K125" i="5"/>
  <c r="L125" i="5"/>
  <c r="M125" i="5"/>
  <c r="N125" i="5"/>
  <c r="O125" i="5"/>
  <c r="P93" i="5"/>
  <c r="Q93" i="5" a="1"/>
  <c r="Q93" i="5" s="1"/>
  <c r="R93" i="5" a="1"/>
  <c r="R93" i="5" s="1"/>
  <c r="M155" i="5"/>
  <c r="N147" i="5"/>
  <c r="R144" i="5" a="1"/>
  <c r="R144" i="5" s="1"/>
  <c r="L141" i="5"/>
  <c r="J141" i="5"/>
  <c r="N141" i="5"/>
  <c r="K135" i="5"/>
  <c r="N135" i="5"/>
  <c r="P128" i="5"/>
  <c r="Q128" i="5" a="1"/>
  <c r="Q128" i="5" s="1"/>
  <c r="R128" i="5" a="1"/>
  <c r="R128" i="5" s="1"/>
  <c r="Q123" i="5" a="1"/>
  <c r="Q123" i="5" s="1"/>
  <c r="M120" i="5"/>
  <c r="L109" i="5"/>
  <c r="K109" i="5"/>
  <c r="M109" i="5"/>
  <c r="O109" i="5"/>
  <c r="P98" i="5"/>
  <c r="P77" i="5"/>
  <c r="Q77" i="5" a="1"/>
  <c r="Q77" i="5" s="1"/>
  <c r="R77" i="5" a="1"/>
  <c r="R77" i="5" s="1"/>
  <c r="R67" i="5" a="1"/>
  <c r="R67" i="5" s="1"/>
  <c r="K155" i="5"/>
  <c r="J142" i="5"/>
  <c r="L142" i="5"/>
  <c r="N142" i="5"/>
  <c r="K136" i="5"/>
  <c r="M136" i="5"/>
  <c r="N136" i="5"/>
  <c r="O136" i="5"/>
  <c r="J130" i="5"/>
  <c r="L130" i="5"/>
  <c r="M130" i="5"/>
  <c r="O130" i="5"/>
  <c r="Q127" i="5" a="1"/>
  <c r="Q127" i="5" s="1"/>
  <c r="R127" i="5" a="1"/>
  <c r="R127" i="5" s="1"/>
  <c r="J126" i="5"/>
  <c r="K126" i="5"/>
  <c r="L126" i="5"/>
  <c r="P121" i="5"/>
  <c r="L120" i="5"/>
  <c r="Q118" i="5" a="1"/>
  <c r="Q118" i="5" s="1"/>
  <c r="O111" i="5"/>
  <c r="K111" i="5"/>
  <c r="J111" i="5"/>
  <c r="M111" i="5"/>
  <c r="N111" i="5"/>
  <c r="N168" i="5"/>
  <c r="Q167" i="5" a="1"/>
  <c r="Q167" i="5" s="1"/>
  <c r="R160" i="5" a="1"/>
  <c r="R160" i="5" s="1"/>
  <c r="J155" i="5"/>
  <c r="R152" i="5" a="1"/>
  <c r="R152" i="5" s="1"/>
  <c r="L147" i="5"/>
  <c r="N146" i="5"/>
  <c r="Q143" i="5" a="1"/>
  <c r="Q143" i="5" s="1"/>
  <c r="P136" i="5"/>
  <c r="Q136" i="5" a="1"/>
  <c r="Q136" i="5" s="1"/>
  <c r="P130" i="5"/>
  <c r="Q130" i="5" a="1"/>
  <c r="Q130" i="5" s="1"/>
  <c r="K120" i="5"/>
  <c r="O118" i="5"/>
  <c r="J85" i="5"/>
  <c r="N85" i="5"/>
  <c r="O85" i="5"/>
  <c r="K85" i="5"/>
  <c r="M85" i="5"/>
  <c r="R72" i="5" a="1"/>
  <c r="R72" i="5" s="1"/>
  <c r="K131" i="5"/>
  <c r="L131" i="5"/>
  <c r="M131" i="5"/>
  <c r="P127" i="5"/>
  <c r="R124" i="5" a="1"/>
  <c r="R124" i="5" s="1"/>
  <c r="J120" i="5"/>
  <c r="N118" i="5"/>
  <c r="O117" i="5"/>
  <c r="P85" i="5"/>
  <c r="Q85" i="5" a="1"/>
  <c r="Q85" i="5" s="1"/>
  <c r="R85" i="5" a="1"/>
  <c r="R85" i="5" s="1"/>
  <c r="K146" i="5"/>
  <c r="P139" i="5"/>
  <c r="R139" i="5" a="1"/>
  <c r="R139" i="5" s="1"/>
  <c r="J138" i="5"/>
  <c r="K138" i="5"/>
  <c r="P132" i="5"/>
  <c r="Q132" i="5" a="1"/>
  <c r="Q132" i="5" s="1"/>
  <c r="M118" i="5"/>
  <c r="R113" i="5" a="1"/>
  <c r="R113" i="5" s="1"/>
  <c r="P113" i="5"/>
  <c r="Q113" i="5" a="1"/>
  <c r="Q113" i="5" s="1"/>
  <c r="P63" i="5"/>
  <c r="Q63" i="5" a="1"/>
  <c r="Q63" i="5" s="1"/>
  <c r="R63" i="5" a="1"/>
  <c r="R63" i="5" s="1"/>
  <c r="R42" i="5" a="1"/>
  <c r="R42" i="5" s="1"/>
  <c r="P42" i="5"/>
  <c r="Q42" i="5" a="1"/>
  <c r="Q42" i="5" s="1"/>
  <c r="P28" i="5"/>
  <c r="R28" i="5" a="1"/>
  <c r="R28" i="5" s="1"/>
  <c r="Q28" i="5" a="1"/>
  <c r="Q28" i="5" s="1"/>
  <c r="L129" i="5"/>
  <c r="M129" i="5"/>
  <c r="K116" i="5"/>
  <c r="N106" i="5"/>
  <c r="Q103" i="5" a="1"/>
  <c r="Q103" i="5" s="1"/>
  <c r="P88" i="5"/>
  <c r="Q88" i="5" a="1"/>
  <c r="Q88" i="5" s="1"/>
  <c r="M106" i="5"/>
  <c r="O104" i="5"/>
  <c r="R129" i="5" a="1"/>
  <c r="R129" i="5" s="1"/>
  <c r="K121" i="5"/>
  <c r="L121" i="5"/>
  <c r="M121" i="5"/>
  <c r="N104" i="5"/>
  <c r="J93" i="5"/>
  <c r="K93" i="5"/>
  <c r="L93" i="5"/>
  <c r="M93" i="5"/>
  <c r="O93" i="5"/>
  <c r="Q129" i="5" a="1"/>
  <c r="Q129" i="5" s="1"/>
  <c r="P120" i="5"/>
  <c r="Q120" i="5" a="1"/>
  <c r="Q120" i="5" s="1"/>
  <c r="L133" i="5"/>
  <c r="M133" i="5"/>
  <c r="O122" i="5"/>
  <c r="K94" i="5"/>
  <c r="L94" i="5"/>
  <c r="L80" i="5"/>
  <c r="J80" i="5"/>
  <c r="M80" i="5"/>
  <c r="N80" i="5"/>
  <c r="O80" i="5"/>
  <c r="P80" i="5"/>
  <c r="Q80" i="5" a="1"/>
  <c r="Q80" i="5" s="1"/>
  <c r="L102" i="5"/>
  <c r="M102" i="5"/>
  <c r="N102" i="5"/>
  <c r="O102" i="5"/>
  <c r="K99" i="5"/>
  <c r="L99" i="5"/>
  <c r="N116" i="5"/>
  <c r="O116" i="5"/>
  <c r="R95" i="5" a="1"/>
  <c r="R95" i="5" s="1"/>
  <c r="J70" i="5"/>
  <c r="K70" i="5"/>
  <c r="L70" i="5"/>
  <c r="M70" i="5"/>
  <c r="N70" i="5"/>
  <c r="O70" i="5"/>
  <c r="J65" i="5"/>
  <c r="K65" i="5"/>
  <c r="L65" i="5"/>
  <c r="M65" i="5"/>
  <c r="N65" i="5"/>
  <c r="O65" i="5"/>
  <c r="P116" i="5"/>
  <c r="Q116" i="5" a="1"/>
  <c r="Q116" i="5" s="1"/>
  <c r="J75" i="5"/>
  <c r="K75" i="5"/>
  <c r="L75" i="5"/>
  <c r="M75" i="5"/>
  <c r="N75" i="5"/>
  <c r="O75" i="5"/>
  <c r="P70" i="5"/>
  <c r="Q70" i="5" a="1"/>
  <c r="Q70" i="5" s="1"/>
  <c r="L61" i="5"/>
  <c r="J61" i="5"/>
  <c r="K61" i="5"/>
  <c r="M61" i="5"/>
  <c r="N61" i="5"/>
  <c r="O61" i="5"/>
  <c r="L112" i="5"/>
  <c r="M112" i="5"/>
  <c r="N112" i="5"/>
  <c r="O112" i="5"/>
  <c r="L107" i="5"/>
  <c r="M107" i="5"/>
  <c r="N107" i="5"/>
  <c r="O107" i="5"/>
  <c r="O106" i="5"/>
  <c r="K106" i="5"/>
  <c r="P75" i="5"/>
  <c r="Q75" i="5" a="1"/>
  <c r="Q75" i="5" s="1"/>
  <c r="J35" i="5"/>
  <c r="K35" i="5"/>
  <c r="L35" i="5"/>
  <c r="M35" i="5"/>
  <c r="N35" i="5"/>
  <c r="O35" i="5"/>
  <c r="L104" i="5"/>
  <c r="M104" i="5"/>
  <c r="R100" i="5" a="1"/>
  <c r="R100" i="5" s="1"/>
  <c r="O94" i="5"/>
  <c r="N93" i="5"/>
  <c r="J13" i="5"/>
  <c r="L13" i="5"/>
  <c r="M13" i="5"/>
  <c r="N13" i="5"/>
  <c r="O13" i="5"/>
  <c r="L58" i="5"/>
  <c r="P13" i="5"/>
  <c r="Q13" i="5" a="1"/>
  <c r="Q13" i="5" s="1"/>
  <c r="R89" i="5" a="1"/>
  <c r="R89" i="5" s="1"/>
  <c r="J77" i="5"/>
  <c r="R74" i="5" a="1"/>
  <c r="R74" i="5" s="1"/>
  <c r="J72" i="5"/>
  <c r="J67" i="5"/>
  <c r="Q65" i="5" a="1"/>
  <c r="Q65" i="5" s="1"/>
  <c r="J63" i="5"/>
  <c r="K58" i="5"/>
  <c r="Q51" i="5" a="1"/>
  <c r="Q51" i="5" s="1"/>
  <c r="Q35" i="5" a="1"/>
  <c r="Q35" i="5" s="1"/>
  <c r="R34" i="5" a="1"/>
  <c r="R34" i="5" s="1"/>
  <c r="J31" i="5"/>
  <c r="J22" i="5"/>
  <c r="J7" i="5"/>
  <c r="Q61" i="5" a="1"/>
  <c r="Q61" i="5" s="1"/>
  <c r="J58" i="5"/>
  <c r="Q56" i="5" a="1"/>
  <c r="Q56" i="5" s="1"/>
  <c r="Q27" i="5" a="1"/>
  <c r="Q27" i="5" s="1"/>
  <c r="N100" i="5"/>
  <c r="Q99" i="5" a="1"/>
  <c r="Q99" i="5" s="1"/>
  <c r="Q74" i="5" a="1"/>
  <c r="Q74" i="5" s="1"/>
  <c r="O51" i="5"/>
  <c r="Q41" i="5" a="1"/>
  <c r="Q41" i="5" s="1"/>
  <c r="Q34" i="5" a="1"/>
  <c r="Q34" i="5" s="1"/>
  <c r="O27" i="5"/>
  <c r="L25" i="5"/>
  <c r="O25" i="5"/>
  <c r="J14" i="5"/>
  <c r="K14" i="5"/>
  <c r="L14" i="5"/>
  <c r="M14" i="5"/>
  <c r="Q79" i="5" a="1"/>
  <c r="Q79" i="5" s="1"/>
  <c r="R78" i="5" a="1"/>
  <c r="R78" i="5" s="1"/>
  <c r="J76" i="5"/>
  <c r="Q69" i="5" a="1"/>
  <c r="Q69" i="5" s="1"/>
  <c r="K57" i="5"/>
  <c r="N51" i="5"/>
  <c r="O46" i="5"/>
  <c r="R40" i="5" a="1"/>
  <c r="R40" i="5" s="1"/>
  <c r="N27" i="5"/>
  <c r="O11" i="5"/>
  <c r="O79" i="5"/>
  <c r="O74" i="5"/>
  <c r="R73" i="5" a="1"/>
  <c r="R73" i="5" s="1"/>
  <c r="R59" i="5" a="1"/>
  <c r="R59" i="5" s="1"/>
  <c r="M51" i="5"/>
  <c r="N46" i="5"/>
  <c r="O41" i="5"/>
  <c r="O34" i="5"/>
  <c r="M27" i="5"/>
  <c r="P24" i="5"/>
  <c r="R24" i="5" a="1"/>
  <c r="R24" i="5" s="1"/>
  <c r="J17" i="5"/>
  <c r="L17" i="5"/>
  <c r="M17" i="5"/>
  <c r="N17" i="5"/>
  <c r="O17" i="5"/>
  <c r="N11" i="5"/>
  <c r="L51" i="5"/>
  <c r="M46" i="5"/>
  <c r="N41" i="5"/>
  <c r="L27" i="5"/>
  <c r="P17" i="5"/>
  <c r="Q17" i="5" a="1"/>
  <c r="Q17" i="5" s="1"/>
  <c r="R13" i="5" a="1"/>
  <c r="R13" i="5" s="1"/>
  <c r="M11" i="5"/>
  <c r="J6" i="5"/>
  <c r="K6" i="5"/>
  <c r="L6" i="5"/>
  <c r="M6" i="5"/>
  <c r="O103" i="5"/>
  <c r="O98" i="5"/>
  <c r="R97" i="5" a="1"/>
  <c r="R97" i="5" s="1"/>
  <c r="M89" i="5"/>
  <c r="N84" i="5"/>
  <c r="Q83" i="5" a="1"/>
  <c r="Q83" i="5" s="1"/>
  <c r="R82" i="5" a="1"/>
  <c r="R82" i="5" s="1"/>
  <c r="M79" i="5"/>
  <c r="M74" i="5"/>
  <c r="Q73" i="5" a="1"/>
  <c r="Q73" i="5" s="1"/>
  <c r="N69" i="5"/>
  <c r="Q59" i="5" a="1"/>
  <c r="Q59" i="5" s="1"/>
  <c r="K51" i="5"/>
  <c r="L46" i="5"/>
  <c r="M41" i="5"/>
  <c r="O40" i="5"/>
  <c r="R38" i="5" a="1"/>
  <c r="R38" i="5" s="1"/>
  <c r="M34" i="5"/>
  <c r="K27" i="5"/>
  <c r="N26" i="5"/>
  <c r="K11" i="5"/>
  <c r="O83" i="5"/>
  <c r="M69" i="5"/>
  <c r="Q64" i="5" a="1"/>
  <c r="Q64" i="5" s="1"/>
  <c r="K46" i="5"/>
  <c r="K41" i="5"/>
  <c r="J21" i="5"/>
  <c r="L21" i="5"/>
  <c r="M21" i="5"/>
  <c r="O21" i="5"/>
  <c r="J18" i="5"/>
  <c r="K18" i="5"/>
  <c r="L18" i="5"/>
  <c r="M18" i="5"/>
  <c r="K13" i="5"/>
  <c r="J11" i="5"/>
  <c r="L55" i="5"/>
  <c r="M50" i="5"/>
  <c r="Q49" i="5" a="1"/>
  <c r="Q49" i="5" s="1"/>
  <c r="N45" i="5"/>
  <c r="Q44" i="5" a="1"/>
  <c r="Q44" i="5" s="1"/>
  <c r="J41" i="5"/>
  <c r="M40" i="5"/>
  <c r="Q38" i="5" a="1"/>
  <c r="Q38" i="5" s="1"/>
  <c r="K34" i="5"/>
  <c r="L26" i="5"/>
  <c r="N25" i="5"/>
  <c r="J9" i="5"/>
  <c r="L9" i="5"/>
  <c r="M9" i="5"/>
  <c r="N9" i="5"/>
  <c r="O9" i="5"/>
  <c r="L113" i="5"/>
  <c r="M108" i="5"/>
  <c r="L103" i="5"/>
  <c r="R101" i="5" a="1"/>
  <c r="R101" i="5" s="1"/>
  <c r="L98" i="5"/>
  <c r="Q92" i="5" a="1"/>
  <c r="Q92" i="5" s="1"/>
  <c r="Q87" i="5" a="1"/>
  <c r="Q87" i="5" s="1"/>
  <c r="J84" i="5"/>
  <c r="M83" i="5"/>
  <c r="N73" i="5"/>
  <c r="K69" i="5"/>
  <c r="O68" i="5"/>
  <c r="N64" i="5"/>
  <c r="K60" i="5"/>
  <c r="N59" i="5"/>
  <c r="K55" i="5"/>
  <c r="O54" i="5"/>
  <c r="L50" i="5"/>
  <c r="M45" i="5"/>
  <c r="O44" i="5"/>
  <c r="K40" i="5"/>
  <c r="M39" i="5"/>
  <c r="N33" i="5"/>
  <c r="Q32" i="5" a="1"/>
  <c r="Q32" i="5" s="1"/>
  <c r="J26" i="5"/>
  <c r="M25" i="5"/>
  <c r="O23" i="5"/>
  <c r="O15" i="5"/>
  <c r="Q14" i="5" a="1"/>
  <c r="Q14" i="5" s="1"/>
  <c r="P9" i="5"/>
  <c r="Q9" i="5" a="1"/>
  <c r="Q9" i="5" s="1"/>
  <c r="K113" i="5"/>
  <c r="K108" i="5"/>
  <c r="K103" i="5"/>
  <c r="K98" i="5"/>
  <c r="O97" i="5"/>
  <c r="O87" i="5"/>
  <c r="L83" i="5"/>
  <c r="O82" i="5"/>
  <c r="M73" i="5"/>
  <c r="N68" i="5"/>
  <c r="M64" i="5"/>
  <c r="M59" i="5"/>
  <c r="N54" i="5"/>
  <c r="K50" i="5"/>
  <c r="O49" i="5"/>
  <c r="K45" i="5"/>
  <c r="N44" i="5"/>
  <c r="J40" i="5"/>
  <c r="O38" i="5"/>
  <c r="K25" i="5"/>
  <c r="N23" i="5"/>
  <c r="N15" i="5"/>
  <c r="O14" i="5"/>
  <c r="R6" i="5" a="1"/>
  <c r="R6" i="5" s="1"/>
  <c r="J108" i="5"/>
  <c r="O92" i="5"/>
  <c r="K83" i="5"/>
  <c r="O77" i="5"/>
  <c r="L73" i="5"/>
  <c r="M68" i="5"/>
  <c r="O67" i="5"/>
  <c r="L64" i="5"/>
  <c r="O63" i="5"/>
  <c r="L59" i="5"/>
  <c r="M54" i="5"/>
  <c r="N49" i="5"/>
  <c r="J45" i="5"/>
  <c r="M44" i="5"/>
  <c r="K39" i="5"/>
  <c r="N38" i="5"/>
  <c r="K33" i="5"/>
  <c r="O31" i="5"/>
  <c r="L29" i="5"/>
  <c r="O29" i="5"/>
  <c r="J25" i="5"/>
  <c r="M23" i="5"/>
  <c r="R17" i="5" a="1"/>
  <c r="R17" i="5" s="1"/>
  <c r="M15" i="5"/>
  <c r="N14" i="5"/>
  <c r="O72" i="5"/>
  <c r="K68" i="5"/>
  <c r="M49" i="5"/>
  <c r="J33" i="5"/>
  <c r="O22" i="5"/>
  <c r="K15" i="5"/>
  <c r="J10" i="5"/>
  <c r="K10" i="5"/>
  <c r="L10" i="5"/>
  <c r="M10" i="5"/>
  <c r="O7" i="5"/>
  <c r="Q6" i="5" a="1"/>
  <c r="Q6" i="5" s="1"/>
  <c r="Q2" i="5" a="1"/>
  <c r="Q2" i="5" s="1"/>
  <c r="L3" i="5"/>
  <c r="P2" i="5"/>
  <c r="K3" i="5"/>
  <c r="J3" i="5"/>
  <c r="Q5" i="5" a="1"/>
  <c r="Q5" i="5" s="1"/>
  <c r="R20" i="5" a="1"/>
  <c r="R20" i="5" s="1"/>
  <c r="R16" i="5" a="1"/>
  <c r="R16" i="5" s="1"/>
  <c r="R12" i="5" a="1"/>
  <c r="R12" i="5" s="1"/>
  <c r="R8" i="5" a="1"/>
  <c r="R8" i="5" s="1"/>
  <c r="O5" i="5"/>
  <c r="R4" i="5" a="1"/>
  <c r="R4" i="5" s="1"/>
  <c r="N5" i="5"/>
  <c r="Q20" i="5" a="1"/>
  <c r="Q20" i="5" s="1"/>
  <c r="Q8" i="5" a="1"/>
  <c r="Q8" i="5" s="1"/>
  <c r="M5" i="5"/>
  <c r="Q4" i="5" a="1"/>
  <c r="Q4" i="5" s="1"/>
  <c r="L5" i="5"/>
  <c r="Q3" i="5" a="1"/>
  <c r="Q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<sst xmlns="http://schemas.openxmlformats.org/spreadsheetml/2006/main" count="14697" uniqueCount="3981">
  <si>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</si>
  <si>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</si>
  <si>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</si>
  <si>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</si>
  <si>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</si>
  <si>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</si>
  <si>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</si>
  <si>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</si>
  <si>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</si>
  <si>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</si>
  <si>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</si>
  <si>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</si>
  <si>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</si>
  <si>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</si>
  <si>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</si>
  <si>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</si>
  <si>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</si>
  <si>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</si>
  <si>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</si>
  <si>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</si>
  <si>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</si>
  <si>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</si>
  <si>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</si>
  <si>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</si>
  <si>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</si>
  <si>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</si>
  <si>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</si>
  <si>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</si>
  <si>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</si>
  <si>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</si>
  <si>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</si>
  <si>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</si>
  <si>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</si>
  <si>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</si>
  <si>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</si>
  <si>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</si>
  <si>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</si>
  <si>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</si>
  <si>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</si>
  <si>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</si>
  <si>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</si>
  <si>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</si>
  <si>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</si>
  <si>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</si>
  <si>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</si>
  <si>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</si>
  <si>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</si>
  <si>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</si>
  <si>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</si>
  <si>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</si>
  <si>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</si>
  <si>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</si>
  <si>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</si>
  <si>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</si>
  <si>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</si>
  <si>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</si>
  <si>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</si>
  <si>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</si>
  <si>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</si>
  <si>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</si>
  <si>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</si>
  <si>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</si>
  <si>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</si>
  <si>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</si>
  <si>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</si>
  <si>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</si>
  <si>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</si>
  <si>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</si>
  <si>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</si>
  <si>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</si>
  <si>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</si>
  <si>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</si>
  <si>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</si>
  <si>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</si>
  <si>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</si>
  <si>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</si>
  <si>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</si>
  <si>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</si>
  <si>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</si>
  <si>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</si>
  <si>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</si>
  <si>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</si>
  <si>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</si>
  <si>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</si>
  <si>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</si>
  <si>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</si>
  <si>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</si>
  <si>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</si>
  <si>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</si>
  <si>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</si>
  <si>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</si>
  <si>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</si>
  <si>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</si>
  <si>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</si>
  <si>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</si>
  <si>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</si>
  <si>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</si>
  <si>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</si>
  <si>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</si>
  <si>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</si>
  <si>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</si>
  <si>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</si>
  <si>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</si>
  <si>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</si>
  <si>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</si>
  <si>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</si>
  <si>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</si>
  <si>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</si>
  <si>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</si>
  <si>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</si>
  <si>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</si>
  <si>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</si>
  <si>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</si>
  <si>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</si>
  <si>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</si>
  <si>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</si>
  <si>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</si>
  <si>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</si>
  <si>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</si>
  <si>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</si>
  <si>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</si>
  <si>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</si>
  <si>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</si>
  <si>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</si>
  <si>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</si>
  <si>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</si>
  <si>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</si>
  <si>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</si>
  <si>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</si>
  <si>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</si>
  <si>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</si>
  <si>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</si>
  <si>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</si>
  <si>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</si>
  <si>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</si>
  <si>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</si>
  <si>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</si>
  <si>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</si>
  <si>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</si>
  <si>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</si>
  <si>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</si>
  <si>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</si>
  <si>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</si>
  <si>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</si>
  <si>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</si>
  <si>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</si>
  <si>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</si>
  <si>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</si>
  <si>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</si>
  <si>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</si>
  <si>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</si>
  <si>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</si>
  <si>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</si>
  <si>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</si>
  <si>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</si>
  <si>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</si>
  <si>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</si>
  <si>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</si>
  <si>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</si>
  <si>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</si>
  <si>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</si>
  <si>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</si>
  <si>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</si>
  <si>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</si>
  <si>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</si>
  <si>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</si>
  <si>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</si>
  <si>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</si>
  <si>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</si>
  <si>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</si>
  <si>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</si>
  <si>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</si>
  <si>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</si>
  <si>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</si>
  <si>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</si>
  <si>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</si>
  <si>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</si>
  <si>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</si>
  <si>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</si>
  <si>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</si>
  <si>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</si>
  <si>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</si>
  <si>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</si>
  <si>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</si>
  <si>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</si>
  <si>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</si>
  <si>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</si>
  <si>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</si>
  <si>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</si>
  <si>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</si>
  <si>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</si>
  <si>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</si>
  <si>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</si>
  <si>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</si>
  <si>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</si>
  <si>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</si>
  <si>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</si>
  <si>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</si>
  <si>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</si>
  <si>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</si>
  <si>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</si>
  <si>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</si>
  <si>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</si>
  <si>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</si>
  <si>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</si>
  <si>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</si>
  <si>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</si>
  <si>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</si>
  <si>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</si>
  <si>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</si>
  <si>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</si>
  <si>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</si>
  <si>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</si>
  <si>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</si>
  <si>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</si>
  <si>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</si>
  <si>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</si>
  <si>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</si>
  <si>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</si>
  <si>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</si>
  <si>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</si>
  <si>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</si>
  <si>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</si>
  <si>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</si>
  <si>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</si>
  <si>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</si>
  <si>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</si>
  <si>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</si>
  <si>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</si>
  <si>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</si>
  <si>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</si>
  <si>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</si>
  <si>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</si>
  <si>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</si>
  <si>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</si>
  <si>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</si>
  <si>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</si>
  <si>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</si>
  <si>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</si>
  <si>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</si>
  <si>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</si>
  <si>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</si>
  <si>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</si>
  <si>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</si>
  <si>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</si>
  <si>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</si>
  <si>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</si>
  <si>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</si>
  <si>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</si>
  <si>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</si>
  <si>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</si>
  <si>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</si>
  <si>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</si>
  <si>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</si>
  <si>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</si>
  <si>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</si>
  <si>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</si>
  <si>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</si>
  <si>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</si>
  <si>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</si>
  <si>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</si>
  <si>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</si>
  <si>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</si>
  <si>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</si>
  <si>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</si>
  <si>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</si>
  <si>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</si>
  <si>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</si>
  <si>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</si>
  <si>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</si>
  <si>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</si>
  <si>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</si>
  <si>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</si>
  <si>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</si>
  <si>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</si>
  <si>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</si>
  <si>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</si>
  <si>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</si>
  <si>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</si>
  <si>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</si>
  <si>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</si>
  <si>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</si>
  <si>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</si>
  <si>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</si>
  <si>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</si>
  <si>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</si>
  <si>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</si>
  <si>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</si>
  <si>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</si>
  <si>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</si>
  <si>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</si>
  <si>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</si>
  <si>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</si>
  <si>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</si>
  <si>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</si>
  <si>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</si>
  <si>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</si>
  <si>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</si>
  <si>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</si>
  <si>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</si>
  <si>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</si>
  <si>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</si>
  <si>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</si>
  <si>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</si>
  <si>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</si>
  <si>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</si>
  <si>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</si>
  <si>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</si>
  <si>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</si>
  <si>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</si>
  <si>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</si>
  <si>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</si>
  <si>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</si>
  <si>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</si>
  <si>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</si>
  <si>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</si>
  <si>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</si>
  <si>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</si>
  <si>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</si>
  <si>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</si>
  <si>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</si>
  <si>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</si>
  <si>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</si>
  <si>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</si>
  <si>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</si>
  <si>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</si>
  <si>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</si>
  <si>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</si>
  <si>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</si>
  <si>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</si>
  <si>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</si>
  <si>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</si>
  <si>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</si>
  <si>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</si>
  <si>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</si>
  <si>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</si>
  <si>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</si>
  <si>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</si>
  <si>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</si>
  <si>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</si>
  <si>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</si>
  <si>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</si>
  <si>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</si>
  <si>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</si>
  <si>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</si>
  <si>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</si>
  <si>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</si>
  <si>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</si>
  <si>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</si>
  <si>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</si>
  <si>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</si>
  <si>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</si>
  <si>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</si>
  <si>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</si>
  <si>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</si>
  <si>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</si>
  <si>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</si>
  <si>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</si>
  <si>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</si>
  <si>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</si>
  <si>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</si>
  <si>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</si>
  <si>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</si>
  <si>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</si>
  <si>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</si>
  <si>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</si>
  <si>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</si>
  <si>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</si>
  <si>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</si>
  <si>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</si>
  <si>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</si>
  <si>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</si>
  <si>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</si>
  <si>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</si>
  <si>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</si>
  <si>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</si>
  <si>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</si>
  <si>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</si>
  <si>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</si>
  <si>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</si>
  <si>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</si>
  <si>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</si>
  <si>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</si>
  <si>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</si>
  <si>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</si>
  <si>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</si>
  <si>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</si>
  <si>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</si>
  <si>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</si>
  <si>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</si>
  <si>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</si>
  <si>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</si>
  <si>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</si>
  <si>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</si>
  <si>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</si>
  <si>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</si>
  <si>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</si>
  <si>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</si>
  <si>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</si>
  <si>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</si>
  <si>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</si>
  <si>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</si>
  <si>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</si>
  <si>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</si>
  <si>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</si>
  <si>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</si>
  <si>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</si>
  <si>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</si>
  <si>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</si>
  <si>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</si>
  <si>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</si>
  <si>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</si>
  <si>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</si>
  <si>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</si>
  <si>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</si>
  <si>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</si>
  <si>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</si>
  <si>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</si>
  <si>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</si>
  <si>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</si>
  <si>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</si>
  <si>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</si>
  <si>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</si>
  <si>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</si>
  <si>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</si>
  <si>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</si>
  <si>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</si>
  <si>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</si>
  <si>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</si>
  <si>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</si>
  <si>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</si>
  <si>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</si>
  <si>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</si>
  <si>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</si>
  <si>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</si>
  <si>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</si>
  <si>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</si>
  <si>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</si>
  <si>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</si>
  <si>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</si>
  <si>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</si>
  <si>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</si>
  <si>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</si>
  <si>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</si>
  <si>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</si>
  <si>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</si>
  <si>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</si>
  <si>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</si>
  <si>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</si>
  <si>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</si>
  <si>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</si>
  <si>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</si>
  <si>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</si>
  <si>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</si>
  <si>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</si>
  <si>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</si>
  <si>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</si>
  <si>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</si>
  <si>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</si>
  <si>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</si>
  <si>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</si>
  <si>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</si>
  <si>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</si>
  <si>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</si>
  <si>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</si>
  <si>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</si>
  <si>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</si>
  <si>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</si>
  <si>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</si>
  <si>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</si>
  <si>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</si>
  <si>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</si>
  <si>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</si>
  <si>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</si>
  <si>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</si>
  <si>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</si>
  <si>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</si>
  <si>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</si>
  <si>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</si>
  <si>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</si>
  <si>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</si>
  <si>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</si>
  <si>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</si>
  <si>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</si>
  <si>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</si>
  <si>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</si>
  <si>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</si>
  <si>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</si>
  <si>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</si>
  <si>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</si>
  <si>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</si>
  <si>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</si>
  <si>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</si>
  <si>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</si>
  <si>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</si>
  <si>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</si>
  <si>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</si>
  <si>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</si>
  <si>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</si>
  <si>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</si>
  <si>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</si>
  <si>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</si>
  <si>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</si>
  <si>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</si>
  <si>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</si>
  <si>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</si>
  <si>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</si>
  <si>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</si>
  <si>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</si>
  <si>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</si>
  <si>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</si>
  <si>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</si>
  <si>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</si>
  <si>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</si>
  <si>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</si>
  <si>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</si>
  <si>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</si>
  <si>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</si>
  <si>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</si>
  <si>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</si>
  <si>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</si>
  <si>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</si>
  <si>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</si>
  <si>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</si>
  <si>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</si>
  <si>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</si>
  <si>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</si>
  <si>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</si>
  <si>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</si>
  <si>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</si>
  <si>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</si>
  <si>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</si>
  <si>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</si>
  <si>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</si>
  <si>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</si>
  <si>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</si>
  <si>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</si>
  <si>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</si>
  <si>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</si>
  <si>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</si>
  <si>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</si>
  <si>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</si>
  <si>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</si>
  <si>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</si>
  <si>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</si>
  <si>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</si>
  <si>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</si>
  <si>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</si>
  <si>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</si>
  <si>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</si>
  <si>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</si>
  <si>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</si>
  <si>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</si>
  <si>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</si>
  <si>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</si>
  <si>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</si>
  <si>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</si>
  <si>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</si>
  <si>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</si>
  <si>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</si>
  <si>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</si>
  <si>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</si>
  <si>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</si>
  <si>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</si>
  <si>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</si>
  <si>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</si>
  <si>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</si>
  <si>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</si>
  <si>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</si>
  <si>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</si>
  <si>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</si>
  <si>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</si>
  <si>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</si>
  <si>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</si>
  <si>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</si>
  <si>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</si>
  <si>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</si>
  <si>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</si>
  <si>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</si>
  <si>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</si>
  <si>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</si>
  <si>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</si>
  <si>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</si>
  <si>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</si>
  <si>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</si>
  <si>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</si>
  <si>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</si>
  <si>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</si>
  <si>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</si>
  <si>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</si>
  <si>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</si>
  <si>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</si>
  <si>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</si>
  <si>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</si>
  <si>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</si>
  <si>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</si>
  <si>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</si>
  <si>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</si>
  <si>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</si>
  <si>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</si>
  <si>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</si>
  <si>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</si>
  <si>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</si>
  <si>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</si>
  <si>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</si>
  <si>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</si>
  <si>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</si>
  <si>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</si>
  <si>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</si>
  <si>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</si>
  <si>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</si>
  <si>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</si>
  <si>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</si>
  <si>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</si>
  <si>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</si>
  <si>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</si>
  <si>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</si>
  <si>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</si>
  <si>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</si>
  <si>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</si>
  <si>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</si>
  <si>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</si>
  <si>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</si>
  <si>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</si>
  <si>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</si>
  <si>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</si>
  <si>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</si>
  <si>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</si>
  <si>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</si>
  <si>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</si>
  <si>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</si>
  <si>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</si>
  <si>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</si>
  <si>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</si>
  <si>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</si>
  <si>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</si>
  <si>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</si>
  <si>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</si>
  <si>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</si>
  <si>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</si>
  <si>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</si>
  <si>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</si>
  <si>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</si>
  <si>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</si>
  <si>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</si>
  <si>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</si>
  <si>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</si>
  <si>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</si>
  <si>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</si>
  <si>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</si>
  <si>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</si>
  <si>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</si>
  <si>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</si>
  <si>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</si>
  <si>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</si>
  <si>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</si>
  <si>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</si>
  <si>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</si>
  <si>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</si>
  <si>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</si>
  <si>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</si>
  <si>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</si>
  <si>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</si>
  <si>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</si>
  <si>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</si>
  <si>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</si>
  <si>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</si>
  <si>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</si>
  <si>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</si>
  <si>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</si>
  <si>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</si>
  <si>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</si>
  <si>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</si>
  <si>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</si>
  <si>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</si>
  <si>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</si>
  <si>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</si>
  <si>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</si>
  <si>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</si>
  <si>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</si>
  <si>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</si>
  <si>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</si>
  <si>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</si>
  <si>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</si>
  <si>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</si>
  <si>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</si>
  <si>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</si>
  <si>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</si>
  <si>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</si>
  <si>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</si>
  <si>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</si>
  <si>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</si>
  <si>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</si>
  <si>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</si>
  <si>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</si>
  <si>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</si>
  <si>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</si>
  <si>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</si>
  <si>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</si>
  <si>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</si>
  <si>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</si>
  <si>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</si>
  <si>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</si>
  <si>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</si>
  <si>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</si>
  <si>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</si>
  <si>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</si>
  <si>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</si>
  <si>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</si>
  <si>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</si>
  <si>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</si>
  <si>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</si>
  <si>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</si>
  <si>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</si>
  <si>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</si>
  <si>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</si>
  <si>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</si>
  <si>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</si>
  <si>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</si>
  <si>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</si>
  <si>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</si>
  <si>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</si>
  <si>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</si>
  <si>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</si>
  <si>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</si>
  <si>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</si>
  <si>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</si>
  <si>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</si>
  <si>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</si>
  <si>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</si>
  <si>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</si>
  <si>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</si>
  <si>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</si>
  <si>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</si>
  <si>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</si>
  <si>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</si>
  <si>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</si>
  <si>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</si>
  <si>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</si>
  <si>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</si>
  <si>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</si>
  <si>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</si>
  <si>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</si>
  <si>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</si>
  <si>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</si>
  <si>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</si>
  <si>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</si>
  <si>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</si>
  <si>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</si>
  <si>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</si>
  <si>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</si>
  <si>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</si>
  <si>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</si>
  <si>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</si>
  <si>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</si>
  <si>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</si>
  <si>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</si>
  <si>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</si>
  <si>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</si>
  <si>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</si>
  <si>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</si>
  <si>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</si>
  <si>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</si>
  <si>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</si>
  <si>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</si>
  <si>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</si>
  <si>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</si>
  <si>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</si>
  <si>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</si>
  <si>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</si>
  <si>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</si>
  <si>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</si>
  <si>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</si>
  <si>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</si>
  <si>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</si>
  <si>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</si>
  <si>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</si>
  <si>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</si>
  <si>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</si>
  <si>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</si>
  <si>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</si>
  <si>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</si>
  <si>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</si>
  <si>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</si>
  <si>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</si>
  <si>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</si>
  <si>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</si>
  <si>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</si>
  <si>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</si>
  <si>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</si>
  <si>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</si>
  <si>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</si>
  <si>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</si>
  <si>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</si>
  <si>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</si>
  <si>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</si>
  <si>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</si>
  <si>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</si>
  <si>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</si>
  <si>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</si>
  <si>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</si>
  <si>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</si>
  <si>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</si>
  <si>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</si>
  <si>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</si>
  <si>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</si>
  <si>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</si>
  <si>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</si>
  <si>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</si>
  <si>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</si>
  <si>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</si>
  <si>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</si>
  <si>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</si>
  <si>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</si>
  <si>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</si>
  <si>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</si>
  <si>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</si>
  <si>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</si>
  <si>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</si>
  <si>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</si>
  <si>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</si>
  <si>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</si>
  <si>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</si>
  <si>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</si>
  <si>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</si>
  <si>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</si>
  <si>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</si>
  <si>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</si>
  <si>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</si>
  <si>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</si>
  <si>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</si>
  <si>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</si>
  <si>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</si>
  <si>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</si>
  <si>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</si>
  <si>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</si>
  <si>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</si>
  <si>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</si>
  <si>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</si>
  <si>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</si>
  <si>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</si>
  <si>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</si>
  <si>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</si>
  <si>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</si>
  <si>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</si>
  <si>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</si>
  <si>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</si>
  <si>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</si>
  <si>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</si>
  <si>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</si>
  <si>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</si>
  <si>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</si>
  <si>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</si>
  <si>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</si>
  <si>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</si>
  <si>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</si>
  <si>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</si>
  <si>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</si>
  <si>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</si>
  <si>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</si>
  <si>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</si>
  <si>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</si>
  <si>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</si>
  <si>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</si>
  <si>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</si>
  <si>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</si>
  <si>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</si>
  <si>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</si>
  <si>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</si>
  <si>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</si>
  <si>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</si>
  <si>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</si>
  <si>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</si>
  <si>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</si>
  <si>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</si>
  <si>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</si>
  <si>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</si>
  <si>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</si>
  <si>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</si>
  <si>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</si>
  <si>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</si>
  <si>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</si>
  <si>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</si>
  <si>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</si>
  <si>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</si>
  <si>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</si>
  <si>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</si>
  <si>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</si>
  <si>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</si>
  <si>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</si>
  <si>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</si>
  <si>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</si>
  <si>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</si>
  <si>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</si>
  <si>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</si>
  <si>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</si>
  <si>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</si>
  <si>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</si>
  <si>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</si>
  <si>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</si>
  <si>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</si>
  <si>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</si>
  <si>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</si>
  <si>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</si>
  <si>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</si>
  <si>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</si>
  <si>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</si>
  <si>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</si>
  <si>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</si>
  <si>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</si>
  <si>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</si>
  <si>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</si>
  <si>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</si>
  <si>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</si>
  <si>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</si>
  <si>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</si>
  <si>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</si>
  <si>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</si>
  <si>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</si>
  <si>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</si>
  <si>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</si>
  <si>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</si>
  <si>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</si>
  <si>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</si>
  <si>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</si>
  <si>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</si>
  <si>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</si>
  <si>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</si>
  <si>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</si>
  <si>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</si>
  <si>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</si>
  <si>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</si>
  <si>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</si>
  <si>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</si>
  <si>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</si>
  <si>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</si>
  <si>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</si>
  <si>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</si>
  <si>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</si>
  <si>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</si>
  <si>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</si>
  <si>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</si>
  <si>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</si>
  <si>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</si>
  <si>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</si>
  <si>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</si>
  <si>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</si>
  <si>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</si>
  <si>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</si>
  <si>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</si>
  <si>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</si>
  <si>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</si>
  <si>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</si>
  <si>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</si>
  <si>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</si>
  <si>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</si>
  <si>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</si>
  <si>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</si>
  <si>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</si>
  <si>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</si>
  <si>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</si>
  <si>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</si>
  <si>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</si>
  <si>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</si>
  <si>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</si>
  <si>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</si>
  <si>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</si>
  <si>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</si>
  <si>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</si>
  <si>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</si>
  <si>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</si>
  <si>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</si>
  <si>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</si>
  <si>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</si>
  <si>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</si>
  <si>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</si>
  <si>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</si>
  <si>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</si>
  <si>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</si>
  <si>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</si>
  <si>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</si>
  <si>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</si>
  <si>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</si>
  <si>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</si>
  <si>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</si>
  <si>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</si>
  <si>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</si>
  <si>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</si>
  <si>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</si>
  <si>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</si>
  <si>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</si>
  <si>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</si>
  <si>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</si>
  <si>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</si>
  <si>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</si>
  <si>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</si>
  <si>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</si>
  <si>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</si>
  <si>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</si>
  <si>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</si>
  <si>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</si>
  <si>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</si>
  <si>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</si>
  <si>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</si>
  <si>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</si>
  <si>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</si>
  <si>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</si>
  <si>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</si>
  <si>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</si>
  <si>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</si>
  <si>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</si>
  <si>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</si>
  <si>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</si>
  <si>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</si>
  <si>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</si>
  <si>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</si>
  <si>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</si>
  <si>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</si>
  <si>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</si>
  <si>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</si>
  <si>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</si>
  <si>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</si>
  <si>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</si>
  <si>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</si>
  <si>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</si>
  <si>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</si>
  <si>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</si>
  <si>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</si>
  <si>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</si>
  <si>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</si>
  <si>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</si>
  <si>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</si>
  <si>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</si>
  <si>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</si>
  <si>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</si>
  <si>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</si>
  <si>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</si>
  <si>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</si>
  <si>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</si>
  <si>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</si>
  <si>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</si>
  <si>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</si>
  <si>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</si>
  <si>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</si>
  <si>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</si>
  <si>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</si>
  <si>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</si>
  <si>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</si>
  <si>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</si>
  <si>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</si>
  <si>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</si>
  <si>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</si>
  <si>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</si>
  <si>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</si>
  <si>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</si>
  <si>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</si>
  <si>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</si>
  <si>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</si>
  <si>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</si>
  <si>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</si>
  <si>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</si>
  <si>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</si>
  <si>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</si>
  <si>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</si>
  <si>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</si>
  <si>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</si>
  <si>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</si>
  <si>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</si>
  <si>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</si>
  <si>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</si>
  <si>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</si>
  <si>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</si>
  <si>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</si>
  <si>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</si>
  <si>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</si>
  <si>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</si>
  <si>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</si>
  <si>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</si>
  <si>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</si>
  <si>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</si>
  <si>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</si>
  <si>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</si>
  <si>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</si>
  <si>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</si>
  <si>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</si>
  <si>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</si>
  <si>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</si>
  <si>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</si>
  <si>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</si>
  <si>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</si>
  <si>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</si>
  <si>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</si>
  <si>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</si>
  <si>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</si>
  <si>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</si>
  <si>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</si>
  <si>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</si>
  <si>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</si>
  <si>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</si>
  <si>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</si>
  <si>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</si>
  <si>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</si>
  <si>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</si>
  <si>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</si>
  <si>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</si>
  <si>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</si>
  <si>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</si>
  <si>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</si>
  <si>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</si>
  <si>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</si>
  <si>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</si>
  <si>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</si>
  <si>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</si>
  <si>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</si>
  <si>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</si>
  <si>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</si>
  <si>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</si>
  <si>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</si>
  <si>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</si>
  <si>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</si>
  <si>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</si>
  <si>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</si>
  <si>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</si>
  <si>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</si>
  <si>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</si>
  <si>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</si>
  <si>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</si>
  <si>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</si>
  <si>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</si>
  <si>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</si>
  <si>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</si>
  <si>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</si>
  <si>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</si>
  <si>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</si>
  <si>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</si>
  <si>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</si>
  <si>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</si>
  <si>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</si>
  <si>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</si>
  <si>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</si>
  <si>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</si>
  <si>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</si>
  <si>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</si>
  <si>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</si>
  <si>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</si>
  <si>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</si>
  <si>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</si>
  <si>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</si>
  <si>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</si>
  <si>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</si>
  <si>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</si>
  <si>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</si>
  <si>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</si>
  <si>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</si>
  <si>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</si>
  <si>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</si>
  <si>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</si>
  <si>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</si>
  <si>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</si>
  <si>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</si>
  <si>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</si>
  <si>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</si>
  <si>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</si>
  <si>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</si>
  <si>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</si>
  <si>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</si>
  <si>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</si>
  <si>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</si>
  <si>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</si>
  <si>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</si>
  <si>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</si>
  <si>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</si>
  <si>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</si>
  <si>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</si>
  <si>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</si>
  <si>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</si>
  <si>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</si>
  <si>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</si>
  <si>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</si>
  <si>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</si>
  <si>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</si>
  <si>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</si>
  <si>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</si>
  <si>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</si>
  <si>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</si>
  <si>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</si>
  <si>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</si>
  <si>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</si>
  <si>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</si>
  <si>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</si>
  <si>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</si>
  <si>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</si>
  <si>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</si>
  <si>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</si>
  <si>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</si>
  <si>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</si>
  <si>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</si>
  <si>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</si>
  <si>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</si>
  <si>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</si>
  <si>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</si>
  <si>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</si>
  <si>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</si>
  <si>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</si>
  <si>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</si>
  <si>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</si>
  <si>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</si>
  <si>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</si>
  <si>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</si>
  <si>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</si>
  <si>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</si>
  <si>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</si>
  <si>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</si>
  <si>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</si>
  <si>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</si>
  <si>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</si>
  <si>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</si>
  <si>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</si>
  <si>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</si>
  <si>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</si>
  <si>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</si>
  <si>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</si>
  <si>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</si>
  <si>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</si>
  <si>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</si>
  <si>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</si>
  <si>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</si>
  <si>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</si>
  <si>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</si>
  <si>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</si>
  <si>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</si>
  <si>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</si>
  <si>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</si>
  <si>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</si>
  <si>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</si>
  <si>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</si>
  <si>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</si>
  <si>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</si>
  <si>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</si>
  <si>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</si>
  <si>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</si>
  <si>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</si>
  <si>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</si>
  <si>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</si>
  <si>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</si>
  <si>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</si>
  <si>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</si>
  <si>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</si>
  <si>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</si>
  <si>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</si>
  <si>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</si>
  <si>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</si>
  <si>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</si>
  <si>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</si>
  <si>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</si>
  <si>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</si>
  <si>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</si>
  <si>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</si>
  <si>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</si>
  <si>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</si>
  <si>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</si>
  <si>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</si>
  <si>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</si>
  <si>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</si>
  <si>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</si>
  <si>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</si>
  <si>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</si>
  <si>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</si>
  <si>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</si>
  <si>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</si>
  <si>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</si>
  <si>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</si>
  <si>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</si>
  <si>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</si>
  <si>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</si>
  <si>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</si>
  <si>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</si>
  <si>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</si>
  <si>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</si>
  <si>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</si>
  <si>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</si>
  <si>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</si>
  <si>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</si>
  <si>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</si>
  <si>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</si>
  <si>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</si>
  <si>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</si>
  <si>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</si>
  <si>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</si>
  <si>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</si>
  <si>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</si>
  <si>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</si>
  <si>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</si>
  <si>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</si>
  <si>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</si>
  <si>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</si>
  <si>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</si>
  <si>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</si>
  <si>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</si>
  <si>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</si>
  <si>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</si>
  <si>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</si>
  <si>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</si>
  <si>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</si>
  <si>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</si>
  <si>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</si>
  <si>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</si>
  <si>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</si>
  <si>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</si>
  <si>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</si>
  <si>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</si>
  <si>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</si>
  <si>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</si>
  <si>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</si>
  <si>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</si>
  <si>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</si>
  <si>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</si>
  <si>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</si>
  <si>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</si>
  <si>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</si>
  <si>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</si>
  <si>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</si>
  <si>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</si>
  <si>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</si>
  <si>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</si>
  <si>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</si>
  <si>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</si>
  <si>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</si>
  <si>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</si>
  <si>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</si>
  <si>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</si>
  <si>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</si>
  <si>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</si>
  <si>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</si>
  <si>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</si>
  <si>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</si>
  <si>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</si>
  <si>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</si>
  <si>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</si>
  <si>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</si>
  <si>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</si>
  <si>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</si>
  <si>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</si>
  <si>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</si>
  <si>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</si>
  <si>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</si>
  <si>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</si>
  <si>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</si>
  <si>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</si>
  <si>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</si>
  <si>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</si>
  <si>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</si>
  <si>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</si>
  <si>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</si>
  <si>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</si>
  <si>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</si>
  <si>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</si>
  <si>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</si>
  <si>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</si>
  <si>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</si>
  <si>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</si>
  <si>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</si>
  <si>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</si>
  <si>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</si>
  <si>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</si>
  <si>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</si>
  <si>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</si>
  <si>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</si>
  <si>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</si>
  <si>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</si>
  <si>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</si>
  <si>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</si>
  <si>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</si>
  <si>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</si>
  <si>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</si>
  <si>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</si>
  <si>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</si>
  <si>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</si>
  <si>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</si>
  <si>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</si>
  <si>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</si>
  <si>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</si>
  <si>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</si>
  <si>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</si>
  <si>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</si>
  <si>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</si>
  <si>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</si>
  <si>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</si>
  <si>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</si>
  <si>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</si>
  <si>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</si>
  <si>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</si>
  <si>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</si>
  <si>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</si>
  <si>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</si>
  <si>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</si>
  <si>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</si>
  <si>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</si>
  <si>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</si>
  <si>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</si>
  <si>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</si>
  <si>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</si>
  <si>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</si>
  <si>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</si>
  <si>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</si>
  <si>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</si>
  <si>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</si>
  <si>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</si>
  <si>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</si>
  <si>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</si>
  <si>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</si>
  <si>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</si>
  <si>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</si>
  <si>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</si>
  <si>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</si>
  <si>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</si>
  <si>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</si>
  <si>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</si>
  <si>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</si>
  <si>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</si>
  <si>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</si>
  <si>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</si>
  <si>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</si>
  <si>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</si>
  <si>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</si>
  <si>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</si>
  <si>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</si>
  <si>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</si>
  <si>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</si>
  <si>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</si>
  <si>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</si>
  <si>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</si>
  <si>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</si>
  <si>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</si>
  <si>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</si>
  <si>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</si>
  <si>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</si>
  <si>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</si>
  <si>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</si>
  <si>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</si>
  <si>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</si>
  <si>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</si>
  <si>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</si>
  <si>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</si>
  <si>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</si>
  <si>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</si>
  <si>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</si>
  <si>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</si>
  <si>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</si>
  <si>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</si>
  <si>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</si>
  <si>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</si>
  <si>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</si>
  <si>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</si>
  <si>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</si>
  <si>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</si>
  <si>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</si>
  <si>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</si>
  <si>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</si>
  <si>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</si>
  <si>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</si>
  <si>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</si>
  <si>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</si>
  <si>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</si>
  <si>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</si>
  <si>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</si>
  <si>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</si>
  <si>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</si>
  <si>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</si>
  <si>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</si>
  <si>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</si>
  <si>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</si>
  <si>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</si>
  <si>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</si>
  <si>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</si>
  <si>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</si>
  <si>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</si>
  <si>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</si>
  <si>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</si>
  <si>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</si>
  <si>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</si>
  <si>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</si>
  <si>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</si>
  <si>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</si>
  <si>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</si>
  <si>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</si>
  <si>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</si>
  <si>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</si>
  <si>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</si>
  <si>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</si>
  <si>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</si>
  <si>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</si>
  <si>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</si>
  <si>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</si>
  <si>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</si>
  <si>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</si>
  <si>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</si>
  <si>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</si>
  <si>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</si>
  <si>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</si>
  <si>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</si>
  <si>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</si>
  <si>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</si>
  <si>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</si>
  <si>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</si>
  <si>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</si>
  <si>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</si>
  <si>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</si>
  <si>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</si>
  <si>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</si>
  <si>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</si>
  <si>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</si>
  <si>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</si>
  <si>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</si>
  <si>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</si>
  <si>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</si>
  <si>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</si>
  <si>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</si>
  <si>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</si>
  <si>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</si>
  <si>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</si>
  <si>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</si>
  <si>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</si>
  <si>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</si>
  <si>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</si>
  <si>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</si>
  <si>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</si>
  <si>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</si>
  <si>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</si>
  <si>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</si>
  <si>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</si>
  <si>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</si>
  <si>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</si>
  <si>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</si>
  <si>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</si>
  <si>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</si>
  <si>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</si>
  <si>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</si>
  <si>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</si>
  <si>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</si>
  <si>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</si>
  <si>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</si>
  <si>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</si>
  <si>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</si>
  <si>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</si>
  <si>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</si>
  <si>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</si>
  <si>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</si>
  <si>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</si>
  <si>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</si>
  <si>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</si>
  <si>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</si>
  <si>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</si>
  <si>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</si>
  <si>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</si>
  <si>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</si>
  <si>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</si>
  <si>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</si>
  <si>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</si>
  <si>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</si>
  <si>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</si>
  <si>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</si>
  <si>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</si>
  <si>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</si>
  <si>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</si>
  <si>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</si>
  <si>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</si>
  <si>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</si>
  <si>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</si>
  <si>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</si>
  <si>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</si>
  <si>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</si>
  <si>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</si>
  <si>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</si>
  <si>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</si>
  <si>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</si>
  <si>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</si>
  <si>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</si>
  <si>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</si>
  <si>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</si>
  <si>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</si>
  <si>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</si>
  <si>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</si>
  <si>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</si>
  <si>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</si>
  <si>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</si>
  <si>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</si>
  <si>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</si>
  <si>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</si>
  <si>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</si>
  <si>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</si>
  <si>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</si>
  <si>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</si>
  <si>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</si>
  <si>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</si>
  <si>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</si>
  <si>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</si>
  <si>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</si>
  <si>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</si>
  <si>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</si>
  <si>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</si>
  <si>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</si>
  <si>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</si>
  <si>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</si>
  <si>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</si>
  <si>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</si>
  <si>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</si>
  <si>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</si>
  <si>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</si>
  <si>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</si>
  <si>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</si>
  <si>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</si>
  <si>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</si>
  <si>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</si>
  <si>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</si>
  <si>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</si>
  <si>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</si>
  <si>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</si>
  <si>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</si>
  <si>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</si>
  <si>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</si>
  <si>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</si>
  <si>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</si>
  <si>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</si>
  <si>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</si>
  <si>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</si>
  <si>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</si>
  <si>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</si>
  <si>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</si>
  <si>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</si>
  <si>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</si>
  <si>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</si>
  <si>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</si>
  <si>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</si>
  <si>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</si>
  <si>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</si>
  <si>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</si>
  <si>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</si>
  <si>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</si>
  <si>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</si>
  <si>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</si>
  <si>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</si>
  <si>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</si>
  <si>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</si>
  <si>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</si>
  <si>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</si>
  <si>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</si>
  <si>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</si>
  <si>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</si>
  <si>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</si>
  <si>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</si>
  <si>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</si>
  <si>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</si>
  <si>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</si>
  <si>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</si>
  <si>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</si>
  <si>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</si>
  <si>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</si>
  <si>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</si>
  <si>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</si>
  <si>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</si>
  <si>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</si>
  <si>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</si>
  <si>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</si>
  <si>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</si>
  <si>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</si>
  <si>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</si>
  <si>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</si>
  <si>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</si>
  <si>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</si>
  <si>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</si>
  <si>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</si>
  <si>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</si>
  <si>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</si>
  <si>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</si>
  <si>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</si>
  <si>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</si>
  <si>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</si>
  <si>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</si>
  <si>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</si>
  <si>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</si>
  <si>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</si>
  <si>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</si>
  <si>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</si>
  <si>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</si>
  <si>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</si>
  <si>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</si>
  <si>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</si>
  <si>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</si>
  <si>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</si>
  <si>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</si>
  <si>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</si>
  <si>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</si>
  <si>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</si>
  <si>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</si>
  <si>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</si>
  <si>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</si>
  <si>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</si>
  <si>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</si>
  <si>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</si>
  <si>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</si>
  <si>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</si>
  <si>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</si>
  <si>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</si>
  <si>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</si>
  <si>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</si>
  <si>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</si>
  <si>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</si>
  <si>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</si>
  <si>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</si>
  <si>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</si>
  <si>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</si>
  <si>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</si>
  <si>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</si>
  <si>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</si>
  <si>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</si>
  <si>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</si>
  <si>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</si>
  <si>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</si>
  <si>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</si>
  <si>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</si>
  <si>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</si>
  <si>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</si>
  <si>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</si>
  <si>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</si>
  <si>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</si>
  <si>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</si>
  <si>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</si>
  <si>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</si>
  <si>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</si>
  <si>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</si>
  <si>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</si>
  <si>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</si>
  <si>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</si>
  <si>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</si>
  <si>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</si>
  <si>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</si>
  <si>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</si>
  <si>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</si>
  <si>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</si>
  <si>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</si>
  <si>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</si>
  <si>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</si>
  <si>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</si>
  <si>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</si>
  <si>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</si>
  <si>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</si>
  <si>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</si>
  <si>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</si>
  <si>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</si>
  <si>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</si>
  <si>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</si>
  <si>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</si>
  <si>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</si>
  <si>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</si>
  <si>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</si>
  <si>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</si>
  <si>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</si>
  <si>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</si>
  <si>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</si>
  <si>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</si>
  <si>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</si>
  <si>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</si>
  <si>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</si>
  <si>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</si>
  <si>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</si>
  <si>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</si>
  <si>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</si>
  <si>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</si>
  <si>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</si>
  <si>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</si>
  <si>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</si>
  <si>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</si>
  <si>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</si>
  <si>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</si>
  <si>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</si>
  <si>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</si>
  <si>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</si>
  <si>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</si>
  <si>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</si>
  <si>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</si>
  <si>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</si>
  <si>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</si>
  <si>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</si>
  <si>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</si>
  <si>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</si>
  <si>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</si>
  <si>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</si>
  <si>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</si>
  <si>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</si>
  <si>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</si>
  <si>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</si>
  <si>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</si>
  <si>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</si>
  <si>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</si>
  <si>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</si>
  <si>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</si>
  <si>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</si>
  <si>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</si>
  <si>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</si>
  <si>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</si>
  <si>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</si>
  <si>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</si>
  <si>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</si>
  <si>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</si>
  <si>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</si>
  <si>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</si>
  <si>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</si>
  <si>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</si>
  <si>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</si>
  <si>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</si>
  <si>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</si>
  <si>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</si>
  <si>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</si>
  <si>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</si>
  <si>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</si>
  <si>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</si>
  <si>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</si>
  <si>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</si>
  <si>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</si>
  <si>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</si>
  <si>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</si>
  <si>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</si>
  <si>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</si>
  <si>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</si>
  <si>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</si>
  <si>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</si>
  <si>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</si>
  <si>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</si>
  <si>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</si>
  <si>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</si>
  <si>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</si>
  <si>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</si>
  <si>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</si>
  <si>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</si>
  <si>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</si>
  <si>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</si>
  <si>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</si>
  <si>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</si>
  <si>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</si>
  <si>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</si>
  <si>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</si>
  <si>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</si>
  <si>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</si>
  <si>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</si>
  <si>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</si>
  <si>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</si>
  <si>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</si>
  <si>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</si>
  <si>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</si>
  <si>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</si>
  <si>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</si>
  <si>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</si>
  <si>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</si>
  <si>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</si>
  <si>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</si>
  <si>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</si>
  <si>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</si>
  <si>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</si>
  <si>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</si>
  <si>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</si>
  <si>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</si>
  <si>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</si>
  <si>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</si>
  <si>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</si>
  <si>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</si>
  <si>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</si>
  <si>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</si>
  <si>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</si>
  <si>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</si>
  <si>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</si>
  <si>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</si>
  <si>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</si>
  <si>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</si>
  <si>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</si>
  <si>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</si>
  <si>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</si>
  <si>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</si>
  <si>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</si>
  <si>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</si>
  <si>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</si>
  <si>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</si>
  <si>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</si>
  <si>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</si>
  <si>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</si>
  <si>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</si>
  <si>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</si>
  <si>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</si>
  <si>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</si>
  <si>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</si>
  <si>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</si>
  <si>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</si>
  <si>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</si>
  <si>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</si>
  <si>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</si>
  <si>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</si>
  <si>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</si>
  <si>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</si>
  <si>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</si>
  <si>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</si>
  <si>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</si>
  <si>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</si>
  <si>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</si>
  <si>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</si>
  <si>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</si>
  <si>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</si>
  <si>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</si>
  <si>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</si>
  <si>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</si>
  <si>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</si>
  <si>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</si>
  <si>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</si>
  <si>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</si>
  <si>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</si>
  <si>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</si>
  <si>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</si>
  <si>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</si>
  <si>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</si>
  <si>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</si>
  <si>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</si>
  <si>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</si>
  <si>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</si>
  <si>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</si>
  <si>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</si>
  <si>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</si>
  <si>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</si>
  <si>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</si>
  <si>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</si>
  <si>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</si>
  <si>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</si>
  <si>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</si>
  <si>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</si>
  <si>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</si>
  <si>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</si>
  <si>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</si>
  <si>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</si>
  <si>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</si>
  <si>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</si>
  <si>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</si>
  <si>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</si>
  <si>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</si>
  <si>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</si>
  <si>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</si>
  <si>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</si>
  <si>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</si>
  <si>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</si>
  <si>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</si>
  <si>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</si>
  <si>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</si>
  <si>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</si>
  <si>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</si>
  <si>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</si>
  <si>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</si>
  <si>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</si>
  <si>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</si>
  <si>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</si>
  <si>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</si>
  <si>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</si>
  <si>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</si>
  <si>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</si>
  <si>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</si>
  <si>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</si>
  <si>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</si>
  <si>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</si>
  <si>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</si>
  <si>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</si>
  <si>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</si>
  <si>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</si>
  <si>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</si>
  <si>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</si>
  <si>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</si>
  <si>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</si>
  <si>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</si>
  <si>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</si>
  <si>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</si>
  <si>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</si>
  <si>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</si>
  <si>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</si>
  <si>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</si>
  <si>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</si>
  <si>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</si>
  <si>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</si>
  <si>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</si>
  <si>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</si>
  <si>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</si>
  <si>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</si>
  <si>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</si>
  <si>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</si>
  <si>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</si>
  <si>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</si>
  <si>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</si>
  <si>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</si>
  <si>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</si>
  <si>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</si>
  <si>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</si>
  <si>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</si>
  <si>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</si>
  <si>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</si>
  <si>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</si>
  <si>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</si>
  <si>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</si>
  <si>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</si>
  <si>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</si>
  <si>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</si>
  <si>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</si>
  <si>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</si>
  <si>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</si>
  <si>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</si>
  <si>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</si>
  <si>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</si>
  <si>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</si>
  <si>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</si>
  <si>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</si>
  <si>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</si>
  <si>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</si>
  <si>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</si>
  <si>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</si>
  <si>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</si>
  <si>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</si>
  <si>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</si>
  <si>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</si>
  <si>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</si>
  <si>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</si>
  <si>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</si>
  <si>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</si>
  <si>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</si>
  <si>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</si>
  <si>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</si>
  <si>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</si>
  <si>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</si>
  <si>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</si>
  <si>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</si>
  <si>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</si>
  <si>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</si>
  <si>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</si>
  <si>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</si>
  <si>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</si>
  <si>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</si>
  <si>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</si>
  <si>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</si>
  <si>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</si>
  <si>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</si>
  <si>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</si>
  <si>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</si>
  <si>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</si>
  <si>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</si>
  <si>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</si>
  <si>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</si>
  <si>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</si>
  <si>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</si>
  <si>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</si>
  <si>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</si>
  <si>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</si>
  <si>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</si>
  <si>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</si>
  <si>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</si>
  <si>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</si>
  <si>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</si>
  <si>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</si>
  <si>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</si>
  <si>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</si>
  <si>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</si>
  <si>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</si>
  <si>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</si>
  <si>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</si>
  <si>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</si>
  <si>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</si>
  <si>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</si>
  <si>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</si>
  <si>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</si>
  <si>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</si>
  <si>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</si>
  <si>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</si>
  <si>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</si>
  <si>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</si>
  <si>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</si>
  <si>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</si>
  <si>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</si>
  <si>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</si>
  <si>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</si>
  <si>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</si>
  <si>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</si>
  <si>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</si>
  <si>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</si>
  <si>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</si>
  <si>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</si>
  <si>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</si>
  <si>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</si>
  <si>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</si>
  <si>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</si>
  <si>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</si>
  <si>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</si>
  <si>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</si>
  <si>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</si>
  <si>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</si>
  <si>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</si>
  <si>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</si>
  <si>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</si>
  <si>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</si>
  <si>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</si>
  <si>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</si>
  <si>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</si>
  <si>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</si>
  <si>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</si>
  <si>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</si>
  <si>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</si>
  <si>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</si>
  <si>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</si>
  <si>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</si>
  <si>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</si>
  <si>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</si>
  <si>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</si>
  <si>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</si>
  <si>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</si>
  <si>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</si>
  <si>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</si>
  <si>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</si>
  <si>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</si>
  <si>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</si>
  <si>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</si>
  <si>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</si>
  <si>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</si>
  <si>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</si>
  <si>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</si>
  <si>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</si>
  <si>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</si>
  <si>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</si>
  <si>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</si>
  <si>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</si>
  <si>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</si>
  <si>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</si>
  <si>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</si>
  <si>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</si>
  <si>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</si>
  <si>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</si>
  <si>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</si>
  <si>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</si>
  <si>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</si>
  <si>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</si>
  <si>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</si>
  <si>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</si>
  <si>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</si>
  <si>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</si>
  <si>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</si>
  <si>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</si>
  <si>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</si>
  <si>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</si>
  <si>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</si>
  <si>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</si>
  <si>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</si>
  <si>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</si>
  <si>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</si>
  <si>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</si>
  <si>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</si>
  <si>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</si>
  <si>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</si>
  <si>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</si>
  <si>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</si>
  <si>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</si>
  <si>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</si>
  <si>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</si>
  <si>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</si>
  <si>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</si>
  <si>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</si>
  <si>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</si>
  <si>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</si>
  <si>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</si>
  <si>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</si>
  <si>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</si>
  <si>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</si>
  <si>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</si>
  <si>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</si>
  <si>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</si>
  <si>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</si>
  <si>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</si>
  <si>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</si>
  <si>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</si>
  <si>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</si>
  <si>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</si>
  <si>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</si>
  <si>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</si>
  <si>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</si>
  <si>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</si>
  <si>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</si>
  <si>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</si>
  <si>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</si>
  <si>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</si>
  <si>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</si>
  <si>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</si>
  <si>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</si>
  <si>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</si>
  <si>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</si>
  <si>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</si>
  <si>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</si>
  <si>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</si>
  <si>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</si>
  <si>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</si>
  <si>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</si>
  <si>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</si>
  <si>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</si>
  <si>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</si>
  <si>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</si>
  <si>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</si>
  <si>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</si>
  <si>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</si>
  <si>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</si>
  <si>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</si>
  <si>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</si>
  <si>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</si>
  <si>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</si>
  <si>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</si>
  <si>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</si>
  <si>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</si>
  <si>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</si>
  <si>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</si>
  <si>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</si>
  <si>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</si>
  <si>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</si>
  <si>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</si>
  <si>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</si>
  <si>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</si>
  <si>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</si>
  <si>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</si>
  <si>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</si>
  <si>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</si>
  <si>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</si>
  <si>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</si>
  <si>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</si>
  <si>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</si>
  <si>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</si>
  <si>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</si>
  <si>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</si>
  <si>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</si>
  <si>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</si>
  <si>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</si>
  <si>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</si>
  <si>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</si>
  <si>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</si>
  <si>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</si>
  <si>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</si>
  <si>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</si>
  <si>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</si>
  <si>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</si>
  <si>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</si>
  <si>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</si>
  <si>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</si>
  <si>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</si>
  <si>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</si>
  <si>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</si>
  <si>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</si>
  <si>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</si>
  <si>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</si>
  <si>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</si>
  <si>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</si>
  <si>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</si>
  <si>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</si>
  <si>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</si>
  <si>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</si>
  <si>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</si>
  <si>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</si>
  <si>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</si>
  <si>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</si>
  <si>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</si>
  <si>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</si>
  <si>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</si>
  <si>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</si>
  <si>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</si>
  <si>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</si>
  <si>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</si>
  <si>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</si>
  <si>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</si>
  <si>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</si>
  <si>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</si>
  <si>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</si>
  <si>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</si>
  <si>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</si>
  <si>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</si>
  <si>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</si>
  <si>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</si>
  <si>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</si>
  <si>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</si>
  <si>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</si>
  <si>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</si>
  <si>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</si>
  <si>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</si>
  <si>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</si>
  <si>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</si>
  <si>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</si>
  <si>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</si>
  <si>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</si>
  <si>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</si>
  <si>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</si>
  <si>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</si>
  <si>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</si>
  <si>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</si>
  <si>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</si>
  <si>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</si>
  <si>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</si>
  <si>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</si>
  <si>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</si>
  <si>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</si>
  <si>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</si>
  <si>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</si>
  <si>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</si>
  <si>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</si>
  <si>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</si>
  <si>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</si>
  <si>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</si>
  <si>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</si>
  <si>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</si>
  <si>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</si>
  <si>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</si>
  <si>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</si>
  <si>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</si>
  <si>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</si>
  <si>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</si>
  <si>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</si>
  <si>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</si>
  <si>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</si>
  <si>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</si>
  <si>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</si>
  <si>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</si>
  <si>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</si>
  <si>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</si>
  <si>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</si>
  <si>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</si>
  <si>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</si>
  <si>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</si>
  <si>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</si>
  <si>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</si>
  <si>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</si>
  <si>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</si>
  <si>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</si>
  <si>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</si>
  <si>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</si>
  <si>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</si>
  <si>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</si>
  <si>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</si>
  <si>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</si>
  <si>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</si>
  <si>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</si>
  <si>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</si>
  <si>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</si>
  <si>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</si>
  <si>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</si>
  <si>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</si>
  <si>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</si>
  <si>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</si>
  <si>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</si>
  <si>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</si>
  <si>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</si>
  <si>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</si>
  <si>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</si>
  <si>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</si>
  <si>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</si>
  <si>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</si>
  <si>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</si>
  <si>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</si>
  <si>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</si>
  <si>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</si>
  <si>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</si>
  <si>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</si>
  <si>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</si>
  <si>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</si>
  <si>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</si>
  <si>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</si>
  <si>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</si>
  <si>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</si>
  <si>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</si>
  <si>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</si>
  <si>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</si>
  <si>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</si>
  <si>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</si>
  <si>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</si>
  <si>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</si>
  <si>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</si>
  <si>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</si>
  <si>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</si>
  <si>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</si>
  <si>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</si>
  <si>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</si>
  <si>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</si>
  <si>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</si>
  <si>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</si>
  <si>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</si>
  <si>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</si>
  <si>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</si>
  <si>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</si>
  <si>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</si>
  <si>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</si>
  <si>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</si>
  <si>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</si>
  <si>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</si>
  <si>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</si>
  <si>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</si>
  <si>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</si>
  <si>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</si>
  <si>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</si>
  <si>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</si>
  <si>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</si>
  <si>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</si>
  <si>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</si>
  <si>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</si>
  <si>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</si>
  <si>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</si>
  <si>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</si>
  <si>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</si>
  <si>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</si>
  <si>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</si>
  <si>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</si>
  <si>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</si>
  <si>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</si>
  <si>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</si>
  <si>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</si>
  <si>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</si>
  <si>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</si>
  <si>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</si>
  <si>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</si>
  <si>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</si>
  <si>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</si>
  <si>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</si>
  <si>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</si>
  <si>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</si>
  <si>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</si>
  <si>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</si>
  <si>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</si>
  <si>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</si>
  <si>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</si>
  <si>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</si>
  <si>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</si>
  <si>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</si>
  <si>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</si>
  <si>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</si>
  <si>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</si>
  <si>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</si>
  <si>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</si>
  <si>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</si>
  <si>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</si>
  <si>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</si>
  <si>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</si>
  <si>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</si>
  <si>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</si>
  <si>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</si>
  <si>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</si>
  <si>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</si>
  <si>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</si>
  <si>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</si>
  <si>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</si>
  <si>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</si>
  <si>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</si>
  <si>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</si>
  <si>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</si>
  <si>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</si>
  <si>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</si>
  <si>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</si>
  <si>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</si>
  <si>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</si>
  <si>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</si>
  <si>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</si>
  <si>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</si>
  <si>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</si>
  <si>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</si>
  <si>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</si>
  <si>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</si>
  <si>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</si>
  <si>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</si>
  <si>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</si>
  <si>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</si>
  <si>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</si>
  <si>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</si>
  <si>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</si>
  <si>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</si>
  <si>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</si>
  <si>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</si>
  <si>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</si>
  <si>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</si>
  <si>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</si>
  <si>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</si>
  <si>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</si>
  <si>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</si>
  <si>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</si>
  <si>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</si>
  <si>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</si>
  <si>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</si>
  <si>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</si>
  <si>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</si>
  <si>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</si>
  <si>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</si>
  <si>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</si>
  <si>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</si>
  <si>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</si>
  <si>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</si>
  <si>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</si>
  <si>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</si>
  <si>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</si>
  <si>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</si>
  <si>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</si>
  <si>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</si>
  <si>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</si>
  <si>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</si>
  <si>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</si>
  <si>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</si>
  <si>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</si>
  <si>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</si>
  <si>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</si>
  <si>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</si>
  <si>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</si>
  <si>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</si>
  <si>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</si>
  <si>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</si>
  <si>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</si>
  <si>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</si>
  <si>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</si>
  <si>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</si>
  <si>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</si>
  <si>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</si>
  <si>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</si>
  <si>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</si>
  <si>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</si>
  <si>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</si>
  <si>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</si>
  <si>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</si>
  <si>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</si>
  <si>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</si>
  <si>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</si>
  <si>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</si>
  <si>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</si>
  <si>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</si>
  <si>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</si>
  <si>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</si>
  <si>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</si>
  <si>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</si>
  <si>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</si>
  <si>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</si>
  <si>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</si>
  <si>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</si>
  <si>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</si>
  <si>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</si>
  <si>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</si>
  <si>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</si>
  <si>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</si>
  <si>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</si>
  <si>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</si>
  <si>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</si>
  <si>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</si>
  <si>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</si>
  <si>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</si>
  <si>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</si>
  <si>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</si>
  <si>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</si>
  <si>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</si>
  <si>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</si>
  <si>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</si>
  <si>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</si>
  <si>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</si>
  <si>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</si>
  <si>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</si>
  <si>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</si>
  <si>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</si>
  <si>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</si>
  <si>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</si>
  <si>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</si>
  <si>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</si>
  <si>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</si>
  <si>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</si>
  <si>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</si>
  <si>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</si>
  <si>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</si>
  <si>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</si>
  <si>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</si>
  <si>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</si>
  <si>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</si>
  <si>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</si>
  <si>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</si>
  <si>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</si>
  <si>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</si>
  <si>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</si>
  <si>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</si>
  <si>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</si>
  <si>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</si>
  <si>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</si>
  <si>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</si>
  <si>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</si>
  <si>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</si>
  <si>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</si>
  <si>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</si>
  <si>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</si>
  <si>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</si>
  <si>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</si>
  <si>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</si>
  <si>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</si>
  <si>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</si>
  <si>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</si>
  <si>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</si>
  <si>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</si>
  <si>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</si>
  <si>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</si>
  <si>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</si>
  <si>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</si>
  <si>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</si>
  <si>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</si>
  <si>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</si>
  <si>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</si>
  <si>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</si>
  <si>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</si>
  <si>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</si>
  <si>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</si>
  <si>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</si>
  <si>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</si>
  <si>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</si>
  <si>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</si>
  <si>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</si>
  <si>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</si>
  <si>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</si>
  <si>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</si>
  <si>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</si>
  <si>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</si>
  <si>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</si>
  <si>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</si>
  <si>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</si>
  <si>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</si>
  <si>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</si>
  <si>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</si>
  <si>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</si>
  <si>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</si>
  <si>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</si>
  <si>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</si>
  <si>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</si>
  <si>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</si>
  <si>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</si>
  <si>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</si>
  <si>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</si>
  <si>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</si>
  <si>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</si>
  <si>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</si>
  <si>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</si>
  <si>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</si>
  <si>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</si>
  <si>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</si>
  <si>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</si>
  <si>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</si>
  <si>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</si>
  <si>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</si>
  <si>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</si>
  <si>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</si>
  <si>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</si>
  <si>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</si>
  <si>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</si>
  <si>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</si>
  <si>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</si>
  <si>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</si>
  <si>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</si>
  <si>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</si>
  <si>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</si>
  <si>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</si>
  <si>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</si>
  <si>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</si>
  <si>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</si>
  <si>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</si>
  <si>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</si>
  <si>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</si>
  <si>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</si>
  <si>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</si>
  <si>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</si>
  <si>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</si>
  <si>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</si>
  <si>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</si>
  <si>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</si>
  <si>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</si>
  <si>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</si>
  <si>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</si>
  <si>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</si>
  <si>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</si>
  <si>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</si>
  <si>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</si>
  <si>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</si>
  <si>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</si>
  <si>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</si>
  <si>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</si>
  <si>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</si>
  <si>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</si>
  <si>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</si>
  <si>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</si>
  <si>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</si>
  <si>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</si>
  <si>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</si>
  <si>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</si>
  <si>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</si>
  <si>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</si>
  <si>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</si>
  <si>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</si>
  <si>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</si>
  <si>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</si>
  <si>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</si>
  <si>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</si>
  <si>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</si>
  <si>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</si>
  <si>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</si>
  <si>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</si>
  <si>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</si>
  <si>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</si>
  <si>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</si>
  <si>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</si>
  <si>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</si>
  <si>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</si>
  <si>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</si>
  <si>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</si>
  <si>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</si>
  <si>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</si>
  <si>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</si>
  <si>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</si>
  <si>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</si>
  <si>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</si>
  <si>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</si>
  <si>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</si>
  <si>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</si>
  <si>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</si>
  <si>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</si>
  <si>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</si>
  <si>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</si>
  <si>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</si>
  <si>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</si>
  <si>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</si>
  <si>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</si>
  <si>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</si>
  <si>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</si>
  <si>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</si>
  <si>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</si>
  <si>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</si>
  <si>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</si>
  <si>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</si>
  <si>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</si>
  <si>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</si>
  <si>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</si>
  <si>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</si>
  <si>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</si>
  <si>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</si>
  <si>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</si>
  <si>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</si>
  <si>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</si>
  <si>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</si>
  <si>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</si>
  <si>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</si>
  <si>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</si>
  <si>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</si>
  <si>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</si>
  <si>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</si>
  <si>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</si>
  <si>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</si>
  <si>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</si>
  <si>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</si>
  <si>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</si>
  <si>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</si>
  <si>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</si>
  <si>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</si>
  <si>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</si>
  <si>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</si>
  <si>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</si>
  <si>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</si>
  <si>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</si>
  <si>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</si>
  <si>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</si>
  <si>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</si>
  <si>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</si>
  <si>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</si>
  <si>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</si>
  <si>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</si>
  <si>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</si>
  <si>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</si>
  <si>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</si>
  <si>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</si>
  <si>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</si>
  <si>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</si>
  <si>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</si>
  <si>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</si>
  <si>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</si>
  <si>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</si>
  <si>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</si>
  <si>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</si>
  <si>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</si>
  <si>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</si>
  <si>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</si>
  <si>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</si>
  <si>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</si>
  <si>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</si>
  <si>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</si>
  <si>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</si>
  <si>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</si>
  <si>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</si>
  <si>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</si>
  <si>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</si>
  <si>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</si>
  <si>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</si>
  <si>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</si>
  <si>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</si>
  <si>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</si>
  <si>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</si>
  <si>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</si>
  <si>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</si>
  <si>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</si>
  <si>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</si>
  <si>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</si>
  <si>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</si>
  <si>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</si>
  <si>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</si>
  <si>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</si>
  <si>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</si>
  <si>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</si>
  <si>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</si>
  <si>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</si>
  <si>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</si>
  <si>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</si>
  <si>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</si>
  <si>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</si>
  <si>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</si>
  <si>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</si>
  <si>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</si>
  <si>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</si>
  <si>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</si>
  <si>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</si>
  <si>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</si>
  <si>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</si>
  <si>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</si>
  <si>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</si>
  <si>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</si>
  <si>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</si>
  <si>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</si>
  <si>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</si>
  <si>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</si>
  <si>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</si>
  <si>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</si>
  <si>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</si>
  <si>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</si>
  <si>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</si>
  <si>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</si>
  <si>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</si>
  <si>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</si>
  <si>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</si>
  <si>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</si>
  <si>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</si>
  <si>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</si>
  <si>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</si>
  <si>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</si>
  <si>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</si>
  <si>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</si>
  <si>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</si>
  <si>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</si>
  <si>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</si>
  <si>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</si>
  <si>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</si>
  <si>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</si>
  <si>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</si>
  <si>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</si>
  <si>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</si>
  <si>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</si>
  <si>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</si>
  <si>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</si>
  <si>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</si>
  <si>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</si>
  <si>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</si>
  <si>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</si>
  <si>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</si>
  <si>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</si>
  <si>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</si>
  <si>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</si>
  <si>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</si>
  <si>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</si>
  <si>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</si>
  <si>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</si>
  <si>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</si>
  <si>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</si>
  <si>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</si>
  <si>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</si>
  <si>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</si>
  <si>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</si>
  <si>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</si>
  <si>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</si>
  <si>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</si>
  <si>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</si>
  <si>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</si>
  <si>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</si>
  <si>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</si>
  <si>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</si>
  <si>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</si>
  <si>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</si>
  <si>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</si>
  <si>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</si>
  <si>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</si>
  <si>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</si>
  <si>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</si>
  <si>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</si>
  <si>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</si>
  <si>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</si>
  <si>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</si>
  <si>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</si>
  <si>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</si>
  <si>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</si>
  <si>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</si>
  <si>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</si>
  <si>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</si>
  <si>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</si>
  <si>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</si>
  <si>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</si>
  <si>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</si>
  <si>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</si>
  <si>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</si>
  <si>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</si>
  <si>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</si>
  <si>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</si>
  <si>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</si>
  <si>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</si>
  <si>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</si>
  <si>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</si>
  <si>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</si>
  <si>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</si>
  <si>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</si>
  <si>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</si>
  <si>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</si>
  <si>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</si>
  <si>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</si>
  <si>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</si>
  <si>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</si>
  <si>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</si>
  <si>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</si>
  <si>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</si>
  <si>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</si>
  <si>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</si>
  <si>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</si>
  <si>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</si>
  <si>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</si>
  <si>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</si>
  <si>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</si>
  <si>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</si>
  <si>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</si>
  <si>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</si>
  <si>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</si>
  <si>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</si>
  <si>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</si>
  <si>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</si>
  <si>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</si>
  <si>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</si>
  <si>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</si>
  <si>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</si>
  <si>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</si>
  <si>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</si>
  <si>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</si>
  <si>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</si>
  <si>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</si>
  <si>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</si>
  <si>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</si>
  <si>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</si>
  <si>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</si>
  <si>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</si>
  <si>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</si>
  <si>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</si>
  <si>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</si>
  <si>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</si>
  <si>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</si>
  <si>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</si>
  <si>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</si>
  <si>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</si>
  <si>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</si>
  <si>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</si>
  <si>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</si>
  <si>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</si>
  <si>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</si>
  <si>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</si>
  <si>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</si>
  <si>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</si>
  <si>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</si>
  <si>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</si>
  <si>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</si>
  <si>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</si>
  <si>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</si>
  <si>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</si>
  <si>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</si>
  <si>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</si>
  <si>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</si>
  <si>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</si>
  <si>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</si>
  <si>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</si>
  <si>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</si>
  <si>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</si>
  <si>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</si>
  <si>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</si>
  <si>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</si>
  <si>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</si>
  <si>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</si>
  <si>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</si>
  <si>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</si>
  <si>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</si>
  <si>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</si>
  <si>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</si>
  <si>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</si>
  <si>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</si>
  <si>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</si>
  <si>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</si>
  <si>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</si>
  <si>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</si>
  <si>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</si>
  <si>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</si>
  <si>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</si>
  <si>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</si>
  <si>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</si>
  <si>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</si>
  <si>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</si>
  <si>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</si>
  <si>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</si>
  <si>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</si>
  <si>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</si>
  <si>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</si>
  <si>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</si>
  <si>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</si>
  <si>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</si>
  <si>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</si>
  <si>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</si>
  <si>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</si>
  <si>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</si>
  <si>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</si>
  <si>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</si>
  <si>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</si>
  <si>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</si>
  <si>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</si>
  <si>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</si>
  <si>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</si>
  <si>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</si>
  <si>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</si>
  <si>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</si>
  <si>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</si>
  <si>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</si>
  <si>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</si>
  <si>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</si>
  <si>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</si>
  <si>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</si>
  <si>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</si>
  <si>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</si>
  <si>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</si>
  <si>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</si>
  <si>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</si>
  <si>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</si>
  <si>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</si>
  <si>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</si>
  <si>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</si>
  <si>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</si>
  <si>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</si>
  <si>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</si>
  <si>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</si>
  <si>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</si>
  <si>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</si>
  <si>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</si>
  <si>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</si>
  <si>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</si>
  <si>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</si>
  <si>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</si>
  <si>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</si>
  <si>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</si>
  <si>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</si>
  <si>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</si>
  <si>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</si>
  <si>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</si>
  <si>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</si>
  <si>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</si>
  <si>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</si>
  <si>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</si>
  <si>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</si>
  <si>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</si>
  <si>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</si>
  <si>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</si>
  <si>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</si>
  <si>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</si>
  <si>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</si>
  <si>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</si>
  <si>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</si>
  <si>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</si>
  <si>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</si>
  <si>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</si>
  <si>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</si>
  <si>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</si>
  <si>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</si>
  <si>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</si>
  <si>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</si>
  <si>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</si>
  <si>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</si>
  <si>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</si>
  <si>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</si>
  <si>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</si>
  <si>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</si>
  <si>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</si>
  <si>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</si>
  <si>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</si>
  <si>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</si>
  <si>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</si>
  <si>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</si>
  <si>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</si>
  <si>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</si>
  <si>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</si>
  <si>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</si>
  <si>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</si>
  <si>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</si>
  <si>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</si>
  <si>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</si>
  <si>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</si>
  <si>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</si>
  <si>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</si>
  <si>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</si>
  <si>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</si>
  <si>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</si>
  <si>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</si>
  <si>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</si>
  <si>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</si>
  <si>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</si>
  <si>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</si>
  <si>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</si>
  <si>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</si>
  <si>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</si>
  <si>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</si>
  <si>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</si>
  <si>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</si>
  <si>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</si>
  <si>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</si>
  <si>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</si>
  <si>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</si>
  <si>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</si>
  <si>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</si>
  <si>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</si>
  <si>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</si>
  <si>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</si>
  <si>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</si>
  <si>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</si>
  <si>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</si>
  <si>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</si>
  <si>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</si>
  <si>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</si>
  <si>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</si>
  <si>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</si>
  <si>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</si>
  <si>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</si>
  <si>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</si>
  <si>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</si>
  <si>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</si>
  <si>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</si>
  <si>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</si>
  <si>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</si>
  <si>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</si>
  <si>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</si>
  <si>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</si>
  <si>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</si>
  <si>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</si>
  <si>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</si>
  <si>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</si>
  <si>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</si>
  <si>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</si>
  <si>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</si>
  <si>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</si>
  <si>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</si>
  <si>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</si>
  <si>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</si>
  <si>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</si>
  <si>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</si>
  <si>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</si>
  <si>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</si>
  <si>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</si>
  <si>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</si>
  <si>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</si>
  <si>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</si>
  <si>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</si>
  <si>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</si>
  <si>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</si>
  <si>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</si>
  <si>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</si>
  <si>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</si>
  <si>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</si>
  <si>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</si>
  <si>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</si>
  <si>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</si>
  <si>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</si>
  <si>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</si>
  <si>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</si>
  <si>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</si>
  <si>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</si>
  <si>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</si>
  <si>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</si>
  <si>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</si>
  <si>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</si>
  <si>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</si>
  <si>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</si>
  <si>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</si>
  <si>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</si>
  <si>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</si>
  <si>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</si>
  <si>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</si>
  <si>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</si>
  <si>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</si>
  <si>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</si>
  <si>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</si>
  <si>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</si>
  <si>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</si>
  <si>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</si>
  <si>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</si>
  <si>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</si>
  <si>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</si>
  <si>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</si>
  <si>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</si>
  <si>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</si>
  <si>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</si>
  <si>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</si>
  <si>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</si>
  <si>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</si>
  <si>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</si>
  <si>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</si>
  <si>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</si>
  <si>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</si>
  <si>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</si>
  <si>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</si>
  <si>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</si>
  <si>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</si>
  <si>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</si>
  <si>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</si>
  <si>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</si>
  <si>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</si>
  <si>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</si>
  <si>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</si>
  <si>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</si>
  <si>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</si>
  <si>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</si>
  <si>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</si>
  <si>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</si>
  <si>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</si>
  <si>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</si>
  <si>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</si>
  <si>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</si>
  <si>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</si>
  <si>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</si>
  <si>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</si>
  <si>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</si>
  <si>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</si>
  <si>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</si>
  <si>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</si>
  <si>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</si>
  <si>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</si>
  <si>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</si>
  <si>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</si>
  <si>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</si>
  <si>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</si>
  <si>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</si>
  <si>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</si>
  <si>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</si>
  <si>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</si>
  <si>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</si>
  <si>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</si>
  <si>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</si>
  <si>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</si>
  <si>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</si>
  <si>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</si>
  <si>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</si>
  <si>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</si>
  <si>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</si>
  <si>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</si>
  <si>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</si>
  <si>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</si>
  <si>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</si>
  <si>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</si>
  <si>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</si>
  <si>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</si>
  <si>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</si>
  <si>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</si>
  <si>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</si>
  <si>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</si>
  <si>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</si>
  <si>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</si>
  <si>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</si>
  <si>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</si>
  <si>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</si>
  <si>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</si>
  <si>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</si>
  <si>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</si>
  <si>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</si>
  <si>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</si>
  <si>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</si>
  <si>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</si>
  <si>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</si>
  <si>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</si>
  <si>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</si>
  <si>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</si>
  <si>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</si>
  <si>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</si>
  <si>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</si>
  <si>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</si>
  <si>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</si>
  <si>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</si>
  <si>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</si>
  <si>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</si>
  <si>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</si>
  <si>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</si>
  <si>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</si>
  <si>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</si>
  <si>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</si>
  <si>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</si>
  <si>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</si>
  <si>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</si>
  <si>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</si>
  <si>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</si>
  <si>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</si>
  <si>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</si>
  <si>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</si>
  <si>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</si>
  <si>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</si>
  <si>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</si>
  <si>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</si>
  <si>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</si>
  <si>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</si>
  <si>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</si>
  <si>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</si>
  <si>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</si>
  <si>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</si>
  <si>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</si>
  <si>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</si>
  <si>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</si>
  <si>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</si>
  <si>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</si>
  <si>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</si>
  <si>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</si>
  <si>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</si>
  <si>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</si>
  <si>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</si>
  <si>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</si>
  <si>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</si>
  <si>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</si>
  <si>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</si>
  <si>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</si>
  <si>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</si>
  <si>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</si>
  <si>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</si>
  <si>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</si>
  <si>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</si>
  <si>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</si>
  <si>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</si>
  <si>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</si>
  <si>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</si>
  <si>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</si>
  <si>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</si>
  <si>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</si>
  <si>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</si>
  <si>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</si>
  <si>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</si>
  <si>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</si>
  <si>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</si>
  <si>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</si>
  <si>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</si>
  <si>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</si>
  <si>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</si>
  <si>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</si>
  <si>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</si>
  <si>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</si>
  <si>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</si>
  <si>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</si>
  <si>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</si>
  <si>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</si>
  <si>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</si>
  <si>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</si>
  <si>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</si>
  <si>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</si>
  <si>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</si>
  <si>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</si>
  <si>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</si>
  <si>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</si>
  <si>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</si>
  <si>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</si>
  <si>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</si>
  <si>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</si>
  <si>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</si>
  <si>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</si>
  <si>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</si>
  <si>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</si>
  <si>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</si>
  <si>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</si>
  <si>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</si>
  <si>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</si>
  <si>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</si>
  <si>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</si>
  <si>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</si>
  <si>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</si>
  <si>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</si>
  <si>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</si>
  <si>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</si>
  <si>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</si>
  <si>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</si>
  <si>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</si>
  <si>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</si>
  <si>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</si>
  <si>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</si>
  <si>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</si>
  <si>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</si>
  <si>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</si>
  <si>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</si>
  <si>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</si>
  <si>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</si>
  <si>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</si>
  <si>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</si>
  <si>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</si>
  <si>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</si>
  <si>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</si>
  <si>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</si>
  <si>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</si>
  <si>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</si>
  <si>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</si>
  <si>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</si>
  <si>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</si>
  <si>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</si>
  <si>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</si>
  <si>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</si>
  <si>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</si>
  <si>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</si>
  <si>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</si>
  <si>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</si>
  <si>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</si>
  <si>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</si>
  <si>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</si>
  <si>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</si>
  <si>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</si>
  <si>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</si>
  <si>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</si>
  <si>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</si>
  <si>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</si>
  <si>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</si>
  <si>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</si>
  <si>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</si>
  <si>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</si>
  <si>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</si>
  <si>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</si>
  <si>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</si>
  <si>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</si>
  <si>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</si>
  <si>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</si>
  <si>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</si>
  <si>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</si>
  <si>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</si>
  <si>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</si>
  <si>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</si>
  <si>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</si>
  <si>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</si>
  <si>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</si>
  <si>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</si>
  <si>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</si>
  <si>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</si>
  <si>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</si>
  <si>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</si>
  <si>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</si>
  <si>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</si>
  <si>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</si>
  <si>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</si>
  <si>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</si>
  <si>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</si>
  <si>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</si>
  <si>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</si>
  <si>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</si>
  <si>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</si>
  <si>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</si>
  <si>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</si>
  <si>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</si>
  <si>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</si>
  <si>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</si>
  <si>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</si>
  <si>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</si>
  <si>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</si>
  <si>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</si>
  <si>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</si>
  <si>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</si>
  <si>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</si>
  <si>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</si>
  <si>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</si>
  <si>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</si>
  <si>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</si>
  <si>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</si>
  <si>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</si>
  <si>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</si>
  <si>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</si>
  <si>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</si>
  <si>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</si>
  <si>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</si>
  <si>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</si>
  <si>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</si>
  <si>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</si>
  <si>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</si>
  <si>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</si>
  <si>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</si>
  <si>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</si>
  <si>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</si>
  <si>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</si>
  <si>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</si>
  <si>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</si>
  <si>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</si>
  <si>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</si>
  <si>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</si>
  <si>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</si>
  <si>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</si>
  <si>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</si>
  <si>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</si>
  <si>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</si>
  <si>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</si>
  <si>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</si>
  <si>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</si>
  <si>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</si>
  <si>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</si>
  <si>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</si>
  <si>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</si>
  <si>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</si>
  <si>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</si>
  <si>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</si>
  <si>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</si>
  <si>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</si>
  <si>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</si>
  <si>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</si>
  <si>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</si>
  <si>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</si>
  <si>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</si>
  <si>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</si>
  <si>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</si>
  <si>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</si>
  <si>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</si>
  <si>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</si>
  <si>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</si>
  <si>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</si>
  <si>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</si>
  <si>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</si>
  <si>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</si>
  <si>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</si>
  <si>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</si>
  <si>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</si>
  <si>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</si>
  <si>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</si>
  <si>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</si>
  <si>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</si>
  <si>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</si>
  <si>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</si>
  <si>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</si>
  <si>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</si>
  <si>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</si>
  <si>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</si>
  <si>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</si>
  <si>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</si>
  <si>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</si>
  <si>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</si>
  <si>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</si>
  <si>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</si>
  <si>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</si>
  <si>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</si>
  <si>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</si>
  <si>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</si>
  <si>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</si>
  <si>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</si>
  <si>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</si>
  <si>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</si>
  <si>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</si>
  <si>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</si>
  <si>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</si>
  <si>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</si>
  <si>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</si>
  <si>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</si>
  <si>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</si>
  <si>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</si>
  <si>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</si>
  <si>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</si>
  <si>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</si>
  <si>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</si>
  <si>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</si>
  <si>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</si>
  <si>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</si>
  <si>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</si>
  <si>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</si>
  <si>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</si>
  <si>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</si>
  <si>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</si>
  <si>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</si>
  <si>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</si>
  <si>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</si>
  <si>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</si>
  <si>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</si>
  <si>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</si>
  <si>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</si>
  <si>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</si>
  <si>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</si>
  <si>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</si>
  <si>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</si>
  <si>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</si>
  <si>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</si>
  <si>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</si>
  <si>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</si>
  <si>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</si>
  <si>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</si>
  <si>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</si>
  <si>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</si>
  <si>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</si>
  <si>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</si>
  <si>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</si>
  <si>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</si>
  <si>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</si>
  <si>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</si>
  <si>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</si>
  <si>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</si>
  <si>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</si>
  <si>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</si>
  <si>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</si>
  <si>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</si>
  <si>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</si>
  <si>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</si>
  <si>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</si>
  <si>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</si>
  <si>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</si>
  <si>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</si>
  <si>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</si>
  <si>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</si>
  <si>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</si>
  <si>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</si>
  <si>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</si>
  <si>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</si>
  <si>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</si>
  <si>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</si>
  <si>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</si>
  <si>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</si>
  <si>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</si>
  <si>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</si>
  <si>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</si>
  <si>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</si>
  <si>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</si>
  <si>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</si>
  <si>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</si>
  <si>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</si>
  <si>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</si>
  <si>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</si>
  <si>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</si>
  <si>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</si>
  <si>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</si>
  <si>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</si>
  <si>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</si>
  <si>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</si>
  <si>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</si>
  <si>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</si>
  <si>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</si>
  <si>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</si>
  <si>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</si>
  <si>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</si>
  <si>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</si>
  <si>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</si>
  <si>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</si>
  <si>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</si>
  <si>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</si>
  <si>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</si>
  <si>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</si>
  <si>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</si>
  <si>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</si>
  <si>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</si>
  <si>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</si>
  <si>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</si>
  <si>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</si>
  <si>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</si>
  <si>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</si>
  <si>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</si>
  <si>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</si>
  <si>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</si>
  <si>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</si>
  <si>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</si>
  <si>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</si>
  <si>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</si>
  <si>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</si>
  <si>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</si>
  <si>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</si>
  <si>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</si>
  <si>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</si>
  <si>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</si>
  <si>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</si>
  <si>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</si>
  <si>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</si>
  <si>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</si>
  <si>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</si>
  <si>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</si>
  <si>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</si>
  <si>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</si>
  <si>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</si>
  <si>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</si>
  <si>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</si>
  <si>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</si>
  <si>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</si>
  <si>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</si>
  <si>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</si>
  <si>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</si>
  <si>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</si>
  <si>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</si>
  <si>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</si>
  <si>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</si>
  <si>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</si>
  <si>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</si>
  <si>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</si>
  <si>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</si>
  <si>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</si>
  <si>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</si>
  <si>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</si>
  <si>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</si>
  <si>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</si>
  <si>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</si>
  <si>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</si>
  <si>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</si>
  <si>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</si>
  <si>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</si>
  <si>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</si>
  <si>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</si>
  <si>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</si>
  <si>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</si>
  <si>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</si>
  <si>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</si>
  <si>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</si>
  <si>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</si>
  <si>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</si>
  <si>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</si>
  <si>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</si>
  <si>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</si>
  <si>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</si>
  <si>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</si>
  <si>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</si>
  <si>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</si>
  <si>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</si>
  <si>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</si>
  <si>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</si>
  <si>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</si>
  <si>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</si>
  <si>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</si>
  <si>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</si>
  <si>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</si>
  <si>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</si>
  <si>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</si>
  <si>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</si>
  <si>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</si>
  <si>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</si>
  <si>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</si>
  <si>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</si>
  <si>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</si>
  <si>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</si>
  <si>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</si>
  <si>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</si>
  <si>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</si>
  <si>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</si>
  <si>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</si>
  <si>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</si>
  <si>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</si>
  <si>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</si>
  <si>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</si>
  <si>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</si>
  <si>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</si>
  <si>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</si>
  <si>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</si>
  <si>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</si>
  <si>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</si>
  <si>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</si>
  <si>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</si>
  <si>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</si>
  <si>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</si>
  <si>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</si>
  <si>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</si>
  <si>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</si>
  <si>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</si>
  <si>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</si>
  <si>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</si>
  <si>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</si>
  <si>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</si>
  <si>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</si>
  <si>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</si>
  <si>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</si>
  <si>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</si>
  <si>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</si>
  <si>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</si>
  <si>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</si>
  <si>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</si>
  <si>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</si>
  <si>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</si>
  <si>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</si>
  <si>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</si>
  <si>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</si>
  <si>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</si>
  <si>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</si>
  <si>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</si>
  <si>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</si>
  <si>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</si>
  <si>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</si>
  <si>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</si>
  <si>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</si>
  <si>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</si>
  <si>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</si>
  <si>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</si>
  <si>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</si>
  <si>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</si>
  <si>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</si>
  <si>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</si>
  <si>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</si>
  <si>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</si>
  <si>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</si>
  <si>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</si>
  <si>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</si>
  <si>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</si>
  <si>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</si>
  <si>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</si>
  <si>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</si>
  <si>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</si>
  <si>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</si>
  <si>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</si>
  <si>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</si>
  <si>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</si>
  <si>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</si>
  <si>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</si>
  <si>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</si>
  <si>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</si>
  <si>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</si>
  <si>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</si>
  <si>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</si>
  <si>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</si>
  <si>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</si>
  <si>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</si>
  <si>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</si>
  <si>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</si>
  <si>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</si>
  <si>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</si>
  <si>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</si>
  <si>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</si>
  <si>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</si>
  <si>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</si>
  <si>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</si>
  <si>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</si>
  <si>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</si>
  <si>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</si>
  <si>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</si>
  <si>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</si>
  <si>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</si>
  <si>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</si>
  <si>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</si>
  <si>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</si>
  <si>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</si>
  <si>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</si>
  <si>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</si>
  <si>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</si>
  <si>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</si>
  <si>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</si>
  <si>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</si>
  <si>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</si>
  <si>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</si>
  <si>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</si>
  <si>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</si>
  <si>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</si>
  <si>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</si>
  <si>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</si>
  <si>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</si>
  <si>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</si>
  <si>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</si>
  <si>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</si>
  <si>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</si>
  <si>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</si>
  <si>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</si>
  <si>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</si>
  <si>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</si>
  <si>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</si>
  <si>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</si>
  <si>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</si>
  <si>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</si>
  <si>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</si>
  <si>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</si>
  <si>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</si>
  <si>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</si>
  <si>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</si>
  <si>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</si>
  <si>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</si>
  <si>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</si>
  <si>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</si>
  <si>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</si>
  <si>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</si>
  <si>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</si>
  <si>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</si>
  <si>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</si>
  <si>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</si>
  <si>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</si>
  <si>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</si>
  <si>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</si>
  <si>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</si>
  <si>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</si>
  <si>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</si>
  <si>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</si>
  <si>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</si>
  <si>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</si>
  <si>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</si>
  <si>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</si>
  <si>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</si>
  <si>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</si>
  <si>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</si>
  <si>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</si>
  <si>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</si>
  <si>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</si>
  <si>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</si>
  <si>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</si>
  <si>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</si>
  <si>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</si>
  <si>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</si>
  <si>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</si>
  <si>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</si>
  <si>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</si>
  <si>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</si>
  <si>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</si>
  <si>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</si>
  <si>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</si>
  <si>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</si>
  <si>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</si>
  <si>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</si>
  <si>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</si>
  <si>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</si>
  <si>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</si>
  <si>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</si>
  <si>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</si>
  <si>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</si>
  <si>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</si>
  <si>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</si>
  <si>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</si>
  <si>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</si>
  <si>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</si>
  <si>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</si>
  <si>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</si>
  <si>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</si>
  <si>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</si>
  <si>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</si>
  <si>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</si>
  <si>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</si>
  <si>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</si>
  <si>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</si>
  <si>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</si>
  <si>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</si>
  <si>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</si>
  <si>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</si>
  <si>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</si>
  <si>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</si>
  <si>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</si>
  <si>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</si>
  <si>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</si>
  <si>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</si>
  <si>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Column1</t>
  </si>
  <si>
    <t>Loyalty Level</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</si>
  <si>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</si>
  <si>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</si>
  <si>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</si>
  <si>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</si>
  <si>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</si>
  <si>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</si>
  <si>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</si>
  <si>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</si>
  <si>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</si>
  <si>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</si>
  <si>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</si>
  <si>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</si>
  <si>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</si>
  <si>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</si>
  <si>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</si>
  <si>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</si>
  <si>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</si>
  <si>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</si>
  <si>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</si>
  <si>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</si>
  <si>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</si>
  <si>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</si>
  <si>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Store ID</t>
  </si>
  <si>
    <t>Customer ID</t>
  </si>
  <si>
    <t>Product ID</t>
  </si>
  <si>
    <t>Product Name</t>
  </si>
  <si>
    <t>Sub Category</t>
  </si>
  <si>
    <t>Store Name</t>
  </si>
  <si>
    <t>Store Type</t>
  </si>
  <si>
    <t>Total Amount</t>
  </si>
  <si>
    <t>Row Labels</t>
  </si>
  <si>
    <t>Grand Total</t>
  </si>
  <si>
    <t>Sum of Total Amount</t>
  </si>
  <si>
    <t>Category Wise Sales</t>
  </si>
  <si>
    <t>Store Type Wise Sales</t>
  </si>
  <si>
    <t>Sum of Stock</t>
  </si>
  <si>
    <t>Store Wise Stocks</t>
  </si>
  <si>
    <t>Average of Total Amount</t>
  </si>
  <si>
    <t>Region Wise Average Sales</t>
  </si>
  <si>
    <t>Column Labels</t>
  </si>
  <si>
    <t>E-Commerce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</si>
</sst>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amily val="2"/>
    </font>
    <font>
      <sz val="8"/>
      <name val="Calibri"/>
      <family val="2"/>
      <scheme val="minor"/>
    </font>
    <font>
      <sz val="28"/>
      <color rgb="FFFF0000"/>
      <name val="Algerian"/>
      <family val="5"/>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3" fillId="2" borderId="0" xfId="0" applyFont="1" applyFill="1" applyAlignment="1">
      <alignment horizontal="center" vertical="center"/>
    </xf>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FF66"/>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Table'!$A$4:$A$9</c:f>
              <c:strCache>
                <c:ptCount val="5"/>
                <c:pt idx="0">
                  <c:v>Beauty</c:v>
                </c:pt>
                <c:pt idx="1">
                  <c:v>Clothing</c:v>
                </c:pt>
                <c:pt idx="2">
                  <c:v>Electronics</c:v>
                </c:pt>
                <c:pt idx="3">
                  <c:v>Home</c:v>
                </c:pt>
                <c:pt idx="4">
                  <c:v>Sports</c:v>
                </c:pt>
              </c:strCache>
            </c:strRef>
          </c:cat>
          <c:val>
            <c:numRef>
              <c:f>'Pivot Table'!$B$4:$B$9</c:f>
              <c:numCache>
                <c:formatCode>General</c:formatCode>
                <c:ptCount val="5"/>
                <c:pt idx="0">
                  <c:v>86661.546499999997</c:v>
                </c:pt>
                <c:pt idx="1">
                  <c:v>101680.30420000006</c:v>
                </c:pt>
                <c:pt idx="2">
                  <c:v>137388.34639999995</c:v>
                </c:pt>
                <c:pt idx="3">
                  <c:v>92599.53330000001</c:v>
                </c:pt>
                <c:pt idx="4">
                  <c:v>148806.75179999997</c:v>
                </c:pt>
              </c:numCache>
            </c:numRef>
          </c:val>
          <c:extLst>
            <c:ext xmlns:c16="http://schemas.microsoft.com/office/drawing/2014/chart" uri="{C3380CC4-5D6E-409C-BE32-E72D297353CC}">
              <c16:uniqueId val="{00000000-B396-4E9E-94BA-BF875C8451F4}"/>
            </c:ext>
          </c:extLst>
        </c:ser>
        <c:dLbls>
          <c:showLegendKey val="0"/>
          <c:showVal val="0"/>
          <c:showCatName val="0"/>
          <c:showSerName val="0"/>
          <c:showPercent val="0"/>
          <c:showBubbleSize val="0"/>
        </c:dLbls>
        <c:gapWidth val="150"/>
        <c:shape val="box"/>
        <c:axId val="1341022528"/>
        <c:axId val="1341026368"/>
        <c:axId val="0"/>
      </c:bar3DChart>
      <c:catAx>
        <c:axId val="1341022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26368"/>
        <c:crosses val="autoZero"/>
        <c:auto val="1"/>
        <c:lblAlgn val="ctr"/>
        <c:lblOffset val="100"/>
        <c:noMultiLvlLbl val="0"/>
      </c:catAx>
      <c:valAx>
        <c:axId val="134102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2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1A-447A-B85F-834E4F291C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1A-447A-B85F-834E4F291C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1A-447A-B85F-834E4F291CE6}"/>
              </c:ext>
            </c:extLst>
          </c:dPt>
          <c:cat>
            <c:strRef>
              <c:f>'Pivot Table'!$A$12:$A$15</c:f>
              <c:strCache>
                <c:ptCount val="3"/>
                <c:pt idx="0">
                  <c:v>Flagship</c:v>
                </c:pt>
                <c:pt idx="1">
                  <c:v>Online</c:v>
                </c:pt>
                <c:pt idx="2">
                  <c:v>Outlet</c:v>
                </c:pt>
              </c:strCache>
            </c:strRef>
          </c:cat>
          <c:val>
            <c:numRef>
              <c:f>'Pivot Table'!$B$12:$B$15</c:f>
              <c:numCache>
                <c:formatCode>General</c:formatCode>
                <c:ptCount val="3"/>
                <c:pt idx="0">
                  <c:v>183346.90599999996</c:v>
                </c:pt>
                <c:pt idx="1">
                  <c:v>263401.94610000012</c:v>
                </c:pt>
                <c:pt idx="2">
                  <c:v>120387.63010000002</c:v>
                </c:pt>
              </c:numCache>
            </c:numRef>
          </c:val>
          <c:extLst>
            <c:ext xmlns:c16="http://schemas.microsoft.com/office/drawing/2014/chart" uri="{C3380CC4-5D6E-409C-BE32-E72D297353CC}">
              <c16:uniqueId val="{00000000-C46F-45E9-B903-7E5E0066AD7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none"/>
          </c:marker>
          <c:cat>
            <c:strRef>
              <c:f>'Pivot Table'!$A$18:$A$38</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Table'!$B$18:$B$38</c:f>
              <c:numCache>
                <c:formatCode>General</c:formatCode>
                <c:ptCount val="20"/>
                <c:pt idx="0">
                  <c:v>6661</c:v>
                </c:pt>
                <c:pt idx="1">
                  <c:v>5803</c:v>
                </c:pt>
                <c:pt idx="2">
                  <c:v>6322</c:v>
                </c:pt>
                <c:pt idx="3">
                  <c:v>5758</c:v>
                </c:pt>
                <c:pt idx="4">
                  <c:v>8365</c:v>
                </c:pt>
                <c:pt idx="5">
                  <c:v>5026</c:v>
                </c:pt>
                <c:pt idx="6">
                  <c:v>6661</c:v>
                </c:pt>
                <c:pt idx="7">
                  <c:v>6451</c:v>
                </c:pt>
                <c:pt idx="8">
                  <c:v>6606</c:v>
                </c:pt>
                <c:pt idx="9">
                  <c:v>6893</c:v>
                </c:pt>
                <c:pt idx="10">
                  <c:v>5107</c:v>
                </c:pt>
                <c:pt idx="11">
                  <c:v>6201</c:v>
                </c:pt>
                <c:pt idx="12">
                  <c:v>7158</c:v>
                </c:pt>
                <c:pt idx="13">
                  <c:v>8693</c:v>
                </c:pt>
                <c:pt idx="14">
                  <c:v>6934</c:v>
                </c:pt>
                <c:pt idx="15">
                  <c:v>5817</c:v>
                </c:pt>
                <c:pt idx="16">
                  <c:v>7902</c:v>
                </c:pt>
                <c:pt idx="17">
                  <c:v>9110</c:v>
                </c:pt>
                <c:pt idx="18">
                  <c:v>11145</c:v>
                </c:pt>
                <c:pt idx="19">
                  <c:v>5437</c:v>
                </c:pt>
              </c:numCache>
            </c:numRef>
          </c:val>
          <c:smooth val="0"/>
          <c:extLst>
            <c:ext xmlns:c16="http://schemas.microsoft.com/office/drawing/2014/chart" uri="{C3380CC4-5D6E-409C-BE32-E72D297353CC}">
              <c16:uniqueId val="{00000000-86BF-4B1E-8975-2A1F2D5E26C8}"/>
            </c:ext>
          </c:extLst>
        </c:ser>
        <c:dLbls>
          <c:showLegendKey val="0"/>
          <c:showVal val="0"/>
          <c:showCatName val="0"/>
          <c:showSerName val="0"/>
          <c:showPercent val="0"/>
          <c:showBubbleSize val="0"/>
        </c:dLbls>
        <c:smooth val="0"/>
        <c:axId val="1341044128"/>
        <c:axId val="1341047488"/>
      </c:lineChart>
      <c:catAx>
        <c:axId val="134104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47488"/>
        <c:crosses val="autoZero"/>
        <c:auto val="1"/>
        <c:lblAlgn val="ctr"/>
        <c:lblOffset val="100"/>
        <c:noMultiLvlLbl val="0"/>
      </c:catAx>
      <c:valAx>
        <c:axId val="1341047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4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1099.1091507575759</c:v>
                </c:pt>
                <c:pt idx="1">
                  <c:v>1166.2792234482749</c:v>
                </c:pt>
                <c:pt idx="2">
                  <c:v>1232.376292857143</c:v>
                </c:pt>
                <c:pt idx="3">
                  <c:v>1035.3711114754099</c:v>
                </c:pt>
              </c:numCache>
            </c:numRef>
          </c:val>
          <c:extLst>
            <c:ext xmlns:c16="http://schemas.microsoft.com/office/drawing/2014/chart" uri="{C3380CC4-5D6E-409C-BE32-E72D297353CC}">
              <c16:uniqueId val="{00000000-BAD6-461D-9634-2385ADBDDCDB}"/>
            </c:ext>
          </c:extLst>
        </c:ser>
        <c:dLbls>
          <c:showLegendKey val="0"/>
          <c:showVal val="0"/>
          <c:showCatName val="0"/>
          <c:showSerName val="0"/>
          <c:showPercent val="0"/>
          <c:showBubbleSize val="0"/>
        </c:dLbls>
        <c:gapWidth val="150"/>
        <c:shape val="box"/>
        <c:axId val="1341030208"/>
        <c:axId val="1341030688"/>
        <c:axId val="0"/>
      </c:bar3DChart>
      <c:catAx>
        <c:axId val="1341030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30688"/>
        <c:crosses val="autoZero"/>
        <c:auto val="1"/>
        <c:lblAlgn val="ctr"/>
        <c:lblOffset val="100"/>
        <c:noMultiLvlLbl val="0"/>
      </c:catAx>
      <c:valAx>
        <c:axId val="134103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3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Table'!$E$11:$E$12</c:f>
              <c:strCache>
                <c:ptCount val="1"/>
                <c:pt idx="0">
                  <c:v>Flagship</c:v>
                </c:pt>
              </c:strCache>
            </c:strRef>
          </c:tx>
          <c:spPr>
            <a:solidFill>
              <a:schemeClr val="accent1"/>
            </a:solidFill>
            <a:ln>
              <a:noFill/>
            </a:ln>
            <a:effectLst/>
            <a:sp3d/>
          </c:spPr>
          <c:invertIfNegative val="0"/>
          <c:cat>
            <c:strRef>
              <c:f>'Pivot Table'!$D$13:$D$15</c:f>
              <c:strCache>
                <c:ptCount val="2"/>
                <c:pt idx="0">
                  <c:v>Female</c:v>
                </c:pt>
                <c:pt idx="1">
                  <c:v>Male</c:v>
                </c:pt>
              </c:strCache>
            </c:strRef>
          </c:cat>
          <c:val>
            <c:numRef>
              <c:f>'Pivot Table'!$E$13:$E$15</c:f>
              <c:numCache>
                <c:formatCode>General</c:formatCode>
                <c:ptCount val="2"/>
                <c:pt idx="0">
                  <c:v>1117.3400271604942</c:v>
                </c:pt>
                <c:pt idx="1">
                  <c:v>1079.5623697674416</c:v>
                </c:pt>
              </c:numCache>
            </c:numRef>
          </c:val>
          <c:extLst>
            <c:ext xmlns:c16="http://schemas.microsoft.com/office/drawing/2014/chart" uri="{C3380CC4-5D6E-409C-BE32-E72D297353CC}">
              <c16:uniqueId val="{00000000-E211-4BFC-9623-08425D52EA80}"/>
            </c:ext>
          </c:extLst>
        </c:ser>
        <c:ser>
          <c:idx val="1"/>
          <c:order val="1"/>
          <c:tx>
            <c:strRef>
              <c:f>'Pivot Table'!$F$11:$F$12</c:f>
              <c:strCache>
                <c:ptCount val="1"/>
                <c:pt idx="0">
                  <c:v>Online</c:v>
                </c:pt>
              </c:strCache>
            </c:strRef>
          </c:tx>
          <c:spPr>
            <a:solidFill>
              <a:schemeClr val="accent2"/>
            </a:solidFill>
            <a:ln>
              <a:noFill/>
            </a:ln>
            <a:effectLst/>
            <a:sp3d/>
          </c:spPr>
          <c:invertIfNegative val="0"/>
          <c:cat>
            <c:strRef>
              <c:f>'Pivot Table'!$D$13:$D$15</c:f>
              <c:strCache>
                <c:ptCount val="2"/>
                <c:pt idx="0">
                  <c:v>Female</c:v>
                </c:pt>
                <c:pt idx="1">
                  <c:v>Male</c:v>
                </c:pt>
              </c:strCache>
            </c:strRef>
          </c:cat>
          <c:val>
            <c:numRef>
              <c:f>'Pivot Table'!$F$13:$F$15</c:f>
              <c:numCache>
                <c:formatCode>General</c:formatCode>
                <c:ptCount val="2"/>
                <c:pt idx="0">
                  <c:v>1339.007813793103</c:v>
                </c:pt>
                <c:pt idx="1">
                  <c:v>1029.3051400000002</c:v>
                </c:pt>
              </c:numCache>
            </c:numRef>
          </c:val>
          <c:extLst>
            <c:ext xmlns:c16="http://schemas.microsoft.com/office/drawing/2014/chart" uri="{C3380CC4-5D6E-409C-BE32-E72D297353CC}">
              <c16:uniqueId val="{00000001-E211-4BFC-9623-08425D52EA80}"/>
            </c:ext>
          </c:extLst>
        </c:ser>
        <c:ser>
          <c:idx val="2"/>
          <c:order val="2"/>
          <c:tx>
            <c:strRef>
              <c:f>'Pivot Table'!$G$11:$G$12</c:f>
              <c:strCache>
                <c:ptCount val="1"/>
                <c:pt idx="0">
                  <c:v>Outlet</c:v>
                </c:pt>
              </c:strCache>
            </c:strRef>
          </c:tx>
          <c:spPr>
            <a:solidFill>
              <a:schemeClr val="accent3"/>
            </a:solidFill>
            <a:ln>
              <a:noFill/>
            </a:ln>
            <a:effectLst/>
            <a:sp3d/>
          </c:spPr>
          <c:invertIfNegative val="0"/>
          <c:cat>
            <c:strRef>
              <c:f>'Pivot Table'!$D$13:$D$15</c:f>
              <c:strCache>
                <c:ptCount val="2"/>
                <c:pt idx="0">
                  <c:v>Female</c:v>
                </c:pt>
                <c:pt idx="1">
                  <c:v>Male</c:v>
                </c:pt>
              </c:strCache>
            </c:strRef>
          </c:cat>
          <c:val>
            <c:numRef>
              <c:f>'Pivot Table'!$G$13:$G$15</c:f>
              <c:numCache>
                <c:formatCode>General</c:formatCode>
                <c:ptCount val="2"/>
                <c:pt idx="0">
                  <c:v>1183.8101758064518</c:v>
                </c:pt>
                <c:pt idx="1">
                  <c:v>1118.8428380952382</c:v>
                </c:pt>
              </c:numCache>
            </c:numRef>
          </c:val>
          <c:extLst>
            <c:ext xmlns:c16="http://schemas.microsoft.com/office/drawing/2014/chart" uri="{C3380CC4-5D6E-409C-BE32-E72D297353CC}">
              <c16:uniqueId val="{00000002-E211-4BFC-9623-08425D52EA80}"/>
            </c:ext>
          </c:extLst>
        </c:ser>
        <c:dLbls>
          <c:showLegendKey val="0"/>
          <c:showVal val="0"/>
          <c:showCatName val="0"/>
          <c:showSerName val="0"/>
          <c:showPercent val="0"/>
          <c:showBubbleSize val="0"/>
        </c:dLbls>
        <c:gapWidth val="150"/>
        <c:shape val="box"/>
        <c:axId val="1341038368"/>
        <c:axId val="1341046528"/>
        <c:axId val="0"/>
      </c:bar3DChart>
      <c:catAx>
        <c:axId val="134103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46528"/>
        <c:crosses val="autoZero"/>
        <c:auto val="1"/>
        <c:lblAlgn val="ctr"/>
        <c:lblOffset val="100"/>
        <c:noMultiLvlLbl val="0"/>
      </c:catAx>
      <c:valAx>
        <c:axId val="134104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03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Type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513513513513503"/>
              <c:y val="-8.3963056255247689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9019019019019018"/>
              <c:y val="-5.037783375314861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021021021021022"/>
              <c:y val="8.3963056255247689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38-48BE-8691-4E1D67C70CD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38-48BE-8691-4E1D67C70CD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38-48BE-8691-4E1D67C70CD1}"/>
              </c:ext>
            </c:extLst>
          </c:dPt>
          <c:dLbls>
            <c:dLbl>
              <c:idx val="0"/>
              <c:layout>
                <c:manualLayout>
                  <c:x val="0.13513513513513503"/>
                  <c:y val="-8.396305625524768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38-48BE-8691-4E1D67C70CD1}"/>
                </c:ext>
              </c:extLst>
            </c:dLbl>
            <c:dLbl>
              <c:idx val="1"/>
              <c:layout>
                <c:manualLayout>
                  <c:x val="-0.19019019019019018"/>
                  <c:y val="-5.03778337531486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38-48BE-8691-4E1D67C70CD1}"/>
                </c:ext>
              </c:extLst>
            </c:dLbl>
            <c:dLbl>
              <c:idx val="2"/>
              <c:layout>
                <c:manualLayout>
                  <c:x val="-0.21021021021021022"/>
                  <c:y val="8.396305625524768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38-48BE-8691-4E1D67C70CD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Table'!$A$12:$A$15</c:f>
              <c:strCache>
                <c:ptCount val="3"/>
                <c:pt idx="0">
                  <c:v>Flagship</c:v>
                </c:pt>
                <c:pt idx="1">
                  <c:v>Online</c:v>
                </c:pt>
                <c:pt idx="2">
                  <c:v>Outlet</c:v>
                </c:pt>
              </c:strCache>
            </c:strRef>
          </c:cat>
          <c:val>
            <c:numRef>
              <c:f>'Pivot Table'!$B$12:$B$15</c:f>
              <c:numCache>
                <c:formatCode>General</c:formatCode>
                <c:ptCount val="3"/>
                <c:pt idx="0">
                  <c:v>183346.90599999996</c:v>
                </c:pt>
                <c:pt idx="1">
                  <c:v>263401.94610000012</c:v>
                </c:pt>
                <c:pt idx="2">
                  <c:v>120387.63010000002</c:v>
                </c:pt>
              </c:numCache>
            </c:numRef>
          </c:val>
          <c:extLst>
            <c:ext xmlns:c16="http://schemas.microsoft.com/office/drawing/2014/chart" uri="{C3380CC4-5D6E-409C-BE32-E72D297353CC}">
              <c16:uniqueId val="{00000006-9138-48BE-8691-4E1D67C70CD1}"/>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22222222222222"/>
              <c:y val="-0.1170568561872909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388888888888889"/>
              <c:y val="-0.3901895206243032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7777777777777779E-2"/>
              <c:y val="-0.2731326644370122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1666666666666567E-2"/>
              <c:y val="-0.2341137123745819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29E-2"/>
              <c:y val="-0.3734671125975473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5-99CF-4F46-973D-91010E84AD4C}"/>
              </c:ext>
            </c:extLst>
          </c:dPt>
          <c:dPt>
            <c:idx val="1"/>
            <c:invertIfNegative val="0"/>
            <c:bubble3D val="0"/>
            <c:extLst>
              <c:ext xmlns:c16="http://schemas.microsoft.com/office/drawing/2014/chart" uri="{C3380CC4-5D6E-409C-BE32-E72D297353CC}">
                <c16:uniqueId val="{00000004-99CF-4F46-973D-91010E84AD4C}"/>
              </c:ext>
            </c:extLst>
          </c:dPt>
          <c:dPt>
            <c:idx val="2"/>
            <c:invertIfNegative val="0"/>
            <c:bubble3D val="0"/>
            <c:extLst>
              <c:ext xmlns:c16="http://schemas.microsoft.com/office/drawing/2014/chart" uri="{C3380CC4-5D6E-409C-BE32-E72D297353CC}">
                <c16:uniqueId val="{00000003-99CF-4F46-973D-91010E84AD4C}"/>
              </c:ext>
            </c:extLst>
          </c:dPt>
          <c:dPt>
            <c:idx val="3"/>
            <c:invertIfNegative val="0"/>
            <c:bubble3D val="0"/>
            <c:extLst>
              <c:ext xmlns:c16="http://schemas.microsoft.com/office/drawing/2014/chart" uri="{C3380CC4-5D6E-409C-BE32-E72D297353CC}">
                <c16:uniqueId val="{00000002-99CF-4F46-973D-91010E84AD4C}"/>
              </c:ext>
            </c:extLst>
          </c:dPt>
          <c:dPt>
            <c:idx val="4"/>
            <c:invertIfNegative val="0"/>
            <c:bubble3D val="0"/>
            <c:extLst>
              <c:ext xmlns:c16="http://schemas.microsoft.com/office/drawing/2014/chart" uri="{C3380CC4-5D6E-409C-BE32-E72D297353CC}">
                <c16:uniqueId val="{00000001-99CF-4F46-973D-91010E84AD4C}"/>
              </c:ext>
            </c:extLst>
          </c:dPt>
          <c:dLbls>
            <c:dLbl>
              <c:idx val="0"/>
              <c:layout>
                <c:manualLayout>
                  <c:x val="-8.3333333333333329E-2"/>
                  <c:y val="-0.3734671125975473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CF-4F46-973D-91010E84AD4C}"/>
                </c:ext>
              </c:extLst>
            </c:dLbl>
            <c:dLbl>
              <c:idx val="1"/>
              <c:layout>
                <c:manualLayout>
                  <c:x val="4.1666666666666567E-2"/>
                  <c:y val="-0.2341137123745819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CF-4F46-973D-91010E84AD4C}"/>
                </c:ext>
              </c:extLst>
            </c:dLbl>
            <c:dLbl>
              <c:idx val="2"/>
              <c:layout>
                <c:manualLayout>
                  <c:x val="7.7777777777777779E-2"/>
                  <c:y val="-0.273132664437012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CF-4F46-973D-91010E84AD4C}"/>
                </c:ext>
              </c:extLst>
            </c:dLbl>
            <c:dLbl>
              <c:idx val="3"/>
              <c:layout>
                <c:manualLayout>
                  <c:x val="0.11388888888888889"/>
                  <c:y val="-0.3901895206243032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CF-4F46-973D-91010E84AD4C}"/>
                </c:ext>
              </c:extLst>
            </c:dLbl>
            <c:dLbl>
              <c:idx val="4"/>
              <c:layout>
                <c:manualLayout>
                  <c:x val="0.12222222222222222"/>
                  <c:y val="-0.1170568561872909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CF-4F46-973D-91010E84AD4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Table'!$A$4:$A$9</c:f>
              <c:strCache>
                <c:ptCount val="5"/>
                <c:pt idx="0">
                  <c:v>Beauty</c:v>
                </c:pt>
                <c:pt idx="1">
                  <c:v>Clothing</c:v>
                </c:pt>
                <c:pt idx="2">
                  <c:v>Electronics</c:v>
                </c:pt>
                <c:pt idx="3">
                  <c:v>Home</c:v>
                </c:pt>
                <c:pt idx="4">
                  <c:v>Sports</c:v>
                </c:pt>
              </c:strCache>
            </c:strRef>
          </c:cat>
          <c:val>
            <c:numRef>
              <c:f>'Pivot Table'!$B$4:$B$9</c:f>
              <c:numCache>
                <c:formatCode>General</c:formatCode>
                <c:ptCount val="5"/>
                <c:pt idx="0">
                  <c:v>86661.546499999997</c:v>
                </c:pt>
                <c:pt idx="1">
                  <c:v>101680.30420000006</c:v>
                </c:pt>
                <c:pt idx="2">
                  <c:v>137388.34639999995</c:v>
                </c:pt>
                <c:pt idx="3">
                  <c:v>92599.53330000001</c:v>
                </c:pt>
                <c:pt idx="4">
                  <c:v>148806.75179999997</c:v>
                </c:pt>
              </c:numCache>
            </c:numRef>
          </c:val>
          <c:extLst>
            <c:ext xmlns:c16="http://schemas.microsoft.com/office/drawing/2014/chart" uri="{C3380CC4-5D6E-409C-BE32-E72D297353CC}">
              <c16:uniqueId val="{00000000-99CF-4F46-973D-91010E84AD4C}"/>
            </c:ext>
          </c:extLst>
        </c:ser>
        <c:dLbls>
          <c:showLegendKey val="0"/>
          <c:showVal val="0"/>
          <c:showCatName val="0"/>
          <c:showSerName val="0"/>
          <c:showPercent val="0"/>
          <c:showBubbleSize val="0"/>
        </c:dLbls>
        <c:gapWidth val="150"/>
        <c:shape val="box"/>
        <c:axId val="1341022528"/>
        <c:axId val="1341026368"/>
        <c:axId val="0"/>
      </c:bar3DChart>
      <c:catAx>
        <c:axId val="1341022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26368"/>
        <c:crosses val="autoZero"/>
        <c:auto val="1"/>
        <c:lblAlgn val="ctr"/>
        <c:lblOffset val="100"/>
        <c:noMultiLvlLbl val="0"/>
      </c:catAx>
      <c:valAx>
        <c:axId val="13410263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2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Table'!$A$18:$A$38</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Table'!$B$18:$B$38</c:f>
              <c:numCache>
                <c:formatCode>General</c:formatCode>
                <c:ptCount val="20"/>
                <c:pt idx="0">
                  <c:v>6661</c:v>
                </c:pt>
                <c:pt idx="1">
                  <c:v>5803</c:v>
                </c:pt>
                <c:pt idx="2">
                  <c:v>6322</c:v>
                </c:pt>
                <c:pt idx="3">
                  <c:v>5758</c:v>
                </c:pt>
                <c:pt idx="4">
                  <c:v>8365</c:v>
                </c:pt>
                <c:pt idx="5">
                  <c:v>5026</c:v>
                </c:pt>
                <c:pt idx="6">
                  <c:v>6661</c:v>
                </c:pt>
                <c:pt idx="7">
                  <c:v>6451</c:v>
                </c:pt>
                <c:pt idx="8">
                  <c:v>6606</c:v>
                </c:pt>
                <c:pt idx="9">
                  <c:v>6893</c:v>
                </c:pt>
                <c:pt idx="10">
                  <c:v>5107</c:v>
                </c:pt>
                <c:pt idx="11">
                  <c:v>6201</c:v>
                </c:pt>
                <c:pt idx="12">
                  <c:v>7158</c:v>
                </c:pt>
                <c:pt idx="13">
                  <c:v>8693</c:v>
                </c:pt>
                <c:pt idx="14">
                  <c:v>6934</c:v>
                </c:pt>
                <c:pt idx="15">
                  <c:v>5817</c:v>
                </c:pt>
                <c:pt idx="16">
                  <c:v>7902</c:v>
                </c:pt>
                <c:pt idx="17">
                  <c:v>9110</c:v>
                </c:pt>
                <c:pt idx="18">
                  <c:v>11145</c:v>
                </c:pt>
                <c:pt idx="19">
                  <c:v>5437</c:v>
                </c:pt>
              </c:numCache>
            </c:numRef>
          </c:val>
          <c:smooth val="0"/>
          <c:extLst>
            <c:ext xmlns:c16="http://schemas.microsoft.com/office/drawing/2014/chart" uri="{C3380CC4-5D6E-409C-BE32-E72D297353CC}">
              <c16:uniqueId val="{00000000-10E3-4679-8086-B66232E9508F}"/>
            </c:ext>
          </c:extLst>
        </c:ser>
        <c:dLbls>
          <c:showLegendKey val="0"/>
          <c:showVal val="0"/>
          <c:showCatName val="0"/>
          <c:showSerName val="0"/>
          <c:showPercent val="0"/>
          <c:showBubbleSize val="0"/>
        </c:dLbls>
        <c:marker val="1"/>
        <c:smooth val="0"/>
        <c:axId val="1341044128"/>
        <c:axId val="1341047488"/>
      </c:lineChart>
      <c:catAx>
        <c:axId val="1341044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47488"/>
        <c:crosses val="autoZero"/>
        <c:auto val="1"/>
        <c:lblAlgn val="ctr"/>
        <c:lblOffset val="100"/>
        <c:noMultiLvlLbl val="0"/>
      </c:catAx>
      <c:valAx>
        <c:axId val="1341047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4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Table!PivotTable4</c:name>
    <c:fmtId val="2"/>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18AB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1099.1091507575759</c:v>
                </c:pt>
                <c:pt idx="1">
                  <c:v>1166.2792234482749</c:v>
                </c:pt>
                <c:pt idx="2">
                  <c:v>1232.376292857143</c:v>
                </c:pt>
                <c:pt idx="3">
                  <c:v>1035.3711114754099</c:v>
                </c:pt>
              </c:numCache>
            </c:numRef>
          </c:val>
          <c:extLst>
            <c:ext xmlns:c16="http://schemas.microsoft.com/office/drawing/2014/chart" uri="{C3380CC4-5D6E-409C-BE32-E72D297353CC}">
              <c16:uniqueId val="{00000000-A6A1-4E8B-8842-9712CA2500CB}"/>
            </c:ext>
          </c:extLst>
        </c:ser>
        <c:dLbls>
          <c:showLegendKey val="0"/>
          <c:showVal val="0"/>
          <c:showCatName val="0"/>
          <c:showSerName val="0"/>
          <c:showPercent val="0"/>
          <c:showBubbleSize val="0"/>
        </c:dLbls>
        <c:gapWidth val="84"/>
        <c:gapDepth val="53"/>
        <c:shape val="box"/>
        <c:axId val="1341030208"/>
        <c:axId val="1341030688"/>
        <c:axId val="0"/>
      </c:bar3DChart>
      <c:catAx>
        <c:axId val="1341030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1030688"/>
        <c:crosses val="autoZero"/>
        <c:auto val="1"/>
        <c:lblAlgn val="ctr"/>
        <c:lblOffset val="100"/>
        <c:noMultiLvlLbl val="0"/>
      </c:catAx>
      <c:valAx>
        <c:axId val="1341030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103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[Gayathri Excel Capstone - Ecommerce Project.xlsx]Pivot Table!PivotTable5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Table'!$E$11:$E$12</c:f>
              <c:strCache>
                <c:ptCount val="1"/>
                <c:pt idx="0">
                  <c:v>Flagship</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Table'!$D$13:$D$15</c:f>
              <c:strCache>
                <c:ptCount val="2"/>
                <c:pt idx="0">
                  <c:v>Female</c:v>
                </c:pt>
                <c:pt idx="1">
                  <c:v>Male</c:v>
                </c:pt>
              </c:strCache>
            </c:strRef>
          </c:cat>
          <c:val>
            <c:numRef>
              <c:f>'Pivot Table'!$E$13:$E$15</c:f>
              <c:numCache>
                <c:formatCode>General</c:formatCode>
                <c:ptCount val="2"/>
                <c:pt idx="0">
                  <c:v>1117.3400271604942</c:v>
                </c:pt>
                <c:pt idx="1">
                  <c:v>1079.5623697674416</c:v>
                </c:pt>
              </c:numCache>
            </c:numRef>
          </c:val>
          <c:extLst>
            <c:ext xmlns:c16="http://schemas.microsoft.com/office/drawing/2014/chart" uri="{C3380CC4-5D6E-409C-BE32-E72D297353CC}">
              <c16:uniqueId val="{00000000-22D2-48BA-AD38-95585F71A200}"/>
            </c:ext>
          </c:extLst>
        </c:ser>
        <c:ser>
          <c:idx val="1"/>
          <c:order val="1"/>
          <c:tx>
            <c:strRef>
              <c:f>'Pivot Table'!$F$11:$F$12</c:f>
              <c:strCache>
                <c:ptCount val="1"/>
                <c:pt idx="0">
                  <c:v>Online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Table'!$D$13:$D$15</c:f>
              <c:strCache>
                <c:ptCount val="2"/>
                <c:pt idx="0">
                  <c:v>Female</c:v>
                </c:pt>
                <c:pt idx="1">
                  <c:v>Male</c:v>
                </c:pt>
              </c:strCache>
            </c:strRef>
          </c:cat>
          <c:val>
            <c:numRef>
              <c:f>'Pivot Table'!$F$13:$F$15</c:f>
              <c:numCache>
                <c:formatCode>General</c:formatCode>
                <c:ptCount val="2"/>
                <c:pt idx="0">
                  <c:v>1339.007813793103</c:v>
                </c:pt>
                <c:pt idx="1">
                  <c:v>1029.3051400000002</c:v>
                </c:pt>
              </c:numCache>
            </c:numRef>
          </c:val>
          <c:extLst>
            <c:ext xmlns:c16="http://schemas.microsoft.com/office/drawing/2014/chart" uri="{C3380CC4-5D6E-409C-BE32-E72D297353CC}">
              <c16:uniqueId val="{00000001-22D2-48BA-AD38-95585F71A200}"/>
            </c:ext>
          </c:extLst>
        </c:ser>
        <c:ser>
          <c:idx val="2"/>
          <c:order val="2"/>
          <c:tx>
            <c:strRef>
              <c:f>'Pivot Table'!$G$11:$G$12</c:f>
              <c:strCache>
                <c:ptCount val="1"/>
                <c:pt idx="0">
                  <c:v>Outlet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Table'!$D$13:$D$15</c:f>
              <c:strCache>
                <c:ptCount val="2"/>
                <c:pt idx="0">
                  <c:v>Female</c:v>
                </c:pt>
                <c:pt idx="1">
                  <c:v>Male</c:v>
                </c:pt>
              </c:strCache>
            </c:strRef>
          </c:cat>
          <c:val>
            <c:numRef>
              <c:f>'Pivot Table'!$G$13:$G$15</c:f>
              <c:numCache>
                <c:formatCode>General</c:formatCode>
                <c:ptCount val="2"/>
                <c:pt idx="0">
                  <c:v>1183.8101758064518</c:v>
                </c:pt>
                <c:pt idx="1">
                  <c:v>1118.8428380952382</c:v>
                </c:pt>
              </c:numCache>
            </c:numRef>
          </c:val>
          <c:extLst>
            <c:ext xmlns:c16="http://schemas.microsoft.com/office/drawing/2014/chart" uri="{C3380CC4-5D6E-409C-BE32-E72D297353CC}">
              <c16:uniqueId val="{00000002-22D2-48BA-AD38-95585F71A200}"/>
            </c:ext>
          </c:extLst>
        </c:ser>
        <c:dLbls>
          <c:showLegendKey val="0"/>
          <c:showVal val="0"/>
          <c:showCatName val="0"/>
          <c:showSerName val="0"/>
          <c:showPercent val="0"/>
          <c:showBubbleSize val="0"/>
        </c:dLbls>
        <c:gapWidth val="150"/>
        <c:shape val="box"/>
        <c:axId val="1341038368"/>
        <c:axId val="1341046528"/>
        <c:axId val="0"/>
      </c:bar3DChart>
      <c:catAx>
        <c:axId val="134103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46528"/>
        <c:crosses val="autoZero"/>
        <c:auto val="1"/>
        <c:lblAlgn val="ctr"/>
        <c:lblOffset val="100"/>
        <c:noMultiLvlLbl val="0"/>
      </c:catAx>
      <c:valAx>
        <c:axId val="13410465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3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487680</xdr:colOff>
      <xdr:row>0</xdr:row>
      <xdr:rowOff>26670</xdr:rowOff>
    </xdr:from>
    <xdr:to>
      <xdr:col>17</xdr:col>
      <xdr:colOff>182880</xdr:colOff>
      <xdr:row>15</xdr:row>
      <xdr:rowOff>26670</xdr:rowOff>
    </xdr:to>
    <xdr:graphicFrame macro="">
      <xdr:nvGraphicFramePr>
        <xdr:cNvPr id="2" name="Chart 1">
          <a:extLst>
            <a:ext uri="{FF2B5EF4-FFF2-40B4-BE49-F238E27FC236}">
              <a16:creationId xmlns:a16="http://schemas.microsoft.com/office/drawing/2014/main" id="{A879F49A-89C6-4B35-3779-726D4DCF7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68580</xdr:colOff>
      <xdr:row>0</xdr:row>
      <xdr:rowOff>41910</xdr:rowOff>
    </xdr:from>
    <xdr:to>
      <xdr:col>9</xdr:col>
      <xdr:colOff>160020</xdr:colOff>
      <xdr:row>8</xdr:row>
      <xdr:rowOff>91440</xdr:rowOff>
    </xdr:to>
    <xdr:graphicFrame macro="">
      <xdr:nvGraphicFramePr>
        <xdr:cNvPr id="3" name="Chart 2">
          <a:extLst>
            <a:ext uri="{FF2B5EF4-FFF2-40B4-BE49-F238E27FC236}">
              <a16:creationId xmlns:a16="http://schemas.microsoft.com/office/drawing/2014/main" id="{8E5E524C-DE57-C382-85BC-95D8EC62E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xdr:colOff>
      <xdr:row>16</xdr:row>
      <xdr:rowOff>3810</xdr:rowOff>
    </xdr:from>
    <xdr:to>
      <xdr:col>5</xdr:col>
      <xdr:colOff>594360</xdr:colOff>
      <xdr:row>31</xdr:row>
      <xdr:rowOff>3810</xdr:rowOff>
    </xdr:to>
    <xdr:graphicFrame macro="">
      <xdr:nvGraphicFramePr>
        <xdr:cNvPr id="4" name="Chart 3">
          <a:extLst>
            <a:ext uri="{FF2B5EF4-FFF2-40B4-BE49-F238E27FC236}">
              <a16:creationId xmlns:a16="http://schemas.microsoft.com/office/drawing/2014/main" id="{B9DDBD70-60E9-58B1-75F7-D66706ED0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670560</xdr:colOff>
      <xdr:row>15</xdr:row>
      <xdr:rowOff>140970</xdr:rowOff>
    </xdr:from>
    <xdr:to>
      <xdr:col>9</xdr:col>
      <xdr:colOff>464820</xdr:colOff>
      <xdr:row>26</xdr:row>
      <xdr:rowOff>83820</xdr:rowOff>
    </xdr:to>
    <xdr:graphicFrame macro="">
      <xdr:nvGraphicFramePr>
        <xdr:cNvPr id="5" name="Chart 4">
          <a:extLst>
            <a:ext uri="{FF2B5EF4-FFF2-40B4-BE49-F238E27FC236}">
              <a16:creationId xmlns:a16="http://schemas.microsoft.com/office/drawing/2014/main" id="{40087570-E381-8AFC-B9E9-4683BF337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502920</xdr:colOff>
      <xdr:row>15</xdr:row>
      <xdr:rowOff>64770</xdr:rowOff>
    </xdr:from>
    <xdr:to>
      <xdr:col>17</xdr:col>
      <xdr:colOff>198120</xdr:colOff>
      <xdr:row>30</xdr:row>
      <xdr:rowOff>64770</xdr:rowOff>
    </xdr:to>
    <xdr:graphicFrame macro="">
      <xdr:nvGraphicFramePr>
        <xdr:cNvPr id="6" name="Chart 5">
          <a:extLst>
            <a:ext uri="{FF2B5EF4-FFF2-40B4-BE49-F238E27FC236}">
              <a16:creationId xmlns:a16="http://schemas.microsoft.com/office/drawing/2014/main" id="{879A3A35-2FBE-C1E8-2E59-55DACF0F3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198120</xdr:colOff>
      <xdr:row>7</xdr:row>
      <xdr:rowOff>15241</xdr:rowOff>
    </xdr:from>
    <xdr:to>
      <xdr:col>20</xdr:col>
      <xdr:colOff>198120</xdr:colOff>
      <xdr:row>11</xdr:row>
      <xdr:rowOff>167641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3F8F305-9DC1-1C0C-3007-86F4BD00E9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767560" y="1295401"/>
              <a:ext cx="18288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205740</xdr:colOff>
      <xdr:row>21</xdr:row>
      <xdr:rowOff>38101</xdr:rowOff>
    </xdr:from>
    <xdr:to>
      <xdr:col>20</xdr:col>
      <xdr:colOff>205740</xdr:colOff>
      <xdr:row>29</xdr:row>
      <xdr:rowOff>30481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805412B-3888-531D-C392-3F3AD7CA0E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75180" y="387858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0</xdr:row>
      <xdr:rowOff>60961</xdr:rowOff>
    </xdr:from>
    <xdr:to>
      <xdr:col>20</xdr:col>
      <xdr:colOff>198120</xdr:colOff>
      <xdr:row>6</xdr:row>
      <xdr:rowOff>137161</xdr:rowOff>
    </xdr:to>
    <mc:AlternateContent xmlns:mc="http://schemas.openxmlformats.org/markup-compatibility/2006" xmlns:a14="http://schemas.microsoft.com/office/drawing/2010/main">
      <mc:Choice Requires="a14">
        <xdr:graphicFrame macro="">
          <xdr:nvGraphicFramePr>
            <xdr:cNvPr id="9" name="Store Type">
              <a:extLst>
                <a:ext uri="{FF2B5EF4-FFF2-40B4-BE49-F238E27FC236}">
                  <a16:creationId xmlns:a16="http://schemas.microsoft.com/office/drawing/2014/main" id="{A27F3630-8414-46BE-0861-11975A8912E1}"/>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mlns="">
        <xdr:sp macro="" textlink="">
          <xdr:nvSpPr>
            <xdr:cNvPr id="0" name=""/>
            <xdr:cNvSpPr>
              <a:spLocks noTextEdit="1"/>
            </xdr:cNvSpPr>
          </xdr:nvSpPr>
          <xdr:spPr>
            <a:xfrm>
              <a:off x="14767560" y="6096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12</xdr:row>
      <xdr:rowOff>30481</xdr:rowOff>
    </xdr:from>
    <xdr:to>
      <xdr:col>20</xdr:col>
      <xdr:colOff>190500</xdr:colOff>
      <xdr:row>21</xdr:row>
      <xdr:rowOff>15241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A111BBE-BCC3-6918-A40F-CB75DFD658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59940" y="2225041"/>
              <a:ext cx="182880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541020</xdr:colOff>
      <xdr:row>2</xdr:row>
      <xdr:rowOff>15240</xdr:rowOff>
    </xdr:from>
    <xdr:to>
      <xdr:col>18</xdr:col>
      <xdr:colOff>83820</xdr:colOff>
      <xdr:row>15</xdr:row>
      <xdr:rowOff>22860</xdr:rowOff>
    </xdr:to>
    <xdr:graphicFrame macro="">
      <xdr:nvGraphicFramePr>
        <xdr:cNvPr id="2" name="Chart 1">
          <a:extLst>
            <a:ext uri="{FF2B5EF4-FFF2-40B4-BE49-F238E27FC236}">
              <a16:creationId xmlns:a16="http://schemas.microsoft.com/office/drawing/2014/main" id="{7D637731-BE42-4628-8534-4F84C2A1E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15</xdr:row>
      <xdr:rowOff>15240</xdr:rowOff>
    </xdr:from>
    <xdr:to>
      <xdr:col>12</xdr:col>
      <xdr:colOff>563880</xdr:colOff>
      <xdr:row>27</xdr:row>
      <xdr:rowOff>99060</xdr:rowOff>
    </xdr:to>
    <xdr:graphicFrame macro="">
      <xdr:nvGraphicFramePr>
        <xdr:cNvPr id="5" name="Chart 4">
          <a:extLst>
            <a:ext uri="{FF2B5EF4-FFF2-40B4-BE49-F238E27FC236}">
              <a16:creationId xmlns:a16="http://schemas.microsoft.com/office/drawing/2014/main" id="{467A45E9-0D14-4F62-BB2C-775347455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15240</xdr:rowOff>
    </xdr:from>
    <xdr:to>
      <xdr:col>12</xdr:col>
      <xdr:colOff>541020</xdr:colOff>
      <xdr:row>15</xdr:row>
      <xdr:rowOff>15240</xdr:rowOff>
    </xdr:to>
    <xdr:graphicFrame macro="">
      <xdr:nvGraphicFramePr>
        <xdr:cNvPr id="6" name="Chart 5">
          <a:extLst>
            <a:ext uri="{FF2B5EF4-FFF2-40B4-BE49-F238E27FC236}">
              <a16:creationId xmlns:a16="http://schemas.microsoft.com/office/drawing/2014/main" id="{31CF798A-9694-4C34-8D8A-94690E888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15240</xdr:rowOff>
    </xdr:from>
    <xdr:to>
      <xdr:col>5</xdr:col>
      <xdr:colOff>251460</xdr:colOff>
      <xdr:row>29</xdr:row>
      <xdr:rowOff>26670</xdr:rowOff>
    </xdr:to>
    <xdr:graphicFrame macro="">
      <xdr:nvGraphicFramePr>
        <xdr:cNvPr id="7" name="Chart 6">
          <a:extLst>
            <a:ext uri="{FF2B5EF4-FFF2-40B4-BE49-F238E27FC236}">
              <a16:creationId xmlns:a16="http://schemas.microsoft.com/office/drawing/2014/main" id="{307FF86E-5326-4B19-BE89-D9566BAD4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556260</xdr:colOff>
      <xdr:row>15</xdr:row>
      <xdr:rowOff>15240</xdr:rowOff>
    </xdr:from>
    <xdr:to>
      <xdr:col>23</xdr:col>
      <xdr:colOff>137160</xdr:colOff>
      <xdr:row>27</xdr:row>
      <xdr:rowOff>129540</xdr:rowOff>
    </xdr:to>
    <xdr:graphicFrame macro="">
      <xdr:nvGraphicFramePr>
        <xdr:cNvPr id="8" name="Chart 7">
          <a:extLst>
            <a:ext uri="{FF2B5EF4-FFF2-40B4-BE49-F238E27FC236}">
              <a16:creationId xmlns:a16="http://schemas.microsoft.com/office/drawing/2014/main" id="{2AFF5343-1525-413A-BE12-63F3511D8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76200</xdr:colOff>
      <xdr:row>2</xdr:row>
      <xdr:rowOff>0</xdr:rowOff>
    </xdr:from>
    <xdr:to>
      <xdr:col>20</xdr:col>
      <xdr:colOff>495300</xdr:colOff>
      <xdr:row>8</xdr:row>
      <xdr:rowOff>99060</xdr:rowOff>
    </xdr:to>
    <mc:AlternateContent xmlns:mc="http://schemas.openxmlformats.org/markup-compatibility/2006" xmlns:a14="http://schemas.microsoft.com/office/drawing/2010/main">
      <mc:Choice Requires="a14">
        <xdr:graphicFrame macro="">
          <xdr:nvGraphicFramePr>
            <xdr:cNvPr id="9" name="Store Type 1">
              <a:extLst>
                <a:ext uri="{FF2B5EF4-FFF2-40B4-BE49-F238E27FC236}">
                  <a16:creationId xmlns:a16="http://schemas.microsoft.com/office/drawing/2014/main" id="{EF53F942-A7BA-41A0-8517-5E0B31DE2CD6}"/>
                </a:ext>
              </a:extLst>
            </xdr:cNvPr>
            <xdr:cNvGraphicFramePr/>
          </xdr:nvGraphicFramePr>
          <xdr:xfrm>
            <a:off x="0" y="0"/>
            <a:ext cx="0" cy="0"/>
          </xdr:xfrm>
          <a:graphic>
            <a:graphicData uri="http://schemas.microsoft.com/office/drawing/2010/slicer">
              <sle:slicer xmlns:sle="http://schemas.microsoft.com/office/drawing/2010/slicer" name="Store Type 1"/>
            </a:graphicData>
          </a:graphic>
        </xdr:graphicFrame>
      </mc:Choice>
      <mc:Fallback xmlns="">
        <xdr:sp macro="" textlink="">
          <xdr:nvSpPr>
            <xdr:cNvPr id="0" name=""/>
            <xdr:cNvSpPr>
              <a:spLocks noTextEdit="1"/>
            </xdr:cNvSpPr>
          </xdr:nvSpPr>
          <xdr:spPr>
            <a:xfrm>
              <a:off x="11049000" y="365760"/>
              <a:ext cx="16383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472440</xdr:colOff>
      <xdr:row>10</xdr:row>
      <xdr:rowOff>114300</xdr:rowOff>
    </xdr:from>
    <xdr:to>
      <xdr:col>23</xdr:col>
      <xdr:colOff>274320</xdr:colOff>
      <xdr:row>15</xdr:row>
      <xdr:rowOff>22860</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36EF6117-91A8-4287-B103-42F6665F562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664440" y="1943100"/>
              <a:ext cx="163068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487680</xdr:colOff>
      <xdr:row>2</xdr:row>
      <xdr:rowOff>0</xdr:rowOff>
    </xdr:from>
    <xdr:to>
      <xdr:col>23</xdr:col>
      <xdr:colOff>152400</xdr:colOff>
      <xdr:row>10</xdr:row>
      <xdr:rowOff>167640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4061FDC-240B-407E-B03D-1FC44F74958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79680" y="365760"/>
              <a:ext cx="1493520"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8</xdr:row>
      <xdr:rowOff>76200</xdr:rowOff>
    </xdr:from>
    <xdr:to>
      <xdr:col>20</xdr:col>
      <xdr:colOff>495300</xdr:colOff>
      <xdr:row>15</xdr:row>
      <xdr:rowOff>22860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1F05297E-7196-4848-AC04-94C2B0FE97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49000" y="1539240"/>
              <a:ext cx="16383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vananingoogle ." refreshedDate="46003.124991898148" createdVersion="8" refreshedVersion="8" minRefreshableVersion="3" recordCount="492" xr:uid="{83FE47B3-22AB-4E89-ABA7-DD1C0834464E}">
  <cacheSource type="worksheet">
    <worksheetSource name="Table7"/>
  </cacheSource>
  <cacheFields count="19">
    <cacheField name="Customer ID" numFmtId="0">
      <sharedItems/>
    </cacheField>
    <cacheField name="Store ID" numFmtId="0">
      <sharedItems count="20">
        <s v="STORE16"/>
        <s v="STORE14"/>
        <s v="STORE17"/>
        <s v="STORE12"/>
        <s v="STORE4"/>
        <s v="STORE15"/>
        <s v="STORE11"/>
        <s v="STORE13"/>
        <s v="STORE18"/>
        <s v="STORE8"/>
        <s v="STORE1"/>
        <s v="STORE9"/>
        <s v="STORE10"/>
        <s v="STORE3"/>
        <s v="STORE6"/>
        <s v="STORE2"/>
        <s v="STORE19"/>
        <s v="STORE0"/>
        <s v="STORE7"/>
        <s v="STORE5"/>
      </sharedItems>
    </cacheField>
    <cacheField name="Product 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76">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   jonesbury "/>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
        <s v="    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Port Richardshire"/>
        <s v="Chambersberg"/>
        <s v="Nathanshire"/>
        <s v="Fischerborough"/>
        <s v="West Jeffreyburgh"/>
        <s v="South Cassandrachester"/>
        <s v="Andrewsland"/>
        <s v="Novakstad"/>
        <s v="Jennifertown"/>
        <s v="North Michael"/>
        <s v="Lake Brandontown"/>
        <s v="New Dawn"/>
        <s v="Stevensshire"/>
        <s v="Joseland"/>
        <s v="Deniseberg"/>
        <s v="Dawnstad"/>
        <s v="Gutierrezstad"/>
        <s v="Stewartchester"/>
        <s v="Cannonberg"/>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South Davidport"/>
        <s v="Lake Elizabethside"/>
        <s v="North Nataliemouth"/>
        <s v="Kellyberg"/>
        <s v="Port Carol"/>
        <s v="Port Cheryl"/>
        <s v="Bryanmouth"/>
        <s v="North Seanfurt"/>
        <s v="Port William"/>
        <s v="Snyderfurt"/>
        <s v="East Valerieview"/>
      </sharedItems>
    </cacheField>
    <cacheField name="State" numFmtId="0">
      <sharedItems/>
    </cacheField>
    <cacheField name="Loyalty Level" numFmtId="0">
      <sharedItems count="4">
        <s v="Platinum"/>
        <s v="Bronze"/>
        <s v="Silver"/>
        <s v="Gold"/>
      </sharedItems>
    </cacheField>
    <cacheField name="Product Name" numFmtId="0">
      <sharedItems/>
    </cacheField>
    <cacheField name="Category" numFmtId="0">
      <sharedItems count="5">
        <s v="Beauty"/>
        <s v="Electronics"/>
        <s v="Home"/>
        <s v="Sports"/>
        <s v="Clothing"/>
      </sharedItems>
    </cacheField>
    <cacheField name="Sub Category" numFmtId="0">
      <sharedItems count="23">
        <s v="Skincare"/>
        <s v="Accessories"/>
        <s v="Lighting"/>
        <s v="Computer"/>
        <s v="Makeup"/>
        <s v="Equipment"/>
        <s v="Kitchen"/>
        <s v="Decor"/>
        <s v="Team Sports"/>
        <s v="Outdoor"/>
        <s v="Audio"/>
        <s v="Bottoms"/>
        <s v="Fitness"/>
        <s v="Storage"/>
        <s v="Furniture"/>
        <s v="Outerwear"/>
        <s v="Tops"/>
        <s v="Grooming"/>
        <s v="Haircare"/>
        <s v="Mobile"/>
        <s v="Footwear"/>
        <s v="Appliances"/>
        <s v="Fragrance"/>
      </sharedItems>
    </cacheField>
    <cacheField name="Brand" numFmtId="0">
      <sharedItems count="100">
        <s v="Anderson-Riley"/>
        <s v="Bautista, Green and Hale"/>
        <s v="Ramirez-Hanson"/>
        <s v="Hunt Inc"/>
        <s v="Cook Inc"/>
        <s v="Lopez LLC"/>
        <s v="Martin LLC"/>
        <s v="Flores-Davis"/>
        <s v="Stevens, Fernandez and Martin"/>
        <s v="Hernandez Inc"/>
        <s v="Weiss-Watson"/>
        <s v="Nolan-Snow"/>
        <s v="Khan, Jones and Paul"/>
        <s v="Cook Ltd"/>
        <s v="Reed-Schmidt"/>
        <s v="Guerra-Hendrix"/>
        <s v="Hernandez, Kennedy and Porter"/>
        <s v="Carroll, Long and Mendoza"/>
        <s v="Allison Ltd"/>
        <s v="Larson Ltd"/>
        <s v="Duran Group"/>
        <s v="Dawson-Perkins"/>
        <s v="Wolfe, Ross and Hester"/>
        <s v="Pineda Ltd"/>
        <s v="Wilson Group"/>
        <s v="Terry-Moore"/>
        <s v="Baldwin, Garza and Gonzalez"/>
        <s v="Taylor, Dodson and Johnston"/>
        <s v="Jones LLC"/>
        <s v="Murray, Gould and Ware"/>
        <s v="Erickson-Green"/>
        <s v="Kelly, Smith and Perez"/>
        <s v="Burns-Hansen"/>
        <s v="Khan LLC"/>
        <s v="Sharp, Taylor and Rodriguez"/>
        <s v="Bridges, Banks and Cummings"/>
        <s v="Torres, Spencer and Potter"/>
        <s v="Bruce-Bowen"/>
        <s v="Ford, Murphy and Wilson"/>
        <s v="Flores, Pineda and Rodriguez"/>
        <s v="Cummings and Sons"/>
        <s v="Moon, Mora and Santos"/>
        <s v="Zhang Inc"/>
        <s v="Byrd, Stewart and Valdez"/>
        <s v="Campbell Ltd"/>
        <s v="Gardner-Montes"/>
        <s v="Hogan-Lee"/>
        <s v="Olsen-Daniels"/>
        <s v="Thomas LLC"/>
        <s v="Sullivan and Sons"/>
        <s v="Sims-Smith"/>
        <s v="Gibson, Green and Lopez"/>
        <s v="Hoffman-Williams"/>
        <s v="Collins-Stephenson"/>
        <s v="Harris Inc"/>
        <s v="French Ltd"/>
        <s v="Butler Group"/>
        <s v="Hamilton Group"/>
        <s v="Griffin Ltd"/>
        <s v="Lucero LLC"/>
        <s v="Green, Powell and Palmer"/>
        <s v="Sims Inc"/>
        <s v="Atkinson, Camacho and Oliver"/>
        <s v="Montgomery, Benton and Miller"/>
        <s v="Taylor-Hart"/>
        <s v="Taylor-Elliott"/>
        <s v="Flores-King"/>
        <s v="Brown and Sons"/>
        <s v="Poole PLC"/>
        <s v="Perez-Johnston"/>
        <s v="Cline-Mccarthy"/>
        <s v="Rice LLC"/>
        <s v="Harrell LLC"/>
        <s v="Hatfield, Baird and Torres"/>
        <s v="Smith-Charles"/>
        <s v="Smith-Mills"/>
        <s v="Cox Inc"/>
        <s v="Fitzpatrick Ltd"/>
        <s v="Davis PLC"/>
        <s v="Gibson, Hobbs and Weaver"/>
        <s v="May-Reese"/>
        <s v="Robinson-Brown"/>
        <s v="Soto-Ellis"/>
        <s v="Thompson-French"/>
        <s v="White, Reeves and Woods"/>
        <s v="Aguilar, Horton and Lewis"/>
        <s v="Robinson Inc"/>
        <s v="Phillips and Sons"/>
        <s v="Holmes LLC"/>
        <s v="Richardson-Carrillo"/>
        <s v="Hoffman Group"/>
        <s v="Gonzales-Davis"/>
        <s v="Smith-King"/>
        <s v="Hill PLC"/>
        <s v="Hopkins Ltd"/>
        <s v="Hamilton, Woods and Walker"/>
        <s v="Shepherd-Gould"/>
        <s v="Davidson PLC"/>
        <s v="Reese-Watson"/>
        <s v="Luna, Anderson and Bowman"/>
      </sharedItems>
    </cacheField>
    <cacheField name="Cost" numFmtId="0">
      <sharedItems containsSemiMixedTypes="0" containsString="0" containsNumber="1" minValue="17.309999999999999" maxValue="495.72"/>
    </cacheField>
    <cacheField name="Stock" numFmtId="0">
      <sharedItems containsSemiMixedTypes="0" containsString="0" containsNumber="1" containsInteger="1" minValue="57" maxValue="496"/>
    </cacheField>
    <cacheField name="Store Name" numFmtId="0">
      <sharedItems/>
    </cacheField>
    <cacheField name="Region" numFmtId="0">
      <sharedItems count="4">
        <s v="West"/>
        <s v="South"/>
        <s v="North"/>
        <s v="East"/>
      </sharedItems>
    </cacheField>
    <cacheField name="Store Type" numFmtId="0">
      <sharedItems count="3">
        <s v="Flagship"/>
        <s v="Outlet"/>
        <s v="Online"/>
      </sharedItems>
    </cacheField>
    <cacheField name="Total Amount" numFmtId="0">
      <sharedItems containsSemiMixedTypes="0" containsString="0" containsNumber="1" minValue="24.442599999999999" maxValue="3908.2428"/>
    </cacheField>
  </cacheFields>
  <extLst>
    <ext xmlns:x14="http://schemas.microsoft.com/office/spreadsheetml/2009/9/main" uri="{725AE2AE-9491-48be-B2B4-4EB974FC3084}">
      <x14:pivotCacheDefinition pivotCacheId="776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s v="CUST1000"/>
    <x v="0"/>
    <s v="PROD63"/>
    <s v="Sheena Bonilla"/>
    <n v="55"/>
    <x v="0"/>
    <x v="0"/>
    <s v="North Carolina"/>
    <x v="0"/>
    <s v="Organic Sunscreen Lotion"/>
    <x v="0"/>
    <x v="0"/>
    <x v="0"/>
    <n v="266.86"/>
    <n v="458"/>
    <s v="Frederick-Wright"/>
    <x v="0"/>
    <x v="0"/>
    <n v="598.23900000000003"/>
  </r>
  <r>
    <s v="CUST1001"/>
    <x v="1"/>
    <s v="PROD51"/>
    <s v="Eugene Nelson"/>
    <n v="26"/>
    <x v="1"/>
    <x v="1"/>
    <s v="North Dakota"/>
    <x v="0"/>
    <s v="HDMI Cable – 2m"/>
    <x v="1"/>
    <x v="1"/>
    <x v="1"/>
    <n v="88.49"/>
    <n v="246"/>
    <s v="Mcdonald Inc"/>
    <x v="1"/>
    <x v="1"/>
    <n v="837.23609999999985"/>
  </r>
  <r>
    <s v="CUST1002"/>
    <x v="2"/>
    <s v="PROD79"/>
    <s v="Dr. Benjamin Price"/>
    <n v="29"/>
    <x v="1"/>
    <x v="2"/>
    <s v="Alabama"/>
    <x v="0"/>
    <s v="Decorative Lamp Shade"/>
    <x v="2"/>
    <x v="2"/>
    <x v="2"/>
    <n v="228.53"/>
    <n v="469"/>
    <s v="Holloway Ltd"/>
    <x v="2"/>
    <x v="0"/>
    <n v="602.25120000000004"/>
  </r>
  <r>
    <s v="CUST1003"/>
    <x v="1"/>
    <s v="PROD0"/>
    <s v="Jeremy Harris"/>
    <n v="59"/>
    <x v="1"/>
    <x v="3"/>
    <s v="Ohio"/>
    <x v="1"/>
    <s v="Brother Laser Printer"/>
    <x v="1"/>
    <x v="3"/>
    <x v="3"/>
    <n v="112.42"/>
    <n v="416"/>
    <s v="Mcdonald Inc"/>
    <x v="1"/>
    <x v="1"/>
    <n v="445.10399999999998"/>
  </r>
  <r>
    <s v="CUST1004"/>
    <x v="2"/>
    <s v="PROD47"/>
    <s v="Caroline Collins"/>
    <n v="64"/>
    <x v="1"/>
    <x v="4"/>
    <s v="California"/>
    <x v="2"/>
    <s v="Makeup Brush Set"/>
    <x v="0"/>
    <x v="4"/>
    <x v="4"/>
    <n v="241.07"/>
    <n v="431"/>
    <s v="Holloway Ltd"/>
    <x v="2"/>
    <x v="0"/>
    <n v="476.91660000000002"/>
  </r>
  <r>
    <s v="CUST1005"/>
    <x v="3"/>
    <s v="PROD61"/>
    <s v="Christine Vaughn"/>
    <n v="24"/>
    <x v="0"/>
    <x v="5"/>
    <s v="Oregon"/>
    <x v="1"/>
    <s v="Tennis Ball 3-Pack"/>
    <x v="3"/>
    <x v="5"/>
    <x v="5"/>
    <n v="103.45"/>
    <n v="465"/>
    <s v="Thomas, Bridges and Harris"/>
    <x v="2"/>
    <x v="2"/>
    <n v="2574.9856"/>
  </r>
  <r>
    <s v="CUST1006"/>
    <x v="4"/>
    <s v="PROD93"/>
    <s v="Amber Jackson"/>
    <n v="29"/>
    <x v="1"/>
    <x v="6"/>
    <s v="South Dakota"/>
    <x v="0"/>
    <s v="USB-C Laptop Charger"/>
    <x v="1"/>
    <x v="3"/>
    <x v="6"/>
    <n v="377.52"/>
    <n v="485"/>
    <s v="Alexander Group"/>
    <x v="1"/>
    <x v="2"/>
    <n v="1204.6944000000001"/>
  </r>
  <r>
    <s v="CUST1007"/>
    <x v="5"/>
    <s v="PROD67"/>
    <s v="Daniel Boyd"/>
    <n v="29"/>
    <x v="1"/>
    <x v="7"/>
    <s v="West Virginia"/>
    <x v="1"/>
    <s v="Smart LED Light Strip"/>
    <x v="1"/>
    <x v="1"/>
    <x v="7"/>
    <n v="349.17"/>
    <n v="476"/>
    <s v="Shelton PLC"/>
    <x v="2"/>
    <x v="0"/>
    <n v="502.10860000000002"/>
  </r>
  <r>
    <s v="CUST1008"/>
    <x v="6"/>
    <s v="PROD30"/>
    <s v="Melissa Howard"/>
    <n v="53"/>
    <x v="1"/>
    <x v="8"/>
    <s v="New Hampshire"/>
    <x v="3"/>
    <s v="Stainless Steel Cutlery Set"/>
    <x v="2"/>
    <x v="6"/>
    <x v="8"/>
    <n v="19.52"/>
    <n v="57"/>
    <s v="Aguirre-Keller"/>
    <x v="1"/>
    <x v="2"/>
    <n v="116.77079999999999"/>
  </r>
  <r>
    <s v="CUST1009"/>
    <x v="7"/>
    <s v="PROD78"/>
    <s v="Ms. Maria Leach"/>
    <n v="64"/>
    <x v="0"/>
    <x v="9"/>
    <s v="Pennsylvania"/>
    <x v="0"/>
    <s v="Essential Oil Diffuser"/>
    <x v="2"/>
    <x v="7"/>
    <x v="9"/>
    <n v="325.26"/>
    <n v="400"/>
    <s v="Gardner, Humphrey and Contreras"/>
    <x v="3"/>
    <x v="0"/>
    <n v="1173.508"/>
  </r>
  <r>
    <s v="CUST1010"/>
    <x v="8"/>
    <s v="PROD33"/>
    <s v="Dominic Page"/>
    <n v="53"/>
    <x v="0"/>
    <x v="10"/>
    <s v="Pennsylvania"/>
    <x v="1"/>
    <s v="Modern Wall Clock"/>
    <x v="2"/>
    <x v="7"/>
    <x v="10"/>
    <n v="179.77"/>
    <n v="305"/>
    <s v="Guerrero-Schmitt"/>
    <x v="3"/>
    <x v="0"/>
    <n v="616.21119999999996"/>
  </r>
  <r>
    <s v="CUST1011"/>
    <x v="2"/>
    <s v="PROD31"/>
    <s v="Brian Lopez"/>
    <n v="28"/>
    <x v="1"/>
    <x v="11"/>
    <s v="New York"/>
    <x v="3"/>
    <s v="Basketball"/>
    <x v="3"/>
    <x v="8"/>
    <x v="11"/>
    <n v="204.39"/>
    <n v="281"/>
    <s v="Holloway Ltd"/>
    <x v="2"/>
    <x v="0"/>
    <n v="560.37950000000001"/>
  </r>
  <r>
    <s v="CUST1012"/>
    <x v="9"/>
    <s v="PROD27"/>
    <s v="Kenneth Lambert"/>
    <n v="55"/>
    <x v="1"/>
    <x v="12"/>
    <s v="Kansas"/>
    <x v="0"/>
    <s v="Decorative Floor Vase"/>
    <x v="2"/>
    <x v="7"/>
    <x v="12"/>
    <n v="219.12"/>
    <n v="378"/>
    <s v="Bean, Jones and Park"/>
    <x v="0"/>
    <x v="2"/>
    <n v="1491.4119000000001"/>
  </r>
  <r>
    <s v="CUST1013"/>
    <x v="10"/>
    <s v="PROD24"/>
    <s v="Nathan Hernandez"/>
    <n v="32"/>
    <x v="1"/>
    <x v="13"/>
    <s v="Montana"/>
    <x v="2"/>
    <s v="Foldable Camping Chair"/>
    <x v="3"/>
    <x v="9"/>
    <x v="13"/>
    <n v="166.06"/>
    <n v="340"/>
    <s v="Martinez, Adkins and Johnson"/>
    <x v="2"/>
    <x v="0"/>
    <n v="1060.5816"/>
  </r>
  <r>
    <s v="CUST1014"/>
    <x v="11"/>
    <s v="PROD26"/>
    <s v="Ashley Cohen"/>
    <n v="53"/>
    <x v="1"/>
    <x v="14"/>
    <s v="Nebraska"/>
    <x v="2"/>
    <s v="Wireless Bluetooth Speaker"/>
    <x v="1"/>
    <x v="10"/>
    <x v="14"/>
    <n v="322.41000000000003"/>
    <n v="213"/>
    <s v="Moore, Padilla and Butler"/>
    <x v="1"/>
    <x v="0"/>
    <n v="817.15500000000009"/>
  </r>
  <r>
    <s v="CUST1015"/>
    <x v="1"/>
    <s v="PROD18"/>
    <s v="Laura Alvarez"/>
    <n v="49"/>
    <x v="1"/>
    <x v="15"/>
    <s v="Washington"/>
    <x v="0"/>
    <s v="Women's Denim Jeans"/>
    <x v="4"/>
    <x v="11"/>
    <x v="15"/>
    <n v="303.75"/>
    <n v="343"/>
    <s v="Mcdonald Inc"/>
    <x v="1"/>
    <x v="1"/>
    <n v="2676.6990000000001"/>
  </r>
  <r>
    <s v="CUST1016"/>
    <x v="4"/>
    <s v="PROD56"/>
    <s v="John Scott"/>
    <n v="24"/>
    <x v="1"/>
    <x v="16"/>
    <s v="Pennsylvania"/>
    <x v="1"/>
    <s v="Premium Blanket Throw"/>
    <x v="2"/>
    <x v="7"/>
    <x v="16"/>
    <n v="461.47"/>
    <n v="190"/>
    <s v="Alexander Group"/>
    <x v="1"/>
    <x v="2"/>
    <n v="1335.027"/>
  </r>
  <r>
    <s v="CUST1017"/>
    <x v="2"/>
    <s v="PROD41"/>
    <s v="Adam Cruz"/>
    <n v="60"/>
    <x v="1"/>
    <x v="17"/>
    <s v="Georgia"/>
    <x v="0"/>
    <s v="Yoga Exercise Mat"/>
    <x v="3"/>
    <x v="12"/>
    <x v="17"/>
    <n v="313.26"/>
    <n v="369"/>
    <s v="Holloway Ltd"/>
    <x v="2"/>
    <x v="0"/>
    <n v="480.41250000000002"/>
  </r>
  <r>
    <s v="CUST1018"/>
    <x v="5"/>
    <s v="PROD80"/>
    <s v="Rhonda Moss"/>
    <n v="43"/>
    <x v="0"/>
    <x v="18"/>
    <s v="Kansas"/>
    <x v="0"/>
    <s v="Wall-Mounted Spice Rack"/>
    <x v="2"/>
    <x v="6"/>
    <x v="18"/>
    <n v="143.43"/>
    <n v="58"/>
    <s v="Shelton PLC"/>
    <x v="2"/>
    <x v="0"/>
    <n v="1746.712"/>
  </r>
  <r>
    <s v="CUST1019"/>
    <x v="12"/>
    <s v="PROD76"/>
    <s v="Michael Torres"/>
    <n v="46"/>
    <x v="1"/>
    <x v="19"/>
    <s v="New Jersey"/>
    <x v="0"/>
    <s v="Wireless Mouse"/>
    <x v="1"/>
    <x v="3"/>
    <x v="19"/>
    <n v="392.89"/>
    <n v="320"/>
    <s v="Hill, Wagner and Ballard"/>
    <x v="3"/>
    <x v="2"/>
    <n v="1029.4649999999999"/>
  </r>
  <r>
    <s v="CUST1020"/>
    <x v="8"/>
    <s v="PROD70"/>
    <s v="Bridget Allen"/>
    <n v="59"/>
    <x v="0"/>
    <x v="20"/>
    <s v="Delaware"/>
    <x v="2"/>
    <s v="Kitchen Storage Rack"/>
    <x v="2"/>
    <x v="13"/>
    <x v="20"/>
    <n v="138.05000000000001"/>
    <n v="89"/>
    <s v="Guerrero-Schmitt"/>
    <x v="3"/>
    <x v="0"/>
    <n v="1084.6812"/>
  </r>
  <r>
    <s v="CUST1021"/>
    <x v="8"/>
    <s v="PROD26"/>
    <s v="Jeff Martinez"/>
    <n v="36"/>
    <x v="1"/>
    <x v="21"/>
    <s v="Oklahoma"/>
    <x v="3"/>
    <s v="Wireless Bluetooth Speaker"/>
    <x v="1"/>
    <x v="10"/>
    <x v="14"/>
    <n v="322.41000000000003"/>
    <n v="213"/>
    <s v="Guerrero-Schmitt"/>
    <x v="3"/>
    <x v="0"/>
    <n v="138.4229"/>
  </r>
  <r>
    <s v="CUST1022"/>
    <x v="9"/>
    <s v="PROD13"/>
    <s v="Paul Fox"/>
    <n v="33"/>
    <x v="1"/>
    <x v="22"/>
    <s v="Hawaii"/>
    <x v="2"/>
    <s v="USB-C Fast Charger"/>
    <x v="1"/>
    <x v="1"/>
    <x v="21"/>
    <n v="242.23"/>
    <n v="453"/>
    <s v="Bean, Jones and Park"/>
    <x v="0"/>
    <x v="2"/>
    <n v="1584.7840000000001"/>
  </r>
  <r>
    <s v="CUST1023"/>
    <x v="13"/>
    <s v="PROD68"/>
    <s v="Jonathan Steele"/>
    <n v="52"/>
    <x v="1"/>
    <x v="23"/>
    <s v="Oregon"/>
    <x v="2"/>
    <s v="Wooden Nightstand"/>
    <x v="2"/>
    <x v="14"/>
    <x v="22"/>
    <n v="243.7"/>
    <n v="130"/>
    <s v="Johnson-Wright"/>
    <x v="2"/>
    <x v="1"/>
    <n v="1341.87"/>
  </r>
  <r>
    <s v="CUST1024"/>
    <x v="14"/>
    <s v="PROD3"/>
    <s v="Heather Collins"/>
    <n v="40"/>
    <x v="0"/>
    <x v="24"/>
    <s v="Idaho"/>
    <x v="0"/>
    <s v="Men's Running Jacket"/>
    <x v="4"/>
    <x v="15"/>
    <x v="23"/>
    <n v="364.67"/>
    <n v="452"/>
    <s v="Benson-Elliott"/>
    <x v="3"/>
    <x v="2"/>
    <n v="1143.252"/>
  </r>
  <r>
    <s v="CUST1025"/>
    <x v="12"/>
    <s v="PROD95"/>
    <s v="Diana Taylor"/>
    <n v="59"/>
    <x v="1"/>
    <x v="25"/>
    <s v="California"/>
    <x v="1"/>
    <s v="Sports Stopwatch Basic"/>
    <x v="3"/>
    <x v="1"/>
    <x v="24"/>
    <n v="60.65"/>
    <n v="75"/>
    <s v="Hill, Wagner and Ballard"/>
    <x v="3"/>
    <x v="2"/>
    <n v="727.28659999999991"/>
  </r>
  <r>
    <s v="CUST1026"/>
    <x v="15"/>
    <s v="PROD1"/>
    <s v="Amber Carlson"/>
    <n v="18"/>
    <x v="1"/>
    <x v="26"/>
    <s v="Missouri"/>
    <x v="3"/>
    <s v="Men's Graphic T-Shirt"/>
    <x v="4"/>
    <x v="16"/>
    <x v="25"/>
    <n v="342.56"/>
    <n v="181"/>
    <s v="Black-Horn"/>
    <x v="1"/>
    <x v="1"/>
    <n v="794.62400000000002"/>
  </r>
  <r>
    <s v="CUST1027"/>
    <x v="16"/>
    <s v="PROD24"/>
    <s v="Leslie Johnson"/>
    <n v="31"/>
    <x v="0"/>
    <x v="27"/>
    <s v="Utah"/>
    <x v="0"/>
    <s v="Foldable Camping Chair"/>
    <x v="3"/>
    <x v="9"/>
    <x v="13"/>
    <n v="166.06"/>
    <n v="340"/>
    <s v="Mann-Austin"/>
    <x v="3"/>
    <x v="2"/>
    <n v="2312.2568999999999"/>
  </r>
  <r>
    <s v="CUST1028"/>
    <x v="16"/>
    <s v="PROD5"/>
    <s v="Joshua Ryan"/>
    <n v="27"/>
    <x v="1"/>
    <x v="28"/>
    <s v="New Jersey"/>
    <x v="0"/>
    <s v="Men's Leather Belt"/>
    <x v="4"/>
    <x v="1"/>
    <x v="26"/>
    <n v="261"/>
    <n v="59"/>
    <s v="Mann-Austin"/>
    <x v="3"/>
    <x v="2"/>
    <n v="373.56060000000002"/>
  </r>
  <r>
    <s v="CUST1029"/>
    <x v="6"/>
    <s v="PROD86"/>
    <s v="David Arnold"/>
    <n v="54"/>
    <x v="1"/>
    <x v="29"/>
    <s v="California"/>
    <x v="2"/>
    <s v="Kitchen Cutting Board"/>
    <x v="2"/>
    <x v="6"/>
    <x v="27"/>
    <n v="176.07"/>
    <n v="82"/>
    <s v="Aguirre-Keller"/>
    <x v="1"/>
    <x v="2"/>
    <n v="1636.1117999999999"/>
  </r>
  <r>
    <s v="CUST1030"/>
    <x v="5"/>
    <s v="PROD35"/>
    <s v="Jessica Acevedo"/>
    <n v="64"/>
    <x v="1"/>
    <x v="30"/>
    <s v="Pennsylvania"/>
    <x v="1"/>
    <s v="Bedroom Table Lamp"/>
    <x v="2"/>
    <x v="2"/>
    <x v="28"/>
    <n v="382.22"/>
    <n v="329"/>
    <s v="Shelton PLC"/>
    <x v="2"/>
    <x v="0"/>
    <n v="1926.15"/>
  </r>
  <r>
    <s v="CUST1031"/>
    <x v="3"/>
    <s v="PROD62"/>
    <s v="Sarah Vance"/>
    <n v="41"/>
    <x v="0"/>
    <x v="31"/>
    <s v="Oregon"/>
    <x v="2"/>
    <s v="Laptop Cooling Pad"/>
    <x v="1"/>
    <x v="3"/>
    <x v="29"/>
    <n v="86.42"/>
    <n v="222"/>
    <s v="Thomas, Bridges and Harris"/>
    <x v="2"/>
    <x v="2"/>
    <n v="2157.2703000000001"/>
  </r>
  <r>
    <s v="CUST1032"/>
    <x v="17"/>
    <s v="PROD16"/>
    <s v="Mike Jennings"/>
    <n v="48"/>
    <x v="1"/>
    <x v="32"/>
    <s v="Arizona"/>
    <x v="3"/>
    <s v="Beard Grooming Kit"/>
    <x v="0"/>
    <x v="17"/>
    <x v="30"/>
    <n v="337.42"/>
    <n v="256"/>
    <s v="Rivera-Warner"/>
    <x v="3"/>
    <x v="0"/>
    <n v="743.87839999999994"/>
  </r>
  <r>
    <s v="CUST1033"/>
    <x v="13"/>
    <s v="PROD46"/>
    <s v="Robert Jones Dds"/>
    <n v="25"/>
    <x v="0"/>
    <x v="33"/>
    <s v="Oklahoma"/>
    <x v="0"/>
    <s v="Men's Winter Jacket"/>
    <x v="4"/>
    <x v="15"/>
    <x v="31"/>
    <n v="167.34"/>
    <n v="296"/>
    <s v="Johnson-Wright"/>
    <x v="2"/>
    <x v="1"/>
    <n v="541.6191"/>
  </r>
  <r>
    <s v="CUST1034"/>
    <x v="18"/>
    <s v="PROD28"/>
    <s v="Christopher Olson"/>
    <n v="27"/>
    <x v="1"/>
    <x v="34"/>
    <s v="Maryland"/>
    <x v="0"/>
    <s v="Sports Stopwatch Timer"/>
    <x v="3"/>
    <x v="1"/>
    <x v="32"/>
    <n v="38.76"/>
    <n v="137"/>
    <s v="Martinez-Mullins"/>
    <x v="1"/>
    <x v="2"/>
    <n v="2495.4744000000001"/>
  </r>
  <r>
    <s v="CUST1035"/>
    <x v="3"/>
    <s v="PROD97"/>
    <s v="Rachel Myers"/>
    <n v="52"/>
    <x v="0"/>
    <x v="35"/>
    <s v="North Dakota"/>
    <x v="2"/>
    <s v="Cricket Bat"/>
    <x v="3"/>
    <x v="8"/>
    <x v="33"/>
    <n v="245.98"/>
    <n v="471"/>
    <s v="Thomas, Bridges and Harris"/>
    <x v="2"/>
    <x v="2"/>
    <n v="2156.5544"/>
  </r>
  <r>
    <s v="CUST1036"/>
    <x v="19"/>
    <s v="PROD90"/>
    <s v="Thomas Phillips"/>
    <n v="20"/>
    <x v="1"/>
    <x v="36"/>
    <s v="Georgia"/>
    <x v="3"/>
    <s v="Gaming Mouse Pad XL"/>
    <x v="1"/>
    <x v="1"/>
    <x v="34"/>
    <n v="340.14"/>
    <n v="361"/>
    <s v="Gray Ltd"/>
    <x v="2"/>
    <x v="1"/>
    <n v="1045.6292000000001"/>
  </r>
  <r>
    <s v="CUST1037"/>
    <x v="6"/>
    <s v="PROD45"/>
    <s v="Christopher Carter"/>
    <n v="27"/>
    <x v="1"/>
    <x v="37"/>
    <s v="South Dakota"/>
    <x v="0"/>
    <s v="High-Grip Football"/>
    <x v="3"/>
    <x v="8"/>
    <x v="35"/>
    <n v="318.91000000000003"/>
    <n v="114"/>
    <s v="Aguirre-Keller"/>
    <x v="1"/>
    <x v="2"/>
    <n v="968.18819999999994"/>
  </r>
  <r>
    <s v="CUST1038"/>
    <x v="19"/>
    <s v="PROD66"/>
    <s v="Deanna Simpson"/>
    <n v="35"/>
    <x v="1"/>
    <x v="38"/>
    <s v="North Dakota"/>
    <x v="1"/>
    <s v="Women's Hair Dryer Brush"/>
    <x v="0"/>
    <x v="18"/>
    <x v="36"/>
    <n v="340.39"/>
    <n v="177"/>
    <s v="Gray Ltd"/>
    <x v="2"/>
    <x v="1"/>
    <n v="588.49239999999998"/>
  </r>
  <r>
    <s v="CUST1039"/>
    <x v="13"/>
    <s v="PROD74"/>
    <s v="Tonya Reynolds"/>
    <n v="55"/>
    <x v="1"/>
    <x v="39"/>
    <s v="Michigan"/>
    <x v="3"/>
    <s v="Bluetooth Car Audio System"/>
    <x v="1"/>
    <x v="10"/>
    <x v="37"/>
    <n v="403.71"/>
    <n v="159"/>
    <s v="Johnson-Wright"/>
    <x v="2"/>
    <x v="1"/>
    <n v="648.29939999999999"/>
  </r>
  <r>
    <s v="CUST1040"/>
    <x v="10"/>
    <s v="PROD17"/>
    <s v="Eric Vega"/>
    <n v="50"/>
    <x v="0"/>
    <x v="40"/>
    <s v="Kansas"/>
    <x v="3"/>
    <s v="Soccer Training Cone Set"/>
    <x v="3"/>
    <x v="1"/>
    <x v="38"/>
    <n v="144.53"/>
    <n v="367"/>
    <s v="Martinez, Adkins and Johnson"/>
    <x v="2"/>
    <x v="0"/>
    <n v="787.70069999999998"/>
  </r>
  <r>
    <s v="CUST1041"/>
    <x v="7"/>
    <s v="PROD22"/>
    <s v="James Gibbs"/>
    <n v="21"/>
    <x v="0"/>
    <x v="41"/>
    <s v="Alaska"/>
    <x v="0"/>
    <s v="Carbon Fiber Tennis Racket"/>
    <x v="3"/>
    <x v="5"/>
    <x v="39"/>
    <n v="484.62"/>
    <n v="432"/>
    <s v="Gardner, Humphrey and Contreras"/>
    <x v="3"/>
    <x v="0"/>
    <n v="2372.5230000000001"/>
  </r>
  <r>
    <s v="CUST1042"/>
    <x v="3"/>
    <s v="PROD51"/>
    <s v="William Martin"/>
    <n v="19"/>
    <x v="0"/>
    <x v="42"/>
    <s v="Connecticut"/>
    <x v="0"/>
    <s v="HDMI Cable – 2m"/>
    <x v="1"/>
    <x v="1"/>
    <x v="1"/>
    <n v="88.49"/>
    <n v="246"/>
    <s v="Thomas, Bridges and Harris"/>
    <x v="2"/>
    <x v="2"/>
    <n v="2062.8696"/>
  </r>
  <r>
    <s v="CUST1043"/>
    <x v="3"/>
    <s v="PROD39"/>
    <s v="Joseph Snow"/>
    <n v="45"/>
    <x v="0"/>
    <x v="43"/>
    <s v="Vermont"/>
    <x v="3"/>
    <s v="Portable Power Bank"/>
    <x v="1"/>
    <x v="19"/>
    <x v="40"/>
    <n v="326.06"/>
    <n v="301"/>
    <s v="Thomas, Bridges and Harris"/>
    <x v="2"/>
    <x v="2"/>
    <n v="693.78300000000002"/>
  </r>
  <r>
    <s v="CUST1044"/>
    <x v="11"/>
    <s v="PROD1"/>
    <s v="Denise Williams"/>
    <n v="34"/>
    <x v="0"/>
    <x v="44"/>
    <s v="Hawaii"/>
    <x v="1"/>
    <s v="Men's Graphic T-Shirt"/>
    <x v="4"/>
    <x v="16"/>
    <x v="25"/>
    <n v="342.56"/>
    <n v="181"/>
    <s v="Moore, Padilla and Butler"/>
    <x v="1"/>
    <x v="0"/>
    <n v="1329.1128000000001"/>
  </r>
  <r>
    <s v="CUST1045"/>
    <x v="2"/>
    <s v="PROD33"/>
    <s v="Jordan Jackson Dds"/>
    <n v="54"/>
    <x v="0"/>
    <x v="45"/>
    <s v="Arizona"/>
    <x v="3"/>
    <s v="Modern Wall Clock"/>
    <x v="2"/>
    <x v="7"/>
    <x v="10"/>
    <n v="179.77"/>
    <n v="305"/>
    <s v="Holloway Ltd"/>
    <x v="2"/>
    <x v="0"/>
    <n v="1628.1702"/>
  </r>
  <r>
    <s v="CUST1046"/>
    <x v="5"/>
    <s v="PROD23"/>
    <s v="Michelle Garcia Dds"/>
    <n v="55"/>
    <x v="1"/>
    <x v="46"/>
    <s v="Ohio"/>
    <x v="0"/>
    <s v="Men's Formal Shirt"/>
    <x v="4"/>
    <x v="16"/>
    <x v="41"/>
    <n v="282.99"/>
    <n v="360"/>
    <s v="Shelton PLC"/>
    <x v="2"/>
    <x v="0"/>
    <n v="303.08980000000003"/>
  </r>
  <r>
    <s v="CUST1047"/>
    <x v="15"/>
    <s v="PROD64"/>
    <s v="Gina Knight"/>
    <n v="54"/>
    <x v="1"/>
    <x v="47"/>
    <s v="Nevada"/>
    <x v="2"/>
    <s v="Matte Lipstick Set"/>
    <x v="0"/>
    <x v="4"/>
    <x v="42"/>
    <n v="299.11"/>
    <n v="118"/>
    <s v="Black-Horn"/>
    <x v="1"/>
    <x v="1"/>
    <n v="271.28359999999998"/>
  </r>
  <r>
    <s v="CUST1048"/>
    <x v="1"/>
    <s v="PROD95"/>
    <s v="April Mullins"/>
    <n v="54"/>
    <x v="0"/>
    <x v="48"/>
    <s v="North Carolina"/>
    <x v="0"/>
    <s v="Sports Stopwatch Basic"/>
    <x v="3"/>
    <x v="1"/>
    <x v="24"/>
    <n v="60.65"/>
    <n v="75"/>
    <s v="Mcdonald Inc"/>
    <x v="1"/>
    <x v="1"/>
    <n v="67.502399999999994"/>
  </r>
  <r>
    <s v="CUST1049"/>
    <x v="7"/>
    <s v="PROD48"/>
    <s v="Timothy Weaver"/>
    <n v="45"/>
    <x v="1"/>
    <x v="49"/>
    <s v="Ohio"/>
    <x v="3"/>
    <s v="Car Dashboard Phone Holder"/>
    <x v="1"/>
    <x v="1"/>
    <x v="43"/>
    <n v="177.98"/>
    <n v="103"/>
    <s v="Gardner, Humphrey and Contreras"/>
    <x v="3"/>
    <x v="0"/>
    <n v="1214.6759999999999"/>
  </r>
  <r>
    <s v="CUST1050"/>
    <x v="15"/>
    <s v="PROD99"/>
    <s v="Matthew Hunter Jr."/>
    <n v="61"/>
    <x v="1"/>
    <x v="50"/>
    <s v="Illinois"/>
    <x v="3"/>
    <s v="Stainless Steel Cookware Set"/>
    <x v="2"/>
    <x v="6"/>
    <x v="44"/>
    <n v="201.41"/>
    <n v="146"/>
    <s v="Black-Horn"/>
    <x v="1"/>
    <x v="1"/>
    <n v="814.74239999999998"/>
  </r>
  <r>
    <s v="CUST1051"/>
    <x v="17"/>
    <s v="PROD21"/>
    <s v="Sarah Rodgers"/>
    <n v="23"/>
    <x v="1"/>
    <x v="51"/>
    <s v="West Virginia"/>
    <x v="3"/>
    <s v="Multi-Purpose Storage Box"/>
    <x v="2"/>
    <x v="13"/>
    <x v="45"/>
    <n v="123.46"/>
    <n v="76"/>
    <s v="Rivera-Warner"/>
    <x v="3"/>
    <x v="0"/>
    <n v="198.50559999999999"/>
  </r>
  <r>
    <s v="CUST1052"/>
    <x v="0"/>
    <s v="PROD51"/>
    <s v="Debra Liu"/>
    <n v="55"/>
    <x v="0"/>
    <x v="52"/>
    <s v="Minnesota"/>
    <x v="1"/>
    <s v="HDMI Cable – 2m"/>
    <x v="1"/>
    <x v="1"/>
    <x v="1"/>
    <n v="88.49"/>
    <n v="246"/>
    <s v="Frederick-Wright"/>
    <x v="0"/>
    <x v="0"/>
    <n v="355.5342"/>
  </r>
  <r>
    <s v="CUST1053"/>
    <x v="3"/>
    <s v="PROD37"/>
    <s v="Sharon Brown"/>
    <n v="37"/>
    <x v="1"/>
    <x v="53"/>
    <s v="Michigan"/>
    <x v="3"/>
    <s v="Men's Casual Sneakers"/>
    <x v="4"/>
    <x v="20"/>
    <x v="46"/>
    <n v="353.47"/>
    <n v="214"/>
    <s v="Thomas, Bridges and Harris"/>
    <x v="2"/>
    <x v="2"/>
    <n v="2721.1183999999998"/>
  </r>
  <r>
    <s v="CUST1054"/>
    <x v="18"/>
    <s v="PROD88"/>
    <s v="Katherine Dorsey"/>
    <n v="24"/>
    <x v="0"/>
    <x v="54"/>
    <s v="Oklahoma"/>
    <x v="0"/>
    <s v="Sports Wrist Sweatbands"/>
    <x v="3"/>
    <x v="1"/>
    <x v="47"/>
    <n v="131.24"/>
    <n v="232"/>
    <s v="Martinez-Mullins"/>
    <x v="1"/>
    <x v="2"/>
    <n v="386.38400000000001"/>
  </r>
  <r>
    <s v="CUST1055"/>
    <x v="14"/>
    <s v="PROD15"/>
    <s v="Wayne Mcpherson"/>
    <n v="56"/>
    <x v="1"/>
    <x v="55"/>
    <s v="Minnesota"/>
    <x v="1"/>
    <s v="4K Home Projector"/>
    <x v="1"/>
    <x v="21"/>
    <x v="48"/>
    <n v="465.34"/>
    <n v="301"/>
    <s v="Benson-Elliott"/>
    <x v="3"/>
    <x v="2"/>
    <n v="1768.96"/>
  </r>
  <r>
    <s v="CUST1056"/>
    <x v="9"/>
    <s v="PROD49"/>
    <s v="Christopher Sutton"/>
    <n v="49"/>
    <x v="1"/>
    <x v="56"/>
    <s v="Pennsylvania"/>
    <x v="3"/>
    <s v="Men's Roll-On Perfume"/>
    <x v="0"/>
    <x v="22"/>
    <x v="49"/>
    <n v="43.29"/>
    <n v="267"/>
    <s v="Bean, Jones and Park"/>
    <x v="0"/>
    <x v="2"/>
    <n v="2742.15"/>
  </r>
  <r>
    <s v="CUST1057"/>
    <x v="1"/>
    <s v="PROD38"/>
    <s v="Jay Patel"/>
    <n v="43"/>
    <x v="1"/>
    <x v="57"/>
    <s v="Rhode Island"/>
    <x v="0"/>
    <s v="Sports Water Hydration Pack"/>
    <x v="3"/>
    <x v="9"/>
    <x v="50"/>
    <n v="135.61000000000001"/>
    <n v="394"/>
    <s v="Mcdonald Inc"/>
    <x v="1"/>
    <x v="1"/>
    <n v="1267.1328000000001"/>
  </r>
  <r>
    <s v="CUST1058"/>
    <x v="19"/>
    <s v="PROD60"/>
    <s v="Cheryl Copeland"/>
    <n v="51"/>
    <x v="0"/>
    <x v="58"/>
    <s v="Maryland"/>
    <x v="0"/>
    <s v="Luxury Perfume Spray"/>
    <x v="0"/>
    <x v="22"/>
    <x v="51"/>
    <n v="482.75"/>
    <n v="444"/>
    <s v="Gray Ltd"/>
    <x v="2"/>
    <x v="1"/>
    <n v="276.71999999999997"/>
  </r>
  <r>
    <s v="CUST1059"/>
    <x v="4"/>
    <s v="PROD94"/>
    <s v="Alyssa Vargas"/>
    <n v="53"/>
    <x v="0"/>
    <x v="59"/>
    <s v="Montana"/>
    <x v="0"/>
    <s v="Vitamin E Body Lotion"/>
    <x v="0"/>
    <x v="0"/>
    <x v="52"/>
    <n v="358.47"/>
    <n v="213"/>
    <s v="Alexander Group"/>
    <x v="1"/>
    <x v="2"/>
    <n v="615.46699999999998"/>
  </r>
  <r>
    <s v="CUST1060"/>
    <x v="6"/>
    <s v="PROD38"/>
    <s v="Dr. David Smith"/>
    <n v="22"/>
    <x v="1"/>
    <x v="60"/>
    <s v="Alaska"/>
    <x v="2"/>
    <s v="Sports Water Hydration Pack"/>
    <x v="3"/>
    <x v="9"/>
    <x v="50"/>
    <n v="135.61000000000001"/>
    <n v="394"/>
    <s v="Aguirre-Keller"/>
    <x v="1"/>
    <x v="2"/>
    <n v="1754.4059999999999"/>
  </r>
  <r>
    <s v="CUST1061"/>
    <x v="9"/>
    <s v="PROD51"/>
    <s v="Kristin Stein"/>
    <n v="23"/>
    <x v="0"/>
    <x v="61"/>
    <s v="Missouri"/>
    <x v="2"/>
    <s v="HDMI Cable – 2m"/>
    <x v="1"/>
    <x v="1"/>
    <x v="1"/>
    <n v="88.49"/>
    <n v="246"/>
    <s v="Bean, Jones and Park"/>
    <x v="0"/>
    <x v="2"/>
    <n v="1321.9595999999999"/>
  </r>
  <r>
    <s v="CUST1062"/>
    <x v="0"/>
    <s v="PROD84"/>
    <s v="James Bean"/>
    <n v="50"/>
    <x v="0"/>
    <x v="62"/>
    <s v="New Mexico"/>
    <x v="1"/>
    <s v="Wooden Bookshelf"/>
    <x v="2"/>
    <x v="14"/>
    <x v="53"/>
    <n v="388.46"/>
    <n v="208"/>
    <s v="Frederick-Wright"/>
    <x v="0"/>
    <x v="0"/>
    <n v="1043.328"/>
  </r>
  <r>
    <s v="CUST1064"/>
    <x v="3"/>
    <s v="PROD47"/>
    <s v="Mr. Mason Butler"/>
    <n v="33"/>
    <x v="0"/>
    <x v="63"/>
    <s v="Arizona"/>
    <x v="3"/>
    <s v="Makeup Brush Set"/>
    <x v="0"/>
    <x v="4"/>
    <x v="4"/>
    <n v="241.07"/>
    <n v="431"/>
    <s v="Thomas, Bridges and Harris"/>
    <x v="2"/>
    <x v="2"/>
    <n v="898.8216000000001"/>
  </r>
  <r>
    <s v="CUST1065"/>
    <x v="1"/>
    <s v="PROD24"/>
    <s v="Michael Thomas"/>
    <n v="21"/>
    <x v="1"/>
    <x v="64"/>
    <s v="Nevada"/>
    <x v="2"/>
    <s v="Foldable Camping Chair"/>
    <x v="3"/>
    <x v="9"/>
    <x v="13"/>
    <n v="166.06"/>
    <n v="340"/>
    <s v="Mcdonald Inc"/>
    <x v="1"/>
    <x v="1"/>
    <n v="259.1259"/>
  </r>
  <r>
    <s v="CUST1066"/>
    <x v="19"/>
    <s v="PROD94"/>
    <s v="Cody Diaz"/>
    <n v="27"/>
    <x v="1"/>
    <x v="65"/>
    <s v="New Hampshire"/>
    <x v="2"/>
    <s v="Vitamin E Body Lotion"/>
    <x v="0"/>
    <x v="0"/>
    <x v="52"/>
    <n v="358.47"/>
    <n v="213"/>
    <s v="Gray Ltd"/>
    <x v="2"/>
    <x v="1"/>
    <n v="2555.64"/>
  </r>
  <r>
    <s v="CUST1067"/>
    <x v="4"/>
    <s v="PROD46"/>
    <s v="Amber Mcclain"/>
    <n v="58"/>
    <x v="0"/>
    <x v="66"/>
    <s v="Florida"/>
    <x v="2"/>
    <s v="Men's Winter Jacket"/>
    <x v="4"/>
    <x v="15"/>
    <x v="31"/>
    <n v="167.34"/>
    <n v="296"/>
    <s v="Alexander Group"/>
    <x v="1"/>
    <x v="2"/>
    <n v="1007.223"/>
  </r>
  <r>
    <s v="CUST1068"/>
    <x v="19"/>
    <s v="PROD52"/>
    <s v="Mr. Mark Beasley"/>
    <n v="24"/>
    <x v="1"/>
    <x v="67"/>
    <s v="Indiana"/>
    <x v="2"/>
    <s v="Rugby Ball"/>
    <x v="3"/>
    <x v="8"/>
    <x v="54"/>
    <n v="212.26"/>
    <n v="82"/>
    <s v="Gray Ltd"/>
    <x v="2"/>
    <x v="1"/>
    <n v="1194.9503999999999"/>
  </r>
  <r>
    <s v="CUST1069"/>
    <x v="11"/>
    <s v="PROD73"/>
    <s v="Roy Cole"/>
    <n v="24"/>
    <x v="1"/>
    <x v="68"/>
    <s v="New Jersey"/>
    <x v="0"/>
    <s v="Shin Guards – Adult"/>
    <x v="3"/>
    <x v="8"/>
    <x v="55"/>
    <n v="107.06"/>
    <n v="359"/>
    <s v="Moore, Padilla and Butler"/>
    <x v="1"/>
    <x v="0"/>
    <n v="2532.348"/>
  </r>
  <r>
    <s v="CUST1070"/>
    <x v="0"/>
    <s v="PROD78"/>
    <s v="Eric Singh"/>
    <n v="29"/>
    <x v="1"/>
    <x v="69"/>
    <s v="New Mexico"/>
    <x v="3"/>
    <s v="Essential Oil Diffuser"/>
    <x v="2"/>
    <x v="7"/>
    <x v="9"/>
    <n v="325.26"/>
    <n v="400"/>
    <s v="Frederick-Wright"/>
    <x v="0"/>
    <x v="0"/>
    <n v="393.5686"/>
  </r>
  <r>
    <s v="CUST1071"/>
    <x v="1"/>
    <s v="PROD83"/>
    <s v="Andrea Perez"/>
    <n v="61"/>
    <x v="1"/>
    <x v="70"/>
    <s v="New Mexico"/>
    <x v="3"/>
    <s v="Hydrating Face Cleanser"/>
    <x v="0"/>
    <x v="0"/>
    <x v="56"/>
    <n v="305.49"/>
    <n v="159"/>
    <s v="Mcdonald Inc"/>
    <x v="1"/>
    <x v="1"/>
    <n v="1050.2965999999999"/>
  </r>
  <r>
    <s v="CUST1072"/>
    <x v="16"/>
    <s v="PROD26"/>
    <s v="Tonya Burch"/>
    <n v="39"/>
    <x v="1"/>
    <x v="71"/>
    <s v="Iowa"/>
    <x v="3"/>
    <s v="Wireless Bluetooth Speaker"/>
    <x v="1"/>
    <x v="10"/>
    <x v="14"/>
    <n v="322.41000000000003"/>
    <n v="213"/>
    <s v="Mann-Austin"/>
    <x v="3"/>
    <x v="2"/>
    <n v="1625.3796"/>
  </r>
  <r>
    <s v="CUST1073"/>
    <x v="2"/>
    <s v="PROD10"/>
    <s v="Christopher Brown"/>
    <n v="56"/>
    <x v="1"/>
    <x v="72"/>
    <s v="West Virginia"/>
    <x v="2"/>
    <s v="Ceramic Kitchen Bowl Set"/>
    <x v="2"/>
    <x v="6"/>
    <x v="57"/>
    <n v="298.86"/>
    <n v="308"/>
    <s v="Holloway Ltd"/>
    <x v="2"/>
    <x v="0"/>
    <n v="1741.557"/>
  </r>
  <r>
    <s v="CUST1074"/>
    <x v="4"/>
    <s v="PROD83"/>
    <s v="John Mayer"/>
    <n v="58"/>
    <x v="0"/>
    <x v="73"/>
    <s v="Colorado"/>
    <x v="1"/>
    <s v="Hydrating Face Cleanser"/>
    <x v="0"/>
    <x v="0"/>
    <x v="56"/>
    <n v="305.49"/>
    <n v="159"/>
    <s v="Alexander Group"/>
    <x v="1"/>
    <x v="2"/>
    <n v="1348.2149999999999"/>
  </r>
  <r>
    <s v="CUST1075"/>
    <x v="8"/>
    <s v="PROD16"/>
    <s v="Rhonda Morales"/>
    <n v="61"/>
    <x v="1"/>
    <x v="74"/>
    <s v="California"/>
    <x v="3"/>
    <s v="Beard Grooming Kit"/>
    <x v="0"/>
    <x v="17"/>
    <x v="30"/>
    <n v="337.42"/>
    <n v="256"/>
    <s v="Guerrero-Schmitt"/>
    <x v="3"/>
    <x v="0"/>
    <n v="1199.3579999999999"/>
  </r>
  <r>
    <s v="CUST1076"/>
    <x v="10"/>
    <s v="PROD32"/>
    <s v="Nathan Campbell"/>
    <n v="37"/>
    <x v="0"/>
    <x v="75"/>
    <s v="Oklahoma"/>
    <x v="3"/>
    <s v="Vitamin C Face Serum"/>
    <x v="0"/>
    <x v="0"/>
    <x v="58"/>
    <n v="283.83"/>
    <n v="244"/>
    <s v="Martinez, Adkins and Johnson"/>
    <x v="2"/>
    <x v="0"/>
    <n v="473.66070000000002"/>
  </r>
  <r>
    <s v="CUST1077"/>
    <x v="16"/>
    <s v="PROD21"/>
    <s v="Katherine Young"/>
    <n v="29"/>
    <x v="0"/>
    <x v="76"/>
    <s v="Vermont"/>
    <x v="3"/>
    <s v="Multi-Purpose Storage Box"/>
    <x v="2"/>
    <x v="13"/>
    <x v="45"/>
    <n v="123.46"/>
    <n v="76"/>
    <s v="Mann-Austin"/>
    <x v="3"/>
    <x v="2"/>
    <n v="158.56"/>
  </r>
  <r>
    <s v="CUST1078"/>
    <x v="5"/>
    <s v="PROD45"/>
    <s v="Cody Blake"/>
    <n v="21"/>
    <x v="0"/>
    <x v="77"/>
    <s v="Virginia"/>
    <x v="3"/>
    <s v="High-Grip Football"/>
    <x v="3"/>
    <x v="8"/>
    <x v="35"/>
    <n v="318.91000000000003"/>
    <n v="114"/>
    <s v="Shelton PLC"/>
    <x v="2"/>
    <x v="0"/>
    <n v="1558.4646"/>
  </r>
  <r>
    <s v="CUST1079"/>
    <x v="4"/>
    <s v="PROD27"/>
    <s v="Molly Gardner"/>
    <n v="22"/>
    <x v="1"/>
    <x v="78"/>
    <s v="Arkansas"/>
    <x v="0"/>
    <s v="Decorative Floor Vase"/>
    <x v="2"/>
    <x v="7"/>
    <x v="12"/>
    <n v="219.12"/>
    <n v="378"/>
    <s v="Alexander Group"/>
    <x v="1"/>
    <x v="2"/>
    <n v="774.14260000000002"/>
  </r>
  <r>
    <s v="CUST1080"/>
    <x v="14"/>
    <s v="PROD34"/>
    <s v="Jennifer Garcia"/>
    <n v="61"/>
    <x v="1"/>
    <x v="79"/>
    <s v="New Mexico"/>
    <x v="1"/>
    <s v="Gaming Mechanical Keyboard"/>
    <x v="1"/>
    <x v="3"/>
    <x v="59"/>
    <n v="419.28"/>
    <n v="86"/>
    <s v="Benson-Elliott"/>
    <x v="3"/>
    <x v="2"/>
    <n v="1567.356"/>
  </r>
  <r>
    <s v="CUST1081"/>
    <x v="17"/>
    <s v="PROD45"/>
    <s v="Krystal Ford"/>
    <n v="34"/>
    <x v="1"/>
    <x v="80"/>
    <s v="Arizona"/>
    <x v="0"/>
    <s v="High-Grip Football"/>
    <x v="3"/>
    <x v="8"/>
    <x v="35"/>
    <n v="318.91000000000003"/>
    <n v="114"/>
    <s v="Rivera-Warner"/>
    <x v="3"/>
    <x v="0"/>
    <n v="762.36819999999989"/>
  </r>
  <r>
    <s v="CUST1082"/>
    <x v="14"/>
    <s v="PROD92"/>
    <s v="George Rosario"/>
    <n v="53"/>
    <x v="0"/>
    <x v="81"/>
    <s v="Florida"/>
    <x v="1"/>
    <s v="Microwave Oven"/>
    <x v="2"/>
    <x v="21"/>
    <x v="60"/>
    <n v="447.43"/>
    <n v="191"/>
    <s v="Benson-Elliott"/>
    <x v="3"/>
    <x v="2"/>
    <n v="1562.9290000000001"/>
  </r>
  <r>
    <s v="CUST1083"/>
    <x v="11"/>
    <s v="PROD45"/>
    <s v="Thomas Robinson"/>
    <n v="48"/>
    <x v="1"/>
    <x v="82"/>
    <s v="Georgia"/>
    <x v="1"/>
    <s v="High-Grip Football"/>
    <x v="3"/>
    <x v="8"/>
    <x v="35"/>
    <n v="318.91000000000003"/>
    <n v="114"/>
    <s v="Moore, Padilla and Butler"/>
    <x v="1"/>
    <x v="0"/>
    <n v="1422.492"/>
  </r>
  <r>
    <s v="CUST1084"/>
    <x v="2"/>
    <s v="PROD33"/>
    <s v="Christy Hoffman"/>
    <n v="26"/>
    <x v="1"/>
    <x v="83"/>
    <s v="Indiana"/>
    <x v="0"/>
    <s v="Modern Wall Clock"/>
    <x v="2"/>
    <x v="7"/>
    <x v="10"/>
    <n v="179.77"/>
    <n v="305"/>
    <s v="Holloway Ltd"/>
    <x v="2"/>
    <x v="0"/>
    <n v="1864.3176000000001"/>
  </r>
  <r>
    <s v="CUST1085"/>
    <x v="16"/>
    <s v="PROD31"/>
    <s v="Richard Delgado"/>
    <n v="36"/>
    <x v="0"/>
    <x v="84"/>
    <s v="Pennsylvania"/>
    <x v="2"/>
    <s v="Basketball"/>
    <x v="3"/>
    <x v="8"/>
    <x v="11"/>
    <n v="204.39"/>
    <n v="281"/>
    <s v="Mann-Austin"/>
    <x v="3"/>
    <x v="2"/>
    <n v="1353.7854"/>
  </r>
  <r>
    <s v="CUST1086"/>
    <x v="18"/>
    <s v="PROD5"/>
    <s v="Tammy Miller Md"/>
    <n v="19"/>
    <x v="1"/>
    <x v="85"/>
    <s v="Mississippi"/>
    <x v="3"/>
    <s v="Men's Leather Belt"/>
    <x v="4"/>
    <x v="1"/>
    <x v="26"/>
    <n v="261"/>
    <n v="59"/>
    <s v="Martinez-Mullins"/>
    <x v="1"/>
    <x v="2"/>
    <n v="1409.9903999999999"/>
  </r>
  <r>
    <s v="CUST1087"/>
    <x v="7"/>
    <s v="PROD76"/>
    <s v="Melissa Duffy Md"/>
    <n v="58"/>
    <x v="1"/>
    <x v="86"/>
    <s v="South Carolina"/>
    <x v="1"/>
    <s v="Wireless Mouse"/>
    <x v="1"/>
    <x v="3"/>
    <x v="19"/>
    <n v="392.89"/>
    <n v="320"/>
    <s v="Gardner, Humphrey and Contreras"/>
    <x v="3"/>
    <x v="0"/>
    <n v="2020.7097000000001"/>
  </r>
  <r>
    <s v="CUST1088"/>
    <x v="4"/>
    <s v="PROD2"/>
    <s v="Timothy Wright"/>
    <n v="58"/>
    <x v="0"/>
    <x v="87"/>
    <s v="Arkansas"/>
    <x v="2"/>
    <s v="Women's Casual Hoodie"/>
    <x v="4"/>
    <x v="15"/>
    <x v="61"/>
    <n v="296.83"/>
    <n v="352"/>
    <s v="Alexander Group"/>
    <x v="1"/>
    <x v="2"/>
    <n v="199.56780000000001"/>
  </r>
  <r>
    <s v="CUST1089"/>
    <x v="13"/>
    <s v="PROD57"/>
    <s v="Jamie Yoder"/>
    <n v="43"/>
    <x v="0"/>
    <x v="88"/>
    <s v="Wisconsin"/>
    <x v="0"/>
    <s v="Foam Roller"/>
    <x v="3"/>
    <x v="12"/>
    <x v="62"/>
    <n v="30.62"/>
    <n v="138"/>
    <s v="Johnson-Wright"/>
    <x v="2"/>
    <x v="1"/>
    <n v="3225.5819999999999"/>
  </r>
  <r>
    <s v="CUST1090"/>
    <x v="1"/>
    <s v="PROD65"/>
    <s v="Oscar Moon"/>
    <n v="58"/>
    <x v="1"/>
    <x v="89"/>
    <s v="Louisiana"/>
    <x v="0"/>
    <s v="Adjustable Dumbbells 20kg"/>
    <x v="3"/>
    <x v="12"/>
    <x v="63"/>
    <n v="240.63"/>
    <n v="423"/>
    <s v="Mcdonald Inc"/>
    <x v="1"/>
    <x v="1"/>
    <n v="1005.3944"/>
  </r>
  <r>
    <s v="CUST1091"/>
    <x v="13"/>
    <s v="PROD46"/>
    <s v="Donna Gregory"/>
    <n v="29"/>
    <x v="1"/>
    <x v="90"/>
    <s v="Arizona"/>
    <x v="2"/>
    <s v="Men's Winter Jacket"/>
    <x v="4"/>
    <x v="15"/>
    <x v="31"/>
    <n v="167.34"/>
    <n v="296"/>
    <s v="Johnson-Wright"/>
    <x v="2"/>
    <x v="1"/>
    <n v="522.68399999999997"/>
  </r>
  <r>
    <s v="CUST1092"/>
    <x v="6"/>
    <s v="PROD10"/>
    <s v="Robert Jackson"/>
    <n v="44"/>
    <x v="1"/>
    <x v="91"/>
    <s v="Tennessee"/>
    <x v="0"/>
    <s v="Ceramic Kitchen Bowl Set"/>
    <x v="2"/>
    <x v="6"/>
    <x v="57"/>
    <n v="298.86"/>
    <n v="308"/>
    <s v="Aguirre-Keller"/>
    <x v="1"/>
    <x v="2"/>
    <n v="50.407799999999988"/>
  </r>
  <r>
    <s v="CUST1093"/>
    <x v="3"/>
    <s v="PROD5"/>
    <s v="Christy Vasquez"/>
    <n v="28"/>
    <x v="1"/>
    <x v="92"/>
    <s v="South Carolina"/>
    <x v="3"/>
    <s v="Men's Leather Belt"/>
    <x v="4"/>
    <x v="1"/>
    <x v="26"/>
    <n v="261"/>
    <n v="59"/>
    <s v="Thomas, Bridges and Harris"/>
    <x v="2"/>
    <x v="2"/>
    <n v="1432.2744"/>
  </r>
  <r>
    <s v="CUST1094"/>
    <x v="4"/>
    <s v="PROD39"/>
    <s v="David Patterson"/>
    <n v="43"/>
    <x v="1"/>
    <x v="93"/>
    <s v="Nevada"/>
    <x v="3"/>
    <s v="Portable Power Bank"/>
    <x v="1"/>
    <x v="19"/>
    <x v="40"/>
    <n v="326.06"/>
    <n v="301"/>
    <s v="Alexander Group"/>
    <x v="1"/>
    <x v="2"/>
    <n v="838.84500000000003"/>
  </r>
  <r>
    <s v="CUST1095"/>
    <x v="12"/>
    <s v="PROD40"/>
    <s v="Amy Fowler"/>
    <n v="62"/>
    <x v="1"/>
    <x v="94"/>
    <s v="New York"/>
    <x v="0"/>
    <s v="Noise-Canceling Headphones"/>
    <x v="1"/>
    <x v="10"/>
    <x v="64"/>
    <n v="38.520000000000003"/>
    <n v="378"/>
    <s v="Hill, Wagner and Ballard"/>
    <x v="3"/>
    <x v="2"/>
    <n v="1592.4947999999999"/>
  </r>
  <r>
    <s v="CUST1096"/>
    <x v="14"/>
    <s v="PROD65"/>
    <s v="Samantha Walker"/>
    <n v="30"/>
    <x v="1"/>
    <x v="95"/>
    <s v="Louisiana"/>
    <x v="0"/>
    <s v="Adjustable Dumbbells 20kg"/>
    <x v="3"/>
    <x v="12"/>
    <x v="63"/>
    <n v="240.63"/>
    <n v="423"/>
    <s v="Benson-Elliott"/>
    <x v="3"/>
    <x v="2"/>
    <n v="1447.2216000000001"/>
  </r>
  <r>
    <s v="CUST1097"/>
    <x v="3"/>
    <s v="PROD80"/>
    <s v="David Cobb"/>
    <n v="36"/>
    <x v="0"/>
    <x v="96"/>
    <s v="South Dakota"/>
    <x v="2"/>
    <s v="Wall-Mounted Spice Rack"/>
    <x v="2"/>
    <x v="6"/>
    <x v="18"/>
    <n v="143.43"/>
    <n v="58"/>
    <s v="Thomas, Bridges and Harris"/>
    <x v="2"/>
    <x v="2"/>
    <n v="717.25760000000002"/>
  </r>
  <r>
    <s v="CUST1098"/>
    <x v="19"/>
    <s v="PROD62"/>
    <s v="Brittney Morgan"/>
    <n v="24"/>
    <x v="0"/>
    <x v="97"/>
    <s v="Alaska"/>
    <x v="3"/>
    <s v="Laptop Cooling Pad"/>
    <x v="1"/>
    <x v="3"/>
    <x v="29"/>
    <n v="86.42"/>
    <n v="222"/>
    <s v="Gray Ltd"/>
    <x v="2"/>
    <x v="1"/>
    <n v="2556.1972000000001"/>
  </r>
  <r>
    <s v="CUST1099"/>
    <x v="1"/>
    <s v="PROD26"/>
    <s v="Sheila Wilson"/>
    <n v="35"/>
    <x v="0"/>
    <x v="98"/>
    <s v="Tennessee"/>
    <x v="2"/>
    <s v="Wireless Bluetooth Speaker"/>
    <x v="1"/>
    <x v="10"/>
    <x v="14"/>
    <n v="322.41000000000003"/>
    <n v="213"/>
    <s v="Mcdonald Inc"/>
    <x v="1"/>
    <x v="1"/>
    <n v="2217.752"/>
  </r>
  <r>
    <s v="CUST1100"/>
    <x v="0"/>
    <s v="PROD24"/>
    <s v="Diane Watson"/>
    <n v="53"/>
    <x v="1"/>
    <x v="99"/>
    <s v="Texas"/>
    <x v="0"/>
    <s v="Foldable Camping Chair"/>
    <x v="3"/>
    <x v="9"/>
    <x v="13"/>
    <n v="166.06"/>
    <n v="340"/>
    <s v="Frederick-Wright"/>
    <x v="0"/>
    <x v="0"/>
    <n v="769.8975999999999"/>
  </r>
  <r>
    <s v="CUST1101"/>
    <x v="3"/>
    <s v="PROD89"/>
    <s v="Colleen Maynard"/>
    <n v="29"/>
    <x v="0"/>
    <x v="100"/>
    <s v="Utah"/>
    <x v="3"/>
    <s v="Face Foundation Kit"/>
    <x v="0"/>
    <x v="4"/>
    <x v="65"/>
    <n v="183.04"/>
    <n v="457"/>
    <s v="Thomas, Bridges and Harris"/>
    <x v="2"/>
    <x v="2"/>
    <n v="1330.0704000000001"/>
  </r>
  <r>
    <s v="CUST1102"/>
    <x v="6"/>
    <s v="PROD98"/>
    <s v="Sarah Schneider"/>
    <n v="34"/>
    <x v="1"/>
    <x v="101"/>
    <s v="Pennsylvania"/>
    <x v="1"/>
    <s v="Portable Bluetooth Speaker"/>
    <x v="1"/>
    <x v="10"/>
    <x v="66"/>
    <n v="431.67"/>
    <n v="73"/>
    <s v="Aguirre-Keller"/>
    <x v="1"/>
    <x v="2"/>
    <n v="477.65519999999998"/>
  </r>
  <r>
    <s v="CUST1103"/>
    <x v="16"/>
    <s v="PROD89"/>
    <s v="Steven Stein"/>
    <n v="21"/>
    <x v="0"/>
    <x v="102"/>
    <s v="Connecticut"/>
    <x v="1"/>
    <s v="Face Foundation Kit"/>
    <x v="0"/>
    <x v="4"/>
    <x v="65"/>
    <n v="183.04"/>
    <n v="457"/>
    <s v="Mann-Austin"/>
    <x v="3"/>
    <x v="2"/>
    <n v="2176.2280000000001"/>
  </r>
  <r>
    <s v="CUST1104"/>
    <x v="3"/>
    <s v="PROD25"/>
    <s v="Christopher Lester"/>
    <n v="64"/>
    <x v="0"/>
    <x v="103"/>
    <s v="Georgia"/>
    <x v="2"/>
    <s v="Women's Scarf Set"/>
    <x v="4"/>
    <x v="1"/>
    <x v="67"/>
    <n v="174.02"/>
    <n v="268"/>
    <s v="Thomas, Bridges and Harris"/>
    <x v="2"/>
    <x v="2"/>
    <n v="612.16679999999997"/>
  </r>
  <r>
    <s v="CUST1105"/>
    <x v="6"/>
    <s v="PROD39"/>
    <s v="Lance Baker"/>
    <n v="50"/>
    <x v="1"/>
    <x v="104"/>
    <s v="Florida"/>
    <x v="3"/>
    <s v="Portable Power Bank"/>
    <x v="1"/>
    <x v="19"/>
    <x v="40"/>
    <n v="326.06"/>
    <n v="301"/>
    <s v="Aguirre-Keller"/>
    <x v="1"/>
    <x v="2"/>
    <n v="115.5"/>
  </r>
  <r>
    <s v="CUST1106"/>
    <x v="0"/>
    <s v="PROD65"/>
    <s v="Howard Summers"/>
    <n v="53"/>
    <x v="1"/>
    <x v="105"/>
    <s v="Rhode Island"/>
    <x v="1"/>
    <s v="Adjustable Dumbbells 20kg"/>
    <x v="3"/>
    <x v="12"/>
    <x v="63"/>
    <n v="240.63"/>
    <n v="423"/>
    <s v="Frederick-Wright"/>
    <x v="0"/>
    <x v="0"/>
    <n v="1631.2854"/>
  </r>
  <r>
    <s v="CUST1107"/>
    <x v="13"/>
    <s v="PROD75"/>
    <s v="Erica Carney"/>
    <n v="62"/>
    <x v="1"/>
    <x v="106"/>
    <s v="North Dakota"/>
    <x v="0"/>
    <s v="Women's Ankle Boots"/>
    <x v="4"/>
    <x v="20"/>
    <x v="68"/>
    <n v="158.13999999999999"/>
    <n v="82"/>
    <s v="Johnson-Wright"/>
    <x v="2"/>
    <x v="1"/>
    <n v="1630.0416"/>
  </r>
  <r>
    <s v="CUST1108"/>
    <x v="11"/>
    <s v="PROD30"/>
    <s v="Travis Holland"/>
    <n v="38"/>
    <x v="0"/>
    <x v="107"/>
    <s v="New Hampshire"/>
    <x v="1"/>
    <s v="Stainless Steel Cutlery Set"/>
    <x v="2"/>
    <x v="6"/>
    <x v="8"/>
    <n v="19.52"/>
    <n v="57"/>
    <s v="Moore, Padilla and Butler"/>
    <x v="1"/>
    <x v="0"/>
    <n v="798.55200000000013"/>
  </r>
  <r>
    <s v="CUST1109"/>
    <x v="6"/>
    <s v="PROD34"/>
    <s v="Amy Walker"/>
    <n v="27"/>
    <x v="0"/>
    <x v="108"/>
    <s v="West Virginia"/>
    <x v="2"/>
    <s v="Gaming Mechanical Keyboard"/>
    <x v="1"/>
    <x v="3"/>
    <x v="59"/>
    <n v="419.28"/>
    <n v="86"/>
    <s v="Aguirre-Keller"/>
    <x v="1"/>
    <x v="2"/>
    <n v="621.27"/>
  </r>
  <r>
    <s v="CUST1110"/>
    <x v="2"/>
    <s v="PROD8"/>
    <s v="Ashley Griffin"/>
    <n v="40"/>
    <x v="1"/>
    <x v="109"/>
    <s v="Maryland"/>
    <x v="3"/>
    <s v="Wireless Bluetooth Earbuds"/>
    <x v="1"/>
    <x v="10"/>
    <x v="69"/>
    <n v="439.07"/>
    <n v="142"/>
    <s v="Holloway Ltd"/>
    <x v="2"/>
    <x v="0"/>
    <n v="480.75359999999989"/>
  </r>
  <r>
    <s v="CUST1111"/>
    <x v="19"/>
    <s v="PROD17"/>
    <s v="Julie Farmer"/>
    <n v="18"/>
    <x v="1"/>
    <x v="110"/>
    <s v="Arizona"/>
    <x v="0"/>
    <s v="Soccer Training Cone Set"/>
    <x v="3"/>
    <x v="1"/>
    <x v="38"/>
    <n v="144.53"/>
    <n v="367"/>
    <s v="Gray Ltd"/>
    <x v="2"/>
    <x v="1"/>
    <n v="2319.4512"/>
  </r>
  <r>
    <s v="CUST1112"/>
    <x v="17"/>
    <s v="PROD40"/>
    <s v="David Cole"/>
    <n v="27"/>
    <x v="1"/>
    <x v="111"/>
    <s v="Michigan"/>
    <x v="2"/>
    <s v="Noise-Canceling Headphones"/>
    <x v="1"/>
    <x v="10"/>
    <x v="64"/>
    <n v="38.520000000000003"/>
    <n v="378"/>
    <s v="Rivera-Warner"/>
    <x v="3"/>
    <x v="0"/>
    <n v="64.878399999999999"/>
  </r>
  <r>
    <s v="CUST1113"/>
    <x v="17"/>
    <s v="PROD47"/>
    <s v="Edward Hall"/>
    <n v="51"/>
    <x v="0"/>
    <x v="112"/>
    <s v="New Mexico"/>
    <x v="3"/>
    <s v="Makeup Brush Set"/>
    <x v="0"/>
    <x v="4"/>
    <x v="4"/>
    <n v="241.07"/>
    <n v="431"/>
    <s v="Rivera-Warner"/>
    <x v="3"/>
    <x v="0"/>
    <n v="372.923"/>
  </r>
  <r>
    <s v="CUST1114"/>
    <x v="15"/>
    <s v="PROD59"/>
    <s v="Ryan Hernandez"/>
    <n v="30"/>
    <x v="0"/>
    <x v="113"/>
    <s v="Nevada"/>
    <x v="1"/>
    <s v="Men's Hair Styling Gel"/>
    <x v="0"/>
    <x v="18"/>
    <x v="70"/>
    <n v="17.309999999999999"/>
    <n v="399"/>
    <s v="Black-Horn"/>
    <x v="1"/>
    <x v="1"/>
    <n v="129.4"/>
  </r>
  <r>
    <s v="CUST1115"/>
    <x v="15"/>
    <s v="PROD21"/>
    <s v="Tyler Conrad"/>
    <n v="53"/>
    <x v="1"/>
    <x v="114"/>
    <s v="North Dakota"/>
    <x v="0"/>
    <s v="Multi-Purpose Storage Box"/>
    <x v="2"/>
    <x v="13"/>
    <x v="45"/>
    <n v="123.46"/>
    <n v="76"/>
    <s v="Black-Horn"/>
    <x v="1"/>
    <x v="1"/>
    <n v="289.99450000000002"/>
  </r>
  <r>
    <s v="CUST1116"/>
    <x v="18"/>
    <s v="PROD15"/>
    <s v="Anthony Phillips"/>
    <n v="18"/>
    <x v="1"/>
    <x v="115"/>
    <s v="Rhode Island"/>
    <x v="0"/>
    <s v="4K Home Projector"/>
    <x v="1"/>
    <x v="21"/>
    <x v="48"/>
    <n v="465.34"/>
    <n v="301"/>
    <s v="Martinez-Mullins"/>
    <x v="1"/>
    <x v="2"/>
    <n v="357.23430000000002"/>
  </r>
  <r>
    <s v="CUST1117"/>
    <x v="18"/>
    <s v="PROD97"/>
    <s v="Colleen Mccarthy"/>
    <n v="21"/>
    <x v="1"/>
    <x v="116"/>
    <s v="Washington"/>
    <x v="0"/>
    <s v="Cricket Bat"/>
    <x v="3"/>
    <x v="8"/>
    <x v="33"/>
    <n v="245.98"/>
    <n v="471"/>
    <s v="Martinez-Mullins"/>
    <x v="1"/>
    <x v="2"/>
    <n v="1172.0625"/>
  </r>
  <r>
    <s v="CUST1118"/>
    <x v="18"/>
    <s v="PROD83"/>
    <s v="Earl Allen"/>
    <n v="36"/>
    <x v="0"/>
    <x v="117"/>
    <s v="Nebraska"/>
    <x v="0"/>
    <s v="Hydrating Face Cleanser"/>
    <x v="0"/>
    <x v="0"/>
    <x v="56"/>
    <n v="305.49"/>
    <n v="159"/>
    <s v="Martinez-Mullins"/>
    <x v="1"/>
    <x v="2"/>
    <n v="692.27"/>
  </r>
  <r>
    <s v="CUST1119"/>
    <x v="13"/>
    <s v="PROD90"/>
    <s v="Michael Jones"/>
    <n v="40"/>
    <x v="0"/>
    <x v="118"/>
    <s v="Tennessee"/>
    <x v="1"/>
    <s v="Gaming Mouse Pad XL"/>
    <x v="1"/>
    <x v="1"/>
    <x v="34"/>
    <n v="340.14"/>
    <n v="361"/>
    <s v="Johnson-Wright"/>
    <x v="2"/>
    <x v="1"/>
    <n v="1674.5057999999999"/>
  </r>
  <r>
    <s v="CUST1120"/>
    <x v="4"/>
    <s v="PROD73"/>
    <s v="Jacob Hopkins"/>
    <n v="44"/>
    <x v="1"/>
    <x v="119"/>
    <s v="Pennsylvania"/>
    <x v="0"/>
    <s v="Shin Guards – Adult"/>
    <x v="3"/>
    <x v="8"/>
    <x v="55"/>
    <n v="107.06"/>
    <n v="359"/>
    <s v="Alexander Group"/>
    <x v="1"/>
    <x v="2"/>
    <n v="2634.0079999999998"/>
  </r>
  <r>
    <s v="CUST1121"/>
    <x v="5"/>
    <s v="PROD33"/>
    <s v="Joel Robinson"/>
    <n v="62"/>
    <x v="0"/>
    <x v="120"/>
    <s v="Hawaii"/>
    <x v="0"/>
    <s v="Modern Wall Clock"/>
    <x v="2"/>
    <x v="7"/>
    <x v="10"/>
    <n v="179.77"/>
    <n v="305"/>
    <s v="Shelton PLC"/>
    <x v="2"/>
    <x v="0"/>
    <n v="1200.9059999999999"/>
  </r>
  <r>
    <s v="CUST1122"/>
    <x v="10"/>
    <s v="PROD94"/>
    <s v="Michael Chang"/>
    <n v="50"/>
    <x v="0"/>
    <x v="121"/>
    <s v="North Carolina"/>
    <x v="0"/>
    <s v="Vitamin E Body Lotion"/>
    <x v="0"/>
    <x v="0"/>
    <x v="52"/>
    <n v="358.47"/>
    <n v="213"/>
    <s v="Martinez, Adkins and Johnson"/>
    <x v="2"/>
    <x v="0"/>
    <n v="119.7855"/>
  </r>
  <r>
    <s v="CUST1123"/>
    <x v="5"/>
    <s v="PROD12"/>
    <s v="Erin Hopkins"/>
    <n v="40"/>
    <x v="0"/>
    <x v="122"/>
    <s v="Iowa"/>
    <x v="2"/>
    <s v="Hair Strengthening Shampoo"/>
    <x v="0"/>
    <x v="18"/>
    <x v="71"/>
    <n v="115.82"/>
    <n v="460"/>
    <s v="Shelton PLC"/>
    <x v="2"/>
    <x v="0"/>
    <n v="900.75200000000007"/>
  </r>
  <r>
    <s v="CUST1124"/>
    <x v="15"/>
    <s v="PROD22"/>
    <s v="Donald Lee"/>
    <n v="26"/>
    <x v="0"/>
    <x v="123"/>
    <s v="Illinois"/>
    <x v="1"/>
    <s v="Carbon Fiber Tennis Racket"/>
    <x v="3"/>
    <x v="5"/>
    <x v="39"/>
    <n v="484.62"/>
    <n v="432"/>
    <s v="Black-Horn"/>
    <x v="1"/>
    <x v="1"/>
    <n v="695.95499999999993"/>
  </r>
  <r>
    <s v="CUST1125"/>
    <x v="8"/>
    <s v="PROD7"/>
    <s v="Keith Miller"/>
    <n v="64"/>
    <x v="1"/>
    <x v="124"/>
    <s v="Maine"/>
    <x v="0"/>
    <s v="LED Table Lamp"/>
    <x v="2"/>
    <x v="2"/>
    <x v="72"/>
    <n v="218.86"/>
    <n v="170"/>
    <s v="Guerrero-Schmitt"/>
    <x v="3"/>
    <x v="0"/>
    <n v="685.34879999999998"/>
  </r>
  <r>
    <s v="CUST1126"/>
    <x v="3"/>
    <s v="PROD89"/>
    <s v="James Wolfe"/>
    <n v="62"/>
    <x v="1"/>
    <x v="125"/>
    <s v="Arizona"/>
    <x v="3"/>
    <s v="Face Foundation Kit"/>
    <x v="0"/>
    <x v="4"/>
    <x v="65"/>
    <n v="183.04"/>
    <n v="457"/>
    <s v="Thomas, Bridges and Harris"/>
    <x v="2"/>
    <x v="2"/>
    <n v="230.60300000000001"/>
  </r>
  <r>
    <s v="CUST1127"/>
    <x v="17"/>
    <s v="PROD55"/>
    <s v="John Mcknight"/>
    <n v="39"/>
    <x v="0"/>
    <x v="126"/>
    <s v="Vermont"/>
    <x v="0"/>
    <s v="Ceramic Plant Pot"/>
    <x v="2"/>
    <x v="7"/>
    <x v="73"/>
    <n v="81.75"/>
    <n v="331"/>
    <s v="Rivera-Warner"/>
    <x v="3"/>
    <x v="0"/>
    <n v="1640.0519999999999"/>
  </r>
  <r>
    <s v="CUST1128"/>
    <x v="5"/>
    <s v="PROD25"/>
    <s v="Susan Mcdonald"/>
    <n v="45"/>
    <x v="0"/>
    <x v="127"/>
    <s v="Arkansas"/>
    <x v="2"/>
    <s v="Women's Scarf Set"/>
    <x v="4"/>
    <x v="1"/>
    <x v="67"/>
    <n v="174.02"/>
    <n v="268"/>
    <s v="Shelton PLC"/>
    <x v="2"/>
    <x v="0"/>
    <n v="617.29200000000003"/>
  </r>
  <r>
    <s v="CUST1129"/>
    <x v="6"/>
    <s v="PROD91"/>
    <s v="Jessica Mitchell"/>
    <n v="43"/>
    <x v="1"/>
    <x v="128"/>
    <s v="South Dakota"/>
    <x v="2"/>
    <s v="Women's High Heels"/>
    <x v="4"/>
    <x v="20"/>
    <x v="74"/>
    <n v="438.25"/>
    <n v="496"/>
    <s v="Aguirre-Keller"/>
    <x v="1"/>
    <x v="2"/>
    <n v="615.47840000000008"/>
  </r>
  <r>
    <s v="CUST1130"/>
    <x v="6"/>
    <s v="PROD41"/>
    <s v="Jamie Reyes"/>
    <n v="29"/>
    <x v="0"/>
    <x v="129"/>
    <s v="Connecticut"/>
    <x v="0"/>
    <s v="Yoga Exercise Mat"/>
    <x v="3"/>
    <x v="12"/>
    <x v="17"/>
    <n v="313.26"/>
    <n v="369"/>
    <s v="Aguirre-Keller"/>
    <x v="1"/>
    <x v="2"/>
    <n v="84.348600000000005"/>
  </r>
  <r>
    <s v="CUST1131"/>
    <x v="18"/>
    <s v="PROD56"/>
    <s v="Joseph Richards"/>
    <n v="34"/>
    <x v="1"/>
    <x v="130"/>
    <s v="Alabama"/>
    <x v="1"/>
    <s v="Premium Blanket Throw"/>
    <x v="2"/>
    <x v="7"/>
    <x v="16"/>
    <n v="461.47"/>
    <n v="190"/>
    <s v="Martinez-Mullins"/>
    <x v="1"/>
    <x v="2"/>
    <n v="1581.2496000000001"/>
  </r>
  <r>
    <s v="CUST1132"/>
    <x v="17"/>
    <s v="PROD47"/>
    <s v="Miguel Reynolds"/>
    <n v="57"/>
    <x v="1"/>
    <x v="131"/>
    <s v="Ohio"/>
    <x v="3"/>
    <s v="Makeup Brush Set"/>
    <x v="0"/>
    <x v="4"/>
    <x v="4"/>
    <n v="241.07"/>
    <n v="431"/>
    <s v="Rivera-Warner"/>
    <x v="3"/>
    <x v="0"/>
    <n v="313.99"/>
  </r>
  <r>
    <s v="CUST1133"/>
    <x v="4"/>
    <s v="PROD36"/>
    <s v="Hayley Pope"/>
    <n v="62"/>
    <x v="1"/>
    <x v="132"/>
    <s v="Florida"/>
    <x v="1"/>
    <s v="Women's Summer Dress"/>
    <x v="4"/>
    <x v="16"/>
    <x v="75"/>
    <n v="223.43"/>
    <n v="154"/>
    <s v="Alexander Group"/>
    <x v="1"/>
    <x v="2"/>
    <n v="1174.2947999999999"/>
  </r>
  <r>
    <s v="CUST1134"/>
    <x v="9"/>
    <s v="PROD70"/>
    <s v="Morgan Bowen"/>
    <n v="54"/>
    <x v="0"/>
    <x v="133"/>
    <s v="Washington"/>
    <x v="3"/>
    <s v="Kitchen Storage Rack"/>
    <x v="2"/>
    <x v="13"/>
    <x v="20"/>
    <n v="138.05000000000001"/>
    <n v="89"/>
    <s v="Bean, Jones and Park"/>
    <x v="0"/>
    <x v="2"/>
    <n v="197.68199999999999"/>
  </r>
  <r>
    <s v="CUST1135"/>
    <x v="6"/>
    <s v="PROD44"/>
    <s v="Matthew Hanna"/>
    <n v="33"/>
    <x v="1"/>
    <x v="134"/>
    <s v="Michigan"/>
    <x v="0"/>
    <s v="Adjustable Jump Rope"/>
    <x v="3"/>
    <x v="12"/>
    <x v="76"/>
    <n v="167.12"/>
    <n v="316"/>
    <s v="Aguirre-Keller"/>
    <x v="1"/>
    <x v="2"/>
    <n v="525.00279999999998"/>
  </r>
  <r>
    <s v="CUST1136"/>
    <x v="2"/>
    <s v="PROD35"/>
    <s v="Patrick Coleman"/>
    <n v="29"/>
    <x v="0"/>
    <x v="135"/>
    <s v="Nebraska"/>
    <x v="2"/>
    <s v="Bedroom Table Lamp"/>
    <x v="2"/>
    <x v="2"/>
    <x v="28"/>
    <n v="382.22"/>
    <n v="329"/>
    <s v="Holloway Ltd"/>
    <x v="2"/>
    <x v="0"/>
    <n v="180.5814"/>
  </r>
  <r>
    <s v="CUST1137"/>
    <x v="19"/>
    <s v="PROD26"/>
    <s v="Rick Dominguez"/>
    <n v="55"/>
    <x v="1"/>
    <x v="136"/>
    <s v="Ohio"/>
    <x v="0"/>
    <s v="Wireless Bluetooth Speaker"/>
    <x v="1"/>
    <x v="10"/>
    <x v="14"/>
    <n v="322.41000000000003"/>
    <n v="213"/>
    <s v="Gray Ltd"/>
    <x v="2"/>
    <x v="1"/>
    <n v="981.9864"/>
  </r>
  <r>
    <s v="CUST1138"/>
    <x v="8"/>
    <s v="PROD46"/>
    <s v="Sean Roth"/>
    <n v="43"/>
    <x v="0"/>
    <x v="111"/>
    <s v="Virginia"/>
    <x v="3"/>
    <s v="Men's Winter Jacket"/>
    <x v="4"/>
    <x v="15"/>
    <x v="31"/>
    <n v="167.34"/>
    <n v="296"/>
    <s v="Guerrero-Schmitt"/>
    <x v="3"/>
    <x v="0"/>
    <n v="780.75299999999993"/>
  </r>
  <r>
    <s v="CUST1139"/>
    <x v="8"/>
    <s v="PROD15"/>
    <s v="Brian Holder"/>
    <n v="32"/>
    <x v="0"/>
    <x v="137"/>
    <s v="Utah"/>
    <x v="1"/>
    <s v="4K Home Projector"/>
    <x v="1"/>
    <x v="21"/>
    <x v="48"/>
    <n v="465.34"/>
    <n v="301"/>
    <s v="Guerrero-Schmitt"/>
    <x v="3"/>
    <x v="0"/>
    <n v="1043.8271999999999"/>
  </r>
  <r>
    <s v="CUST1140"/>
    <x v="10"/>
    <s v="PROD35"/>
    <s v="Patty Francis"/>
    <n v="63"/>
    <x v="1"/>
    <x v="138"/>
    <s v="Pennsylvania"/>
    <x v="3"/>
    <s v="Bedroom Table Lamp"/>
    <x v="2"/>
    <x v="2"/>
    <x v="28"/>
    <n v="382.22"/>
    <n v="329"/>
    <s v="Martinez, Adkins and Johnson"/>
    <x v="2"/>
    <x v="0"/>
    <n v="267.20600000000002"/>
  </r>
  <r>
    <s v="CUST1141"/>
    <x v="14"/>
    <s v="PROD21"/>
    <s v="Cristian Wright"/>
    <n v="30"/>
    <x v="0"/>
    <x v="139"/>
    <s v="California"/>
    <x v="1"/>
    <s v="Multi-Purpose Storage Box"/>
    <x v="2"/>
    <x v="13"/>
    <x v="45"/>
    <n v="123.46"/>
    <n v="76"/>
    <s v="Benson-Elliott"/>
    <x v="3"/>
    <x v="2"/>
    <n v="388.5"/>
  </r>
  <r>
    <s v="CUST1142"/>
    <x v="18"/>
    <s v="PROD69"/>
    <s v="Maria Ramirez"/>
    <n v="37"/>
    <x v="0"/>
    <x v="140"/>
    <s v="Montana"/>
    <x v="1"/>
    <s v="Men's Sports Shorts"/>
    <x v="4"/>
    <x v="11"/>
    <x v="77"/>
    <n v="218.22"/>
    <n v="224"/>
    <s v="Martinez-Mullins"/>
    <x v="1"/>
    <x v="2"/>
    <n v="169.9854"/>
  </r>
  <r>
    <s v="CUST1143"/>
    <x v="10"/>
    <s v="PROD17"/>
    <s v="Carlos Skinner"/>
    <n v="46"/>
    <x v="0"/>
    <x v="141"/>
    <s v="Alabama"/>
    <x v="1"/>
    <s v="Soccer Training Cone Set"/>
    <x v="3"/>
    <x v="1"/>
    <x v="38"/>
    <n v="144.53"/>
    <n v="367"/>
    <s v="Martinez, Adkins and Johnson"/>
    <x v="2"/>
    <x v="0"/>
    <n v="705.78959999999995"/>
  </r>
  <r>
    <s v="CUST1144"/>
    <x v="2"/>
    <s v="PROD72"/>
    <s v="Justin Cross"/>
    <n v="62"/>
    <x v="1"/>
    <x v="142"/>
    <s v="Nevada"/>
    <x v="1"/>
    <s v="Professional Jump Rope"/>
    <x v="3"/>
    <x v="12"/>
    <x v="78"/>
    <n v="477.61"/>
    <n v="300"/>
    <s v="Holloway Ltd"/>
    <x v="2"/>
    <x v="0"/>
    <n v="2159.4276"/>
  </r>
  <r>
    <s v="CUST1145"/>
    <x v="19"/>
    <s v="PROD69"/>
    <s v="Cameron Simpson"/>
    <n v="46"/>
    <x v="0"/>
    <x v="143"/>
    <s v="Indiana"/>
    <x v="0"/>
    <s v="Men's Sports Shorts"/>
    <x v="4"/>
    <x v="11"/>
    <x v="77"/>
    <n v="218.22"/>
    <n v="224"/>
    <s v="Gray Ltd"/>
    <x v="2"/>
    <x v="1"/>
    <n v="570.87099999999998"/>
  </r>
  <r>
    <s v="CUST1146"/>
    <x v="3"/>
    <s v="PROD25"/>
    <s v="Edward Rivera"/>
    <n v="32"/>
    <x v="1"/>
    <x v="144"/>
    <s v="South Carolina"/>
    <x v="3"/>
    <s v="Women's Scarf Set"/>
    <x v="4"/>
    <x v="1"/>
    <x v="67"/>
    <n v="174.02"/>
    <n v="268"/>
    <s v="Thomas, Bridges and Harris"/>
    <x v="2"/>
    <x v="2"/>
    <n v="933.61599999999999"/>
  </r>
  <r>
    <s v="CUST1147"/>
    <x v="18"/>
    <s v="PROD52"/>
    <s v="Rhonda Young"/>
    <n v="49"/>
    <x v="1"/>
    <x v="145"/>
    <s v="Alaska"/>
    <x v="0"/>
    <s v="Rugby Ball"/>
    <x v="3"/>
    <x v="8"/>
    <x v="54"/>
    <n v="212.26"/>
    <n v="82"/>
    <s v="Martinez-Mullins"/>
    <x v="1"/>
    <x v="2"/>
    <n v="2965.1507999999999"/>
  </r>
  <r>
    <s v="CUST1148"/>
    <x v="15"/>
    <s v="PROD13"/>
    <s v="Theresa Campbell"/>
    <n v="42"/>
    <x v="1"/>
    <x v="146"/>
    <s v="Wisconsin"/>
    <x v="1"/>
    <s v="USB-C Fast Charger"/>
    <x v="1"/>
    <x v="1"/>
    <x v="21"/>
    <n v="242.23"/>
    <n v="453"/>
    <s v="Black-Horn"/>
    <x v="1"/>
    <x v="1"/>
    <n v="132.09379999999999"/>
  </r>
  <r>
    <s v="CUST1149"/>
    <x v="3"/>
    <s v="PROD90"/>
    <s v="Denise Griffin"/>
    <n v="33"/>
    <x v="0"/>
    <x v="147"/>
    <s v="Florida"/>
    <x v="0"/>
    <s v="Gaming Mouse Pad XL"/>
    <x v="1"/>
    <x v="1"/>
    <x v="34"/>
    <n v="340.14"/>
    <n v="361"/>
    <s v="Thomas, Bridges and Harris"/>
    <x v="2"/>
    <x v="2"/>
    <n v="764.55679999999995"/>
  </r>
  <r>
    <s v="CUST1150"/>
    <x v="5"/>
    <s v="PROD11"/>
    <s v="Stephanie Conway"/>
    <n v="24"/>
    <x v="0"/>
    <x v="148"/>
    <s v="Mississippi"/>
    <x v="3"/>
    <s v="HD Smart TV Stick"/>
    <x v="1"/>
    <x v="1"/>
    <x v="79"/>
    <n v="449.4"/>
    <n v="338"/>
    <s v="Shelton PLC"/>
    <x v="2"/>
    <x v="0"/>
    <n v="339.37560000000002"/>
  </r>
  <r>
    <s v="CUST1151"/>
    <x v="8"/>
    <s v="PROD24"/>
    <s v="Michael Davies"/>
    <n v="25"/>
    <x v="1"/>
    <x v="149"/>
    <s v="Oregon"/>
    <x v="3"/>
    <s v="Foldable Camping Chair"/>
    <x v="3"/>
    <x v="9"/>
    <x v="13"/>
    <n v="166.06"/>
    <n v="340"/>
    <s v="Guerrero-Schmitt"/>
    <x v="3"/>
    <x v="0"/>
    <n v="2364.6480000000001"/>
  </r>
  <r>
    <s v="CUST1152"/>
    <x v="9"/>
    <s v="PROD70"/>
    <s v="Patrick Roberts"/>
    <n v="41"/>
    <x v="1"/>
    <x v="150"/>
    <s v="Missouri"/>
    <x v="0"/>
    <s v="Kitchen Storage Rack"/>
    <x v="2"/>
    <x v="13"/>
    <x v="20"/>
    <n v="138.05000000000001"/>
    <n v="89"/>
    <s v="Bean, Jones and Park"/>
    <x v="0"/>
    <x v="2"/>
    <n v="1054.5612000000001"/>
  </r>
  <r>
    <s v="CUST1153"/>
    <x v="9"/>
    <s v="PROD72"/>
    <s v="Joseph Faulkner"/>
    <n v="31"/>
    <x v="0"/>
    <x v="151"/>
    <s v="North Dakota"/>
    <x v="1"/>
    <s v="Professional Jump Rope"/>
    <x v="3"/>
    <x v="12"/>
    <x v="78"/>
    <n v="477.61"/>
    <n v="300"/>
    <s v="Bean, Jones and Park"/>
    <x v="0"/>
    <x v="2"/>
    <n v="390.81599999999997"/>
  </r>
  <r>
    <s v="CUST1154"/>
    <x v="16"/>
    <s v="PROD63"/>
    <s v="Julie Hale"/>
    <n v="35"/>
    <x v="1"/>
    <x v="152"/>
    <s v="Vermont"/>
    <x v="3"/>
    <s v="Organic Sunscreen Lotion"/>
    <x v="0"/>
    <x v="0"/>
    <x v="0"/>
    <n v="266.86"/>
    <n v="458"/>
    <s v="Mann-Austin"/>
    <x v="3"/>
    <x v="2"/>
    <n v="824.48639999999989"/>
  </r>
  <r>
    <s v="CUST1155"/>
    <x v="1"/>
    <s v="PROD72"/>
    <s v="Curtis Haynes"/>
    <n v="60"/>
    <x v="1"/>
    <x v="153"/>
    <s v="Iowa"/>
    <x v="3"/>
    <s v="Professional Jump Rope"/>
    <x v="3"/>
    <x v="12"/>
    <x v="78"/>
    <n v="477.61"/>
    <n v="300"/>
    <s v="Mcdonald Inc"/>
    <x v="1"/>
    <x v="1"/>
    <n v="998.18729999999994"/>
  </r>
  <r>
    <s v="CUST1156"/>
    <x v="18"/>
    <s v="PROD49"/>
    <s v="Maria Sanchez"/>
    <n v="46"/>
    <x v="0"/>
    <x v="154"/>
    <s v="North Dakota"/>
    <x v="1"/>
    <s v="Men's Roll-On Perfume"/>
    <x v="0"/>
    <x v="22"/>
    <x v="49"/>
    <n v="43.29"/>
    <n v="267"/>
    <s v="Martinez-Mullins"/>
    <x v="1"/>
    <x v="2"/>
    <n v="1357.0372"/>
  </r>
  <r>
    <s v="CUST1157"/>
    <x v="18"/>
    <s v="PROD55"/>
    <s v="Paul Zamora"/>
    <n v="59"/>
    <x v="0"/>
    <x v="155"/>
    <s v="North Dakota"/>
    <x v="0"/>
    <s v="Ceramic Plant Pot"/>
    <x v="2"/>
    <x v="7"/>
    <x v="73"/>
    <n v="81.75"/>
    <n v="331"/>
    <s v="Martinez-Mullins"/>
    <x v="1"/>
    <x v="2"/>
    <n v="460.108"/>
  </r>
  <r>
    <s v="CUST1158"/>
    <x v="9"/>
    <s v="PROD19"/>
    <s v="Sean Powell"/>
    <n v="43"/>
    <x v="0"/>
    <x v="156"/>
    <s v="Vermont"/>
    <x v="1"/>
    <s v="Knee Support Brace"/>
    <x v="3"/>
    <x v="5"/>
    <x v="80"/>
    <n v="21.34"/>
    <n v="65"/>
    <s v="Bean, Jones and Park"/>
    <x v="0"/>
    <x v="2"/>
    <n v="215.14420000000001"/>
  </r>
  <r>
    <s v="CUST1159"/>
    <x v="1"/>
    <s v="PROD69"/>
    <s v="Brian Choi"/>
    <n v="46"/>
    <x v="1"/>
    <x v="157"/>
    <s v="New Jersey"/>
    <x v="3"/>
    <s v="Men's Sports Shorts"/>
    <x v="4"/>
    <x v="11"/>
    <x v="77"/>
    <n v="218.22"/>
    <n v="224"/>
    <s v="Mcdonald Inc"/>
    <x v="1"/>
    <x v="1"/>
    <n v="874.91959999999983"/>
  </r>
  <r>
    <s v="CUST1160"/>
    <x v="13"/>
    <s v="PROD47"/>
    <s v="John Lawson"/>
    <n v="41"/>
    <x v="1"/>
    <x v="158"/>
    <s v="North Carolina"/>
    <x v="0"/>
    <s v="Makeup Brush Set"/>
    <x v="0"/>
    <x v="4"/>
    <x v="4"/>
    <n v="241.07"/>
    <n v="431"/>
    <s v="Johnson-Wright"/>
    <x v="2"/>
    <x v="1"/>
    <n v="132.35820000000001"/>
  </r>
  <r>
    <s v="CUST1161"/>
    <x v="16"/>
    <s v="PROD97"/>
    <s v="Cynthia Morris"/>
    <n v="18"/>
    <x v="1"/>
    <x v="159"/>
    <s v="Arizona"/>
    <x v="2"/>
    <s v="Cricket Bat"/>
    <x v="3"/>
    <x v="8"/>
    <x v="33"/>
    <n v="245.98"/>
    <n v="471"/>
    <s v="Mann-Austin"/>
    <x v="3"/>
    <x v="2"/>
    <n v="1331.91"/>
  </r>
  <r>
    <s v="CUST1162"/>
    <x v="2"/>
    <s v="PROD99"/>
    <s v="Mariah Brown"/>
    <n v="37"/>
    <x v="0"/>
    <x v="160"/>
    <s v="Tennessee"/>
    <x v="2"/>
    <s v="Stainless Steel Cookware Set"/>
    <x v="2"/>
    <x v="6"/>
    <x v="44"/>
    <n v="201.41"/>
    <n v="146"/>
    <s v="Holloway Ltd"/>
    <x v="2"/>
    <x v="0"/>
    <n v="1301.9864"/>
  </r>
  <r>
    <s v="CUST1163"/>
    <x v="19"/>
    <s v="PROD97"/>
    <s v="Joseph Jones"/>
    <n v="21"/>
    <x v="0"/>
    <x v="161"/>
    <s v="Illinois"/>
    <x v="1"/>
    <s v="Cricket Bat"/>
    <x v="3"/>
    <x v="8"/>
    <x v="33"/>
    <n v="245.98"/>
    <n v="471"/>
    <s v="Gray Ltd"/>
    <x v="2"/>
    <x v="1"/>
    <n v="434.05680000000001"/>
  </r>
  <r>
    <s v="CUST1164"/>
    <x v="3"/>
    <s v="PROD48"/>
    <s v="Daniel Rivas"/>
    <n v="39"/>
    <x v="1"/>
    <x v="162"/>
    <s v="Georgia"/>
    <x v="2"/>
    <s v="Car Dashboard Phone Holder"/>
    <x v="1"/>
    <x v="1"/>
    <x v="43"/>
    <n v="177.98"/>
    <n v="103"/>
    <s v="Thomas, Bridges and Harris"/>
    <x v="2"/>
    <x v="2"/>
    <n v="3306.1392000000001"/>
  </r>
  <r>
    <s v="CUST1165"/>
    <x v="17"/>
    <s v="PROD27"/>
    <s v="Jason Wheeler"/>
    <n v="47"/>
    <x v="1"/>
    <x v="163"/>
    <s v="Illinois"/>
    <x v="0"/>
    <s v="Decorative Floor Vase"/>
    <x v="2"/>
    <x v="7"/>
    <x v="12"/>
    <n v="219.12"/>
    <n v="378"/>
    <s v="Rivera-Warner"/>
    <x v="3"/>
    <x v="0"/>
    <n v="414.25920000000002"/>
  </r>
  <r>
    <s v="CUST1166"/>
    <x v="12"/>
    <s v="PROD81"/>
    <s v="Patricia Gardner"/>
    <n v="25"/>
    <x v="1"/>
    <x v="164"/>
    <s v="Michigan"/>
    <x v="2"/>
    <s v="Badminton Racket Set"/>
    <x v="3"/>
    <x v="5"/>
    <x v="81"/>
    <n v="285.54000000000002"/>
    <n v="358"/>
    <s v="Hill, Wagner and Ballard"/>
    <x v="3"/>
    <x v="2"/>
    <n v="235.3212"/>
  </r>
  <r>
    <s v="CUST1167"/>
    <x v="15"/>
    <s v="PROD47"/>
    <s v="Antonio Wade"/>
    <n v="36"/>
    <x v="1"/>
    <x v="165"/>
    <s v="Tennessee"/>
    <x v="3"/>
    <s v="Makeup Brush Set"/>
    <x v="0"/>
    <x v="4"/>
    <x v="4"/>
    <n v="241.07"/>
    <n v="431"/>
    <s v="Black-Horn"/>
    <x v="1"/>
    <x v="1"/>
    <n v="1973.6496"/>
  </r>
  <r>
    <s v="CUST1168"/>
    <x v="10"/>
    <s v="PROD72"/>
    <s v="Daniel Contreras"/>
    <n v="36"/>
    <x v="1"/>
    <x v="166"/>
    <s v="Florida"/>
    <x v="0"/>
    <s v="Professional Jump Rope"/>
    <x v="3"/>
    <x v="12"/>
    <x v="78"/>
    <n v="477.61"/>
    <n v="300"/>
    <s v="Martinez, Adkins and Johnson"/>
    <x v="2"/>
    <x v="0"/>
    <n v="1243.038"/>
  </r>
  <r>
    <s v="CUST1169"/>
    <x v="17"/>
    <s v="PROD17"/>
    <s v="Steve Mclaughlin"/>
    <n v="64"/>
    <x v="0"/>
    <x v="167"/>
    <s v="New Hampshire"/>
    <x v="1"/>
    <s v="Soccer Training Cone Set"/>
    <x v="3"/>
    <x v="1"/>
    <x v="38"/>
    <n v="144.53"/>
    <n v="367"/>
    <s v="Rivera-Warner"/>
    <x v="3"/>
    <x v="0"/>
    <n v="1521.7632000000001"/>
  </r>
  <r>
    <s v="CUST1170"/>
    <x v="14"/>
    <s v="PROD83"/>
    <s v="Christopher Garcia Dds"/>
    <n v="18"/>
    <x v="0"/>
    <x v="168"/>
    <s v="Missouri"/>
    <x v="3"/>
    <s v="Hydrating Face Cleanser"/>
    <x v="0"/>
    <x v="0"/>
    <x v="56"/>
    <n v="305.49"/>
    <n v="159"/>
    <s v="Benson-Elliott"/>
    <x v="3"/>
    <x v="2"/>
    <n v="1661.8032000000001"/>
  </r>
  <r>
    <s v="CUST1171"/>
    <x v="19"/>
    <s v="PROD90"/>
    <s v="Amy Wilson"/>
    <n v="44"/>
    <x v="1"/>
    <x v="169"/>
    <s v="Indiana"/>
    <x v="0"/>
    <s v="Gaming Mouse Pad XL"/>
    <x v="1"/>
    <x v="1"/>
    <x v="34"/>
    <n v="340.14"/>
    <n v="361"/>
    <s v="Gray Ltd"/>
    <x v="2"/>
    <x v="1"/>
    <n v="948.12300000000005"/>
  </r>
  <r>
    <s v="CUST1172"/>
    <x v="13"/>
    <s v="PROD79"/>
    <s v="Thomas Rhodes"/>
    <n v="41"/>
    <x v="1"/>
    <x v="170"/>
    <s v="West Virginia"/>
    <x v="1"/>
    <s v="Decorative Lamp Shade"/>
    <x v="2"/>
    <x v="2"/>
    <x v="2"/>
    <n v="228.53"/>
    <n v="469"/>
    <s v="Johnson-Wright"/>
    <x v="2"/>
    <x v="1"/>
    <n v="753.49019999999996"/>
  </r>
  <r>
    <s v="CUST1173"/>
    <x v="18"/>
    <s v="PROD20"/>
    <s v="Teresa Stokes"/>
    <n v="41"/>
    <x v="1"/>
    <x v="112"/>
    <s v="Iowa"/>
    <x v="0"/>
    <s v="Outdoor Sports Water Bottle"/>
    <x v="3"/>
    <x v="1"/>
    <x v="82"/>
    <n v="131.51"/>
    <n v="199"/>
    <s v="Martinez-Mullins"/>
    <x v="1"/>
    <x v="2"/>
    <n v="3400.733999999999"/>
  </r>
  <r>
    <s v="CUST1174"/>
    <x v="12"/>
    <s v="PROD86"/>
    <s v="Maria Davis"/>
    <n v="26"/>
    <x v="1"/>
    <x v="171"/>
    <s v="Vermont"/>
    <x v="3"/>
    <s v="Kitchen Cutting Board"/>
    <x v="2"/>
    <x v="6"/>
    <x v="27"/>
    <n v="176.07"/>
    <n v="82"/>
    <s v="Hill, Wagner and Ballard"/>
    <x v="3"/>
    <x v="2"/>
    <n v="953.55000000000007"/>
  </r>
  <r>
    <s v="CUST1175"/>
    <x v="6"/>
    <s v="PROD49"/>
    <s v="Michelle Rogers"/>
    <n v="56"/>
    <x v="0"/>
    <x v="172"/>
    <s v="Hawaii"/>
    <x v="0"/>
    <s v="Men's Roll-On Perfume"/>
    <x v="0"/>
    <x v="22"/>
    <x v="49"/>
    <n v="43.29"/>
    <n v="267"/>
    <s v="Aguirre-Keller"/>
    <x v="1"/>
    <x v="2"/>
    <n v="240.5592"/>
  </r>
  <r>
    <s v="CUST1176"/>
    <x v="9"/>
    <s v="PROD52"/>
    <s v="John Bradford"/>
    <n v="48"/>
    <x v="0"/>
    <x v="173"/>
    <s v="Vermont"/>
    <x v="2"/>
    <s v="Rugby Ball"/>
    <x v="3"/>
    <x v="8"/>
    <x v="54"/>
    <n v="212.26"/>
    <n v="82"/>
    <s v="Bean, Jones and Park"/>
    <x v="0"/>
    <x v="2"/>
    <n v="415.73379999999997"/>
  </r>
  <r>
    <s v="CUST1177"/>
    <x v="1"/>
    <s v="PROD59"/>
    <s v="Curtis Lam"/>
    <n v="55"/>
    <x v="0"/>
    <x v="174"/>
    <s v="Kentucky"/>
    <x v="0"/>
    <s v="Men's Hair Styling Gel"/>
    <x v="0"/>
    <x v="18"/>
    <x v="70"/>
    <n v="17.309999999999999"/>
    <n v="399"/>
    <s v="Mcdonald Inc"/>
    <x v="1"/>
    <x v="1"/>
    <n v="60.280200000000008"/>
  </r>
  <r>
    <s v="CUST1178"/>
    <x v="12"/>
    <s v="PROD97"/>
    <s v="Michelle Myers"/>
    <n v="33"/>
    <x v="1"/>
    <x v="175"/>
    <s v="South Carolina"/>
    <x v="1"/>
    <s v="Cricket Bat"/>
    <x v="3"/>
    <x v="8"/>
    <x v="33"/>
    <n v="245.98"/>
    <n v="471"/>
    <s v="Hill, Wagner and Ballard"/>
    <x v="3"/>
    <x v="2"/>
    <n v="641.73599999999999"/>
  </r>
  <r>
    <s v="CUST1179"/>
    <x v="5"/>
    <s v="PROD34"/>
    <s v="Nicholas Bradshaw"/>
    <n v="43"/>
    <x v="1"/>
    <x v="176"/>
    <s v="Utah"/>
    <x v="2"/>
    <s v="Gaming Mechanical Keyboard"/>
    <x v="1"/>
    <x v="3"/>
    <x v="59"/>
    <n v="419.28"/>
    <n v="86"/>
    <s v="Shelton PLC"/>
    <x v="2"/>
    <x v="0"/>
    <n v="1156.3725999999999"/>
  </r>
  <r>
    <s v="CUST1180"/>
    <x v="8"/>
    <s v="PROD90"/>
    <s v="Wesley Thompson"/>
    <n v="38"/>
    <x v="0"/>
    <x v="177"/>
    <s v="Maine"/>
    <x v="1"/>
    <s v="Gaming Mouse Pad XL"/>
    <x v="1"/>
    <x v="1"/>
    <x v="34"/>
    <n v="340.14"/>
    <n v="361"/>
    <s v="Guerrero-Schmitt"/>
    <x v="3"/>
    <x v="0"/>
    <n v="235.2936"/>
  </r>
  <r>
    <s v="CUST1181"/>
    <x v="17"/>
    <s v="PROD63"/>
    <s v="Erin Ward"/>
    <n v="60"/>
    <x v="0"/>
    <x v="178"/>
    <s v="New York"/>
    <x v="1"/>
    <s v="Organic Sunscreen Lotion"/>
    <x v="0"/>
    <x v="0"/>
    <x v="0"/>
    <n v="266.86"/>
    <n v="458"/>
    <s v="Rivera-Warner"/>
    <x v="3"/>
    <x v="0"/>
    <n v="3111.192"/>
  </r>
  <r>
    <s v="CUST1182"/>
    <x v="4"/>
    <s v="PROD34"/>
    <s v="Melissa Hamilton"/>
    <n v="23"/>
    <x v="1"/>
    <x v="179"/>
    <s v="Oklahoma"/>
    <x v="2"/>
    <s v="Gaming Mechanical Keyboard"/>
    <x v="1"/>
    <x v="3"/>
    <x v="59"/>
    <n v="419.28"/>
    <n v="86"/>
    <s v="Alexander Group"/>
    <x v="1"/>
    <x v="2"/>
    <n v="2997.615600000001"/>
  </r>
  <r>
    <s v="CUST1183"/>
    <x v="17"/>
    <s v="PROD38"/>
    <s v="Mario Jacobs"/>
    <n v="18"/>
    <x v="0"/>
    <x v="180"/>
    <s v="New York"/>
    <x v="0"/>
    <s v="Sports Water Hydration Pack"/>
    <x v="3"/>
    <x v="9"/>
    <x v="50"/>
    <n v="135.61000000000001"/>
    <n v="394"/>
    <s v="Rivera-Warner"/>
    <x v="3"/>
    <x v="0"/>
    <n v="374.66759999999999"/>
  </r>
  <r>
    <s v="CUST1184"/>
    <x v="2"/>
    <s v="PROD34"/>
    <s v="Leonard Cochran"/>
    <n v="46"/>
    <x v="1"/>
    <x v="181"/>
    <s v="North Dakota"/>
    <x v="2"/>
    <s v="Gaming Mechanical Keyboard"/>
    <x v="1"/>
    <x v="3"/>
    <x v="59"/>
    <n v="419.28"/>
    <n v="86"/>
    <s v="Holloway Ltd"/>
    <x v="2"/>
    <x v="0"/>
    <n v="3576.0383999999999"/>
  </r>
  <r>
    <s v="CUST1185"/>
    <x v="13"/>
    <s v="PROD79"/>
    <s v="Brent Rivas"/>
    <n v="54"/>
    <x v="1"/>
    <x v="182"/>
    <s v="New Jersey"/>
    <x v="0"/>
    <s v="Decorative Lamp Shade"/>
    <x v="2"/>
    <x v="2"/>
    <x v="2"/>
    <n v="228.53"/>
    <n v="469"/>
    <s v="Johnson-Wright"/>
    <x v="2"/>
    <x v="1"/>
    <n v="125.8389"/>
  </r>
  <r>
    <s v="CUST1186"/>
    <x v="14"/>
    <s v="PROD67"/>
    <s v="Jennifer Pruitt"/>
    <n v="53"/>
    <x v="0"/>
    <x v="183"/>
    <s v="Missouri"/>
    <x v="2"/>
    <s v="Smart LED Light Strip"/>
    <x v="1"/>
    <x v="1"/>
    <x v="7"/>
    <n v="349.17"/>
    <n v="476"/>
    <s v="Benson-Elliott"/>
    <x v="3"/>
    <x v="2"/>
    <n v="216.50399999999999"/>
  </r>
  <r>
    <s v="CUST1187"/>
    <x v="19"/>
    <s v="PROD99"/>
    <s v="Dr. Suzanne Bullock"/>
    <n v="60"/>
    <x v="1"/>
    <x v="184"/>
    <s v="Alabama"/>
    <x v="0"/>
    <s v="Stainless Steel Cookware Set"/>
    <x v="2"/>
    <x v="6"/>
    <x v="44"/>
    <n v="201.41"/>
    <n v="146"/>
    <s v="Gray Ltd"/>
    <x v="2"/>
    <x v="1"/>
    <n v="1250.6175000000001"/>
  </r>
  <r>
    <s v="CUST1188"/>
    <x v="9"/>
    <s v="PROD30"/>
    <s v="Kimberly Brooks"/>
    <n v="42"/>
    <x v="0"/>
    <x v="185"/>
    <s v="New Mexico"/>
    <x v="2"/>
    <s v="Stainless Steel Cutlery Set"/>
    <x v="2"/>
    <x v="6"/>
    <x v="8"/>
    <n v="19.52"/>
    <n v="57"/>
    <s v="Bean, Jones and Park"/>
    <x v="0"/>
    <x v="2"/>
    <n v="792.09600000000012"/>
  </r>
  <r>
    <s v="CUST1189"/>
    <x v="7"/>
    <s v="PROD33"/>
    <s v="Daniel Austin"/>
    <n v="29"/>
    <x v="0"/>
    <x v="186"/>
    <s v="Kentucky"/>
    <x v="3"/>
    <s v="Modern Wall Clock"/>
    <x v="2"/>
    <x v="7"/>
    <x v="10"/>
    <n v="179.77"/>
    <n v="305"/>
    <s v="Gardner, Humphrey and Contreras"/>
    <x v="3"/>
    <x v="0"/>
    <n v="2764.8031999999998"/>
  </r>
  <r>
    <s v="CUST1190"/>
    <x v="16"/>
    <s v="PROD27"/>
    <s v="Christopher Stewart"/>
    <n v="21"/>
    <x v="0"/>
    <x v="187"/>
    <s v="New York"/>
    <x v="1"/>
    <s v="Decorative Floor Vase"/>
    <x v="2"/>
    <x v="7"/>
    <x v="12"/>
    <n v="219.12"/>
    <n v="378"/>
    <s v="Mann-Austin"/>
    <x v="3"/>
    <x v="2"/>
    <n v="2326.4778000000001"/>
  </r>
  <r>
    <s v="CUST1191"/>
    <x v="10"/>
    <s v="PROD17"/>
    <s v="Todd Poole"/>
    <n v="29"/>
    <x v="1"/>
    <x v="188"/>
    <s v="Ohio"/>
    <x v="1"/>
    <s v="Soccer Training Cone Set"/>
    <x v="3"/>
    <x v="1"/>
    <x v="38"/>
    <n v="144.53"/>
    <n v="367"/>
    <s v="Martinez, Adkins and Johnson"/>
    <x v="2"/>
    <x v="0"/>
    <n v="1372.2396000000001"/>
  </r>
  <r>
    <s v="CUST1192"/>
    <x v="9"/>
    <s v="PROD46"/>
    <s v="Jacob Wood"/>
    <n v="26"/>
    <x v="0"/>
    <x v="189"/>
    <s v="Idaho"/>
    <x v="3"/>
    <s v="Men's Winter Jacket"/>
    <x v="4"/>
    <x v="15"/>
    <x v="31"/>
    <n v="167.34"/>
    <n v="296"/>
    <s v="Bean, Jones and Park"/>
    <x v="0"/>
    <x v="2"/>
    <n v="1663.9503999999999"/>
  </r>
  <r>
    <s v="CUST1193"/>
    <x v="18"/>
    <s v="PROD64"/>
    <s v="David Roberts"/>
    <n v="38"/>
    <x v="0"/>
    <x v="190"/>
    <s v="Georgia"/>
    <x v="3"/>
    <s v="Matte Lipstick Set"/>
    <x v="0"/>
    <x v="4"/>
    <x v="42"/>
    <n v="299.11"/>
    <n v="118"/>
    <s v="Martinez-Mullins"/>
    <x v="1"/>
    <x v="2"/>
    <n v="1375.6759999999999"/>
  </r>
  <r>
    <s v="CUST1194"/>
    <x v="13"/>
    <s v="PROD54"/>
    <s v="Ashley Ferguson"/>
    <n v="46"/>
    <x v="0"/>
    <x v="191"/>
    <s v="Pennsylvania"/>
    <x v="3"/>
    <s v="Sports Stopwatch Pro"/>
    <x v="3"/>
    <x v="1"/>
    <x v="83"/>
    <n v="434.84"/>
    <n v="185"/>
    <s v="Johnson-Wright"/>
    <x v="2"/>
    <x v="1"/>
    <n v="689.17200000000014"/>
  </r>
  <r>
    <s v="CUST1195"/>
    <x v="13"/>
    <s v="PROD19"/>
    <s v="Anthony Garcia"/>
    <n v="60"/>
    <x v="0"/>
    <x v="192"/>
    <s v="Arizona"/>
    <x v="2"/>
    <s v="Knee Support Brace"/>
    <x v="3"/>
    <x v="5"/>
    <x v="80"/>
    <n v="21.34"/>
    <n v="65"/>
    <s v="Johnson-Wright"/>
    <x v="2"/>
    <x v="1"/>
    <n v="229.88249999999999"/>
  </r>
  <r>
    <s v="CUST1196"/>
    <x v="0"/>
    <s v="PROD15"/>
    <s v="Megan Greer"/>
    <n v="18"/>
    <x v="1"/>
    <x v="193"/>
    <s v="Alaska"/>
    <x v="0"/>
    <s v="4K Home Projector"/>
    <x v="1"/>
    <x v="21"/>
    <x v="48"/>
    <n v="465.34"/>
    <n v="301"/>
    <s v="Frederick-Wright"/>
    <x v="0"/>
    <x v="0"/>
    <n v="756.54719999999986"/>
  </r>
  <r>
    <s v="CUST1197"/>
    <x v="17"/>
    <s v="PROD37"/>
    <s v="Andrea Jacobs"/>
    <n v="45"/>
    <x v="1"/>
    <x v="54"/>
    <s v="Minnesota"/>
    <x v="0"/>
    <s v="Men's Casual Sneakers"/>
    <x v="4"/>
    <x v="20"/>
    <x v="46"/>
    <n v="353.47"/>
    <n v="214"/>
    <s v="Rivera-Warner"/>
    <x v="3"/>
    <x v="0"/>
    <n v="1223.0694000000001"/>
  </r>
  <r>
    <s v="CUST1198"/>
    <x v="5"/>
    <s v="PROD12"/>
    <s v="Wanda Snyder"/>
    <n v="54"/>
    <x v="0"/>
    <x v="194"/>
    <s v="Vermont"/>
    <x v="1"/>
    <s v="Hair Strengthening Shampoo"/>
    <x v="0"/>
    <x v="18"/>
    <x v="71"/>
    <n v="115.82"/>
    <n v="460"/>
    <s v="Shelton PLC"/>
    <x v="2"/>
    <x v="0"/>
    <n v="2703.9888000000001"/>
  </r>
  <r>
    <s v="CUST1199"/>
    <x v="0"/>
    <s v="PROD48"/>
    <s v="Carmen Price"/>
    <n v="46"/>
    <x v="0"/>
    <x v="195"/>
    <s v="Tennessee"/>
    <x v="1"/>
    <s v="Car Dashboard Phone Holder"/>
    <x v="1"/>
    <x v="1"/>
    <x v="43"/>
    <n v="177.98"/>
    <n v="103"/>
    <s v="Frederick-Wright"/>
    <x v="0"/>
    <x v="0"/>
    <n v="574.12160000000006"/>
  </r>
  <r>
    <s v="CUST1200"/>
    <x v="9"/>
    <s v="PROD77"/>
    <s v="Anna Perez"/>
    <n v="30"/>
    <x v="0"/>
    <x v="196"/>
    <s v="Maine"/>
    <x v="0"/>
    <s v="WiFi Mesh Router"/>
    <x v="1"/>
    <x v="21"/>
    <x v="84"/>
    <n v="480.9"/>
    <n v="104"/>
    <s v="Bean, Jones and Park"/>
    <x v="0"/>
    <x v="2"/>
    <n v="2030.5700999999999"/>
  </r>
  <r>
    <s v="CUST1201"/>
    <x v="5"/>
    <s v="PROD87"/>
    <s v="Mary Boyd"/>
    <n v="25"/>
    <x v="1"/>
    <x v="197"/>
    <s v="Michigan"/>
    <x v="1"/>
    <s v="LED Bedside Lamp"/>
    <x v="2"/>
    <x v="2"/>
    <x v="85"/>
    <n v="371.38"/>
    <n v="220"/>
    <s v="Shelton PLC"/>
    <x v="2"/>
    <x v="0"/>
    <n v="273.08879999999999"/>
  </r>
  <r>
    <s v="CUST1202"/>
    <x v="9"/>
    <s v="PROD78"/>
    <s v="Christina Garcia"/>
    <n v="37"/>
    <x v="1"/>
    <x v="198"/>
    <s v="Kansas"/>
    <x v="0"/>
    <s v="Essential Oil Diffuser"/>
    <x v="2"/>
    <x v="7"/>
    <x v="9"/>
    <n v="325.26"/>
    <n v="400"/>
    <s v="Bean, Jones and Park"/>
    <x v="0"/>
    <x v="2"/>
    <n v="3028.2264"/>
  </r>
  <r>
    <s v="CUST1203"/>
    <x v="3"/>
    <s v="PROD43"/>
    <s v="Sarah Brady"/>
    <n v="47"/>
    <x v="0"/>
    <x v="199"/>
    <s v="Iowa"/>
    <x v="0"/>
    <s v="USB External Hard Drive"/>
    <x v="1"/>
    <x v="3"/>
    <x v="86"/>
    <n v="253.33"/>
    <n v="266"/>
    <s v="Thomas, Bridges and Harris"/>
    <x v="2"/>
    <x v="2"/>
    <n v="322.3528"/>
  </r>
  <r>
    <s v="CUST1204"/>
    <x v="0"/>
    <s v="PROD44"/>
    <s v="Tiffany Herrera"/>
    <n v="52"/>
    <x v="0"/>
    <x v="200"/>
    <s v="Virginia"/>
    <x v="0"/>
    <s v="Adjustable Jump Rope"/>
    <x v="3"/>
    <x v="12"/>
    <x v="76"/>
    <n v="167.12"/>
    <n v="316"/>
    <s v="Frederick-Wright"/>
    <x v="0"/>
    <x v="0"/>
    <n v="380.42959999999999"/>
  </r>
  <r>
    <s v="CUST1205"/>
    <x v="4"/>
    <s v="PROD84"/>
    <s v="Michelle Carpenter"/>
    <n v="44"/>
    <x v="1"/>
    <x v="201"/>
    <s v="New Jersey"/>
    <x v="3"/>
    <s v="Wooden Bookshelf"/>
    <x v="2"/>
    <x v="14"/>
    <x v="53"/>
    <n v="388.46"/>
    <n v="208"/>
    <s v="Alexander Group"/>
    <x v="1"/>
    <x v="2"/>
    <n v="1484.7293999999999"/>
  </r>
  <r>
    <s v="CUST1206"/>
    <x v="3"/>
    <s v="PROD94"/>
    <s v="Ronald Jones"/>
    <n v="26"/>
    <x v="1"/>
    <x v="202"/>
    <s v="Tennessee"/>
    <x v="2"/>
    <s v="Vitamin E Body Lotion"/>
    <x v="0"/>
    <x v="0"/>
    <x v="52"/>
    <n v="358.47"/>
    <n v="213"/>
    <s v="Thomas, Bridges and Harris"/>
    <x v="2"/>
    <x v="2"/>
    <n v="493.92"/>
  </r>
  <r>
    <s v="CUST1207"/>
    <x v="13"/>
    <s v="PROD96"/>
    <s v="Jacqueline Pacheco"/>
    <n v="28"/>
    <x v="1"/>
    <x v="203"/>
    <s v="New Jersey"/>
    <x v="1"/>
    <s v="Women's Formal Blazer"/>
    <x v="4"/>
    <x v="15"/>
    <x v="87"/>
    <n v="358.47"/>
    <n v="143"/>
    <s v="Johnson-Wright"/>
    <x v="2"/>
    <x v="1"/>
    <n v="980.35440000000006"/>
  </r>
  <r>
    <s v="CUST1208"/>
    <x v="4"/>
    <s v="PROD34"/>
    <s v="John Perez"/>
    <n v="54"/>
    <x v="0"/>
    <x v="204"/>
    <s v="Louisiana"/>
    <x v="0"/>
    <s v="Gaming Mechanical Keyboard"/>
    <x v="1"/>
    <x v="3"/>
    <x v="59"/>
    <n v="419.28"/>
    <n v="86"/>
    <s v="Alexander Group"/>
    <x v="1"/>
    <x v="2"/>
    <n v="104.7144"/>
  </r>
  <r>
    <s v="CUST1209"/>
    <x v="18"/>
    <s v="PROD42"/>
    <s v="Joan Johnson"/>
    <n v="50"/>
    <x v="1"/>
    <x v="205"/>
    <s v="Maine"/>
    <x v="0"/>
    <s v="Smart Home WiFi Camera"/>
    <x v="1"/>
    <x v="1"/>
    <x v="88"/>
    <n v="450.71"/>
    <n v="389"/>
    <s v="Martinez-Mullins"/>
    <x v="1"/>
    <x v="2"/>
    <n v="1194.7392"/>
  </r>
  <r>
    <s v="CUST1210"/>
    <x v="0"/>
    <s v="PROD60"/>
    <s v="Antonio Jones"/>
    <n v="48"/>
    <x v="0"/>
    <x v="206"/>
    <s v="Georgia"/>
    <x v="2"/>
    <s v="Luxury Perfume Spray"/>
    <x v="0"/>
    <x v="22"/>
    <x v="51"/>
    <n v="482.75"/>
    <n v="444"/>
    <s v="Frederick-Wright"/>
    <x v="0"/>
    <x v="0"/>
    <n v="2019.684"/>
  </r>
  <r>
    <s v="CUST1211"/>
    <x v="2"/>
    <s v="PROD85"/>
    <s v="Rodney Huffman"/>
    <n v="20"/>
    <x v="1"/>
    <x v="207"/>
    <s v="Delaware"/>
    <x v="2"/>
    <s v="Women's Beanie Hat"/>
    <x v="4"/>
    <x v="1"/>
    <x v="89"/>
    <n v="119.57"/>
    <n v="210"/>
    <s v="Holloway Ltd"/>
    <x v="2"/>
    <x v="0"/>
    <n v="1879.05"/>
  </r>
  <r>
    <s v="CUST1212"/>
    <x v="15"/>
    <s v="PROD13"/>
    <s v="Blake Harrison"/>
    <n v="63"/>
    <x v="1"/>
    <x v="208"/>
    <s v="Washington"/>
    <x v="0"/>
    <s v="USB-C Fast Charger"/>
    <x v="1"/>
    <x v="1"/>
    <x v="21"/>
    <n v="242.23"/>
    <n v="453"/>
    <s v="Black-Horn"/>
    <x v="1"/>
    <x v="1"/>
    <n v="1034.6335999999999"/>
  </r>
  <r>
    <s v="CUST1213"/>
    <x v="9"/>
    <s v="PROD98"/>
    <s v="Stuart Johnson"/>
    <n v="42"/>
    <x v="1"/>
    <x v="209"/>
    <s v="North Dakota"/>
    <x v="0"/>
    <s v="Portable Bluetooth Speaker"/>
    <x v="1"/>
    <x v="10"/>
    <x v="66"/>
    <n v="431.67"/>
    <n v="73"/>
    <s v="Bean, Jones and Park"/>
    <x v="0"/>
    <x v="2"/>
    <n v="599.65440000000001"/>
  </r>
  <r>
    <s v="CUST1214"/>
    <x v="17"/>
    <s v="PROD91"/>
    <s v="Eric Todd"/>
    <n v="61"/>
    <x v="0"/>
    <x v="210"/>
    <s v="Montana"/>
    <x v="3"/>
    <s v="Women's High Heels"/>
    <x v="4"/>
    <x v="20"/>
    <x v="74"/>
    <n v="438.25"/>
    <n v="496"/>
    <s v="Rivera-Warner"/>
    <x v="3"/>
    <x v="0"/>
    <n v="1027.7357999999999"/>
  </r>
  <r>
    <s v="CUST1215"/>
    <x v="11"/>
    <s v="PROD32"/>
    <s v="Steve Medina"/>
    <n v="50"/>
    <x v="1"/>
    <x v="211"/>
    <s v="Oregon"/>
    <x v="3"/>
    <s v="Vitamin C Face Serum"/>
    <x v="0"/>
    <x v="0"/>
    <x v="58"/>
    <n v="283.83"/>
    <n v="244"/>
    <s v="Moore, Padilla and Butler"/>
    <x v="1"/>
    <x v="0"/>
    <n v="1023.678"/>
  </r>
  <r>
    <s v="CUST1216"/>
    <x v="9"/>
    <s v="PROD86"/>
    <s v="Kathryn Garcia"/>
    <n v="44"/>
    <x v="0"/>
    <x v="212"/>
    <s v="California"/>
    <x v="0"/>
    <s v="Kitchen Cutting Board"/>
    <x v="2"/>
    <x v="6"/>
    <x v="27"/>
    <n v="176.07"/>
    <n v="82"/>
    <s v="Bean, Jones and Park"/>
    <x v="0"/>
    <x v="2"/>
    <n v="253.09200000000001"/>
  </r>
  <r>
    <s v="CUST1217"/>
    <x v="16"/>
    <s v="PROD43"/>
    <s v="Kathy Copeland"/>
    <n v="42"/>
    <x v="0"/>
    <x v="213"/>
    <s v="Missouri"/>
    <x v="2"/>
    <s v="USB External Hard Drive"/>
    <x v="1"/>
    <x v="3"/>
    <x v="86"/>
    <n v="253.33"/>
    <n v="266"/>
    <s v="Mann-Austin"/>
    <x v="3"/>
    <x v="2"/>
    <n v="641.91689999999994"/>
  </r>
  <r>
    <s v="CUST1218"/>
    <x v="13"/>
    <s v="PROD16"/>
    <s v="Julia Jackson"/>
    <n v="46"/>
    <x v="0"/>
    <x v="214"/>
    <s v="California"/>
    <x v="0"/>
    <s v="Beard Grooming Kit"/>
    <x v="0"/>
    <x v="17"/>
    <x v="30"/>
    <n v="337.42"/>
    <n v="256"/>
    <s v="Johnson-Wright"/>
    <x v="2"/>
    <x v="1"/>
    <n v="354.32639999999998"/>
  </r>
  <r>
    <s v="CUST1219"/>
    <x v="17"/>
    <s v="PROD37"/>
    <s v="Jordan Wells"/>
    <n v="47"/>
    <x v="1"/>
    <x v="215"/>
    <s v="New Jersey"/>
    <x v="3"/>
    <s v="Men's Casual Sneakers"/>
    <x v="4"/>
    <x v="20"/>
    <x v="46"/>
    <n v="353.47"/>
    <n v="214"/>
    <s v="Rivera-Warner"/>
    <x v="3"/>
    <x v="0"/>
    <n v="2599.5947999999999"/>
  </r>
  <r>
    <s v="CUST1220"/>
    <x v="1"/>
    <s v="PROD29"/>
    <s v="George Davis"/>
    <n v="50"/>
    <x v="1"/>
    <x v="216"/>
    <s v="Massachusetts"/>
    <x v="1"/>
    <s v="Fabric Sofa Throw Blanket"/>
    <x v="2"/>
    <x v="7"/>
    <x v="90"/>
    <n v="218.48"/>
    <n v="276"/>
    <s v="Mcdonald Inc"/>
    <x v="1"/>
    <x v="1"/>
    <n v="1127.0219999999999"/>
  </r>
  <r>
    <s v="CUST1221"/>
    <x v="9"/>
    <s v="PROD83"/>
    <s v="Lisa Young"/>
    <n v="38"/>
    <x v="0"/>
    <x v="217"/>
    <s v="Georgia"/>
    <x v="0"/>
    <s v="Hydrating Face Cleanser"/>
    <x v="0"/>
    <x v="0"/>
    <x v="56"/>
    <n v="305.49"/>
    <n v="159"/>
    <s v="Bean, Jones and Park"/>
    <x v="0"/>
    <x v="2"/>
    <n v="1512.924"/>
  </r>
  <r>
    <s v="CUST1222"/>
    <x v="14"/>
    <s v="PROD46"/>
    <s v="Alejandro Doyle"/>
    <n v="35"/>
    <x v="0"/>
    <x v="218"/>
    <s v="New Mexico"/>
    <x v="0"/>
    <s v="Men's Winter Jacket"/>
    <x v="4"/>
    <x v="15"/>
    <x v="31"/>
    <n v="167.34"/>
    <n v="296"/>
    <s v="Benson-Elliott"/>
    <x v="3"/>
    <x v="2"/>
    <n v="1032.3599999999999"/>
  </r>
  <r>
    <s v="CUST1223"/>
    <x v="15"/>
    <s v="PROD72"/>
    <s v="Robert Harris"/>
    <n v="50"/>
    <x v="0"/>
    <x v="219"/>
    <s v="Iowa"/>
    <x v="0"/>
    <s v="Professional Jump Rope"/>
    <x v="3"/>
    <x v="12"/>
    <x v="78"/>
    <n v="477.61"/>
    <n v="300"/>
    <s v="Black-Horn"/>
    <x v="1"/>
    <x v="1"/>
    <n v="1398.2841000000001"/>
  </r>
  <r>
    <s v="CUST1224"/>
    <x v="9"/>
    <s v="PROD39"/>
    <s v="Anthony Morgan"/>
    <n v="29"/>
    <x v="0"/>
    <x v="220"/>
    <s v="Missouri"/>
    <x v="2"/>
    <s v="Portable Power Bank"/>
    <x v="1"/>
    <x v="19"/>
    <x v="40"/>
    <n v="326.06"/>
    <n v="301"/>
    <s v="Bean, Jones and Park"/>
    <x v="0"/>
    <x v="2"/>
    <n v="425.41759999999999"/>
  </r>
  <r>
    <s v="CUST1225"/>
    <x v="18"/>
    <s v="PROD19"/>
    <s v="Elizabeth Stanley"/>
    <n v="46"/>
    <x v="1"/>
    <x v="221"/>
    <s v="Utah"/>
    <x v="0"/>
    <s v="Knee Support Brace"/>
    <x v="3"/>
    <x v="5"/>
    <x v="80"/>
    <n v="21.34"/>
    <n v="65"/>
    <s v="Martinez-Mullins"/>
    <x v="1"/>
    <x v="2"/>
    <n v="553.18960000000004"/>
  </r>
  <r>
    <s v="CUST1226"/>
    <x v="9"/>
    <s v="PROD49"/>
    <s v="Alexis Castaneda"/>
    <n v="54"/>
    <x v="0"/>
    <x v="57"/>
    <s v="Alaska"/>
    <x v="3"/>
    <s v="Men's Roll-On Perfume"/>
    <x v="0"/>
    <x v="22"/>
    <x v="49"/>
    <n v="43.29"/>
    <n v="267"/>
    <s v="Bean, Jones and Park"/>
    <x v="0"/>
    <x v="2"/>
    <n v="1352.076"/>
  </r>
  <r>
    <s v="CUST1227"/>
    <x v="18"/>
    <s v="PROD93"/>
    <s v="Gregory Pham"/>
    <n v="63"/>
    <x v="1"/>
    <x v="222"/>
    <s v="Kansas"/>
    <x v="3"/>
    <s v="USB-C Laptop Charger"/>
    <x v="1"/>
    <x v="3"/>
    <x v="6"/>
    <n v="377.52"/>
    <n v="485"/>
    <s v="Martinez-Mullins"/>
    <x v="1"/>
    <x v="2"/>
    <n v="359.50400000000002"/>
  </r>
  <r>
    <s v="CUST1228"/>
    <x v="9"/>
    <s v="PROD4"/>
    <s v="Casey Flores"/>
    <n v="52"/>
    <x v="1"/>
    <x v="111"/>
    <s v="Utah"/>
    <x v="3"/>
    <s v="Women's Yoga Pants"/>
    <x v="4"/>
    <x v="11"/>
    <x v="91"/>
    <n v="306.45999999999998"/>
    <n v="487"/>
    <s v="Bean, Jones and Park"/>
    <x v="0"/>
    <x v="2"/>
    <n v="524.76480000000004"/>
  </r>
  <r>
    <s v="CUST1229"/>
    <x v="11"/>
    <s v="PROD52"/>
    <s v="Tanner Thompson"/>
    <n v="32"/>
    <x v="1"/>
    <x v="223"/>
    <s v="Maryland"/>
    <x v="1"/>
    <s v="Rugby Ball"/>
    <x v="3"/>
    <x v="8"/>
    <x v="54"/>
    <n v="212.26"/>
    <n v="82"/>
    <s v="Moore, Padilla and Butler"/>
    <x v="1"/>
    <x v="0"/>
    <n v="1182.8481999999999"/>
  </r>
  <r>
    <s v="CUST1230"/>
    <x v="7"/>
    <s v="PROD68"/>
    <s v="Timothy Sanders"/>
    <n v="29"/>
    <x v="0"/>
    <x v="224"/>
    <s v="Florida"/>
    <x v="1"/>
    <s v="Wooden Nightstand"/>
    <x v="2"/>
    <x v="14"/>
    <x v="22"/>
    <n v="243.7"/>
    <n v="130"/>
    <s v="Gardner, Humphrey and Contreras"/>
    <x v="3"/>
    <x v="0"/>
    <n v="237.6524"/>
  </r>
  <r>
    <s v="CUST1231"/>
    <x v="2"/>
    <s v="PROD31"/>
    <s v="Timothy Juarez"/>
    <n v="22"/>
    <x v="1"/>
    <x v="225"/>
    <s v="South Carolina"/>
    <x v="1"/>
    <s v="Basketball"/>
    <x v="3"/>
    <x v="8"/>
    <x v="11"/>
    <n v="204.39"/>
    <n v="281"/>
    <s v="Holloway Ltd"/>
    <x v="2"/>
    <x v="0"/>
    <n v="1239.5606"/>
  </r>
  <r>
    <s v="CUST1232"/>
    <x v="17"/>
    <s v="PROD95"/>
    <s v="Christy Hill"/>
    <n v="27"/>
    <x v="1"/>
    <x v="226"/>
    <s v="New Jersey"/>
    <x v="0"/>
    <s v="Sports Stopwatch Basic"/>
    <x v="3"/>
    <x v="1"/>
    <x v="24"/>
    <n v="60.65"/>
    <n v="75"/>
    <s v="Rivera-Warner"/>
    <x v="3"/>
    <x v="0"/>
    <n v="470.61419999999998"/>
  </r>
  <r>
    <s v="CUST1233"/>
    <x v="17"/>
    <s v="PROD88"/>
    <s v="Michelle Gonzalez"/>
    <n v="59"/>
    <x v="0"/>
    <x v="227"/>
    <s v="West Virginia"/>
    <x v="2"/>
    <s v="Sports Wrist Sweatbands"/>
    <x v="3"/>
    <x v="1"/>
    <x v="47"/>
    <n v="131.24"/>
    <n v="232"/>
    <s v="Rivera-Warner"/>
    <x v="3"/>
    <x v="0"/>
    <n v="1154.6808000000001"/>
  </r>
  <r>
    <s v="CUST1234"/>
    <x v="18"/>
    <s v="PROD98"/>
    <s v="Nathaniel Hill"/>
    <n v="43"/>
    <x v="1"/>
    <x v="228"/>
    <s v="Kansas"/>
    <x v="3"/>
    <s v="Portable Bluetooth Speaker"/>
    <x v="1"/>
    <x v="10"/>
    <x v="66"/>
    <n v="431.67"/>
    <n v="73"/>
    <s v="Martinez-Mullins"/>
    <x v="1"/>
    <x v="2"/>
    <n v="2084.0720000000001"/>
  </r>
  <r>
    <s v="CUST1235"/>
    <x v="18"/>
    <s v="PROD91"/>
    <s v="Jon Ortiz"/>
    <n v="28"/>
    <x v="1"/>
    <x v="229"/>
    <s v="Delaware"/>
    <x v="1"/>
    <s v="Women's High Heels"/>
    <x v="4"/>
    <x v="20"/>
    <x v="74"/>
    <n v="438.25"/>
    <n v="496"/>
    <s v="Martinez-Mullins"/>
    <x v="1"/>
    <x v="2"/>
    <n v="929.02079999999989"/>
  </r>
  <r>
    <s v="CUST1236"/>
    <x v="1"/>
    <s v="PROD16"/>
    <s v="Joshua Wilson"/>
    <n v="42"/>
    <x v="1"/>
    <x v="230"/>
    <s v="Virginia"/>
    <x v="1"/>
    <s v="Beard Grooming Kit"/>
    <x v="0"/>
    <x v="17"/>
    <x v="30"/>
    <n v="337.42"/>
    <n v="256"/>
    <s v="Mcdonald Inc"/>
    <x v="1"/>
    <x v="1"/>
    <n v="2801.768"/>
  </r>
  <r>
    <s v="CUST1237"/>
    <x v="4"/>
    <s v="PROD88"/>
    <s v="Wesley Short"/>
    <n v="41"/>
    <x v="1"/>
    <x v="231"/>
    <s v="Montana"/>
    <x v="3"/>
    <s v="Sports Wrist Sweatbands"/>
    <x v="3"/>
    <x v="1"/>
    <x v="47"/>
    <n v="131.24"/>
    <n v="232"/>
    <s v="Alexander Group"/>
    <x v="1"/>
    <x v="2"/>
    <n v="2552.5367999999999"/>
  </r>
  <r>
    <s v="CUST1238"/>
    <x v="8"/>
    <s v="PROD43"/>
    <s v="Steven Smith"/>
    <n v="40"/>
    <x v="0"/>
    <x v="232"/>
    <s v="West Virginia"/>
    <x v="0"/>
    <s v="USB External Hard Drive"/>
    <x v="1"/>
    <x v="3"/>
    <x v="86"/>
    <n v="253.33"/>
    <n v="266"/>
    <s v="Guerrero-Schmitt"/>
    <x v="3"/>
    <x v="0"/>
    <n v="3745.8047999999999"/>
  </r>
  <r>
    <s v="CUST1239"/>
    <x v="7"/>
    <s v="PROD60"/>
    <s v="Maria Hill"/>
    <n v="58"/>
    <x v="1"/>
    <x v="233"/>
    <s v="Nevada"/>
    <x v="0"/>
    <s v="Luxury Perfume Spray"/>
    <x v="0"/>
    <x v="22"/>
    <x v="51"/>
    <n v="482.75"/>
    <n v="444"/>
    <s v="Gardner, Humphrey and Contreras"/>
    <x v="3"/>
    <x v="0"/>
    <n v="1782.4512"/>
  </r>
  <r>
    <s v="CUST1240"/>
    <x v="8"/>
    <s v="PROD92"/>
    <s v="William Hull"/>
    <n v="59"/>
    <x v="1"/>
    <x v="234"/>
    <s v="Michigan"/>
    <x v="0"/>
    <s v="Microwave Oven"/>
    <x v="2"/>
    <x v="21"/>
    <x v="60"/>
    <n v="447.43"/>
    <n v="191"/>
    <s v="Guerrero-Schmitt"/>
    <x v="3"/>
    <x v="0"/>
    <n v="403.06560000000002"/>
  </r>
  <r>
    <s v="CUST1241"/>
    <x v="5"/>
    <s v="PROD15"/>
    <s v="Mr. William Horton"/>
    <n v="31"/>
    <x v="0"/>
    <x v="235"/>
    <s v="Virginia"/>
    <x v="0"/>
    <s v="4K Home Projector"/>
    <x v="1"/>
    <x v="21"/>
    <x v="48"/>
    <n v="465.34"/>
    <n v="301"/>
    <s v="Shelton PLC"/>
    <x v="2"/>
    <x v="0"/>
    <n v="1492.7882"/>
  </r>
  <r>
    <s v="CUST1242"/>
    <x v="4"/>
    <s v="PROD81"/>
    <s v="William Jackson"/>
    <n v="58"/>
    <x v="1"/>
    <x v="236"/>
    <s v="Connecticut"/>
    <x v="2"/>
    <s v="Badminton Racket Set"/>
    <x v="3"/>
    <x v="5"/>
    <x v="81"/>
    <n v="285.54000000000002"/>
    <n v="358"/>
    <s v="Alexander Group"/>
    <x v="1"/>
    <x v="2"/>
    <n v="3756.8876"/>
  </r>
  <r>
    <s v="CUST1243"/>
    <x v="16"/>
    <s v="PROD69"/>
    <s v="Brian Hammond"/>
    <n v="56"/>
    <x v="1"/>
    <x v="237"/>
    <s v="Texas"/>
    <x v="3"/>
    <s v="Men's Sports Shorts"/>
    <x v="4"/>
    <x v="11"/>
    <x v="77"/>
    <n v="218.22"/>
    <n v="224"/>
    <s v="Mann-Austin"/>
    <x v="3"/>
    <x v="2"/>
    <n v="193.55719999999999"/>
  </r>
  <r>
    <s v="CUST1244"/>
    <x v="12"/>
    <s v="PROD50"/>
    <s v="Nancy Page"/>
    <n v="19"/>
    <x v="0"/>
    <x v="238"/>
    <s v="Utah"/>
    <x v="1"/>
    <s v="Boxing Hand Wraps"/>
    <x v="3"/>
    <x v="12"/>
    <x v="92"/>
    <n v="190.29"/>
    <n v="260"/>
    <s v="Hill, Wagner and Ballard"/>
    <x v="3"/>
    <x v="2"/>
    <n v="792.32599999999991"/>
  </r>
  <r>
    <s v="CUST1245"/>
    <x v="11"/>
    <s v="PROD39"/>
    <s v="Laura Soto"/>
    <n v="57"/>
    <x v="1"/>
    <x v="239"/>
    <s v="Michigan"/>
    <x v="0"/>
    <s v="Portable Power Bank"/>
    <x v="1"/>
    <x v="19"/>
    <x v="40"/>
    <n v="326.06"/>
    <n v="301"/>
    <s v="Moore, Padilla and Butler"/>
    <x v="1"/>
    <x v="0"/>
    <n v="1874.787"/>
  </r>
  <r>
    <s v="CUST1246"/>
    <x v="10"/>
    <s v="PROD72"/>
    <s v="Mary Russell"/>
    <n v="58"/>
    <x v="0"/>
    <x v="240"/>
    <s v="Arkansas"/>
    <x v="1"/>
    <s v="Professional Jump Rope"/>
    <x v="3"/>
    <x v="12"/>
    <x v="78"/>
    <n v="477.61"/>
    <n v="300"/>
    <s v="Martinez, Adkins and Johnson"/>
    <x v="2"/>
    <x v="0"/>
    <n v="2281.8532"/>
  </r>
  <r>
    <s v="CUST1247"/>
    <x v="4"/>
    <s v="PROD10"/>
    <s v="Douglas Rhodes"/>
    <n v="32"/>
    <x v="0"/>
    <x v="241"/>
    <s v="New Hampshire"/>
    <x v="0"/>
    <s v="Ceramic Kitchen Bowl Set"/>
    <x v="2"/>
    <x v="6"/>
    <x v="57"/>
    <n v="298.86"/>
    <n v="308"/>
    <s v="Alexander Group"/>
    <x v="1"/>
    <x v="2"/>
    <n v="629.96500000000003"/>
  </r>
  <r>
    <s v="CUST1248"/>
    <x v="15"/>
    <s v="PROD35"/>
    <s v="Nicholas Webb"/>
    <n v="19"/>
    <x v="0"/>
    <x v="242"/>
    <s v="Nevada"/>
    <x v="3"/>
    <s v="Bedroom Table Lamp"/>
    <x v="2"/>
    <x v="2"/>
    <x v="28"/>
    <n v="382.22"/>
    <n v="329"/>
    <s v="Black-Horn"/>
    <x v="1"/>
    <x v="1"/>
    <n v="589.798"/>
  </r>
  <r>
    <s v="CUST1249"/>
    <x v="12"/>
    <s v="PROD19"/>
    <s v="Lauren George"/>
    <n v="41"/>
    <x v="1"/>
    <x v="243"/>
    <s v="New York"/>
    <x v="3"/>
    <s v="Knee Support Brace"/>
    <x v="3"/>
    <x v="5"/>
    <x v="80"/>
    <n v="21.34"/>
    <n v="65"/>
    <s v="Hill, Wagner and Ballard"/>
    <x v="3"/>
    <x v="2"/>
    <n v="820.89920000000006"/>
  </r>
  <r>
    <s v="CUST1250"/>
    <x v="7"/>
    <s v="PROD55"/>
    <s v="Veronica Newman"/>
    <n v="48"/>
    <x v="0"/>
    <x v="244"/>
    <s v="Delaware"/>
    <x v="0"/>
    <s v="Ceramic Plant Pot"/>
    <x v="2"/>
    <x v="7"/>
    <x v="73"/>
    <n v="81.75"/>
    <n v="331"/>
    <s v="Gardner, Humphrey and Contreras"/>
    <x v="3"/>
    <x v="0"/>
    <n v="148.49160000000001"/>
  </r>
  <r>
    <s v="CUST1251"/>
    <x v="11"/>
    <s v="PROD9"/>
    <s v="Tyler Garner"/>
    <n v="64"/>
    <x v="0"/>
    <x v="245"/>
    <s v="Alabama"/>
    <x v="2"/>
    <s v="Adjustable Dumbbell Set"/>
    <x v="3"/>
    <x v="12"/>
    <x v="93"/>
    <n v="495.72"/>
    <n v="323"/>
    <s v="Moore, Padilla and Butler"/>
    <x v="1"/>
    <x v="0"/>
    <n v="750.20309999999995"/>
  </r>
  <r>
    <s v="CUST1252"/>
    <x v="0"/>
    <s v="PROD13"/>
    <s v="John Mccoy"/>
    <n v="26"/>
    <x v="0"/>
    <x v="246"/>
    <s v="South Dakota"/>
    <x v="2"/>
    <s v="USB-C Fast Charger"/>
    <x v="1"/>
    <x v="1"/>
    <x v="21"/>
    <n v="242.23"/>
    <n v="453"/>
    <s v="Frederick-Wright"/>
    <x v="0"/>
    <x v="0"/>
    <n v="568.61479999999995"/>
  </r>
  <r>
    <s v="CUST1253"/>
    <x v="11"/>
    <s v="PROD71"/>
    <s v="Dr. Ashley Yates Md"/>
    <n v="32"/>
    <x v="0"/>
    <x v="247"/>
    <s v="Wisconsin"/>
    <x v="1"/>
    <s v="Hair Repair Oil Treatment"/>
    <x v="0"/>
    <x v="18"/>
    <x v="94"/>
    <n v="214.32"/>
    <n v="383"/>
    <s v="Moore, Padilla and Butler"/>
    <x v="1"/>
    <x v="0"/>
    <n v="272.79750000000001"/>
  </r>
  <r>
    <s v="CUST1254"/>
    <x v="18"/>
    <s v="PROD23"/>
    <s v="Linda Kline"/>
    <n v="34"/>
    <x v="0"/>
    <x v="248"/>
    <s v="Alaska"/>
    <x v="2"/>
    <s v="Men's Formal Shirt"/>
    <x v="4"/>
    <x v="16"/>
    <x v="41"/>
    <n v="282.99"/>
    <n v="360"/>
    <s v="Martinez-Mullins"/>
    <x v="1"/>
    <x v="2"/>
    <n v="1022.2128"/>
  </r>
  <r>
    <s v="CUST1255"/>
    <x v="12"/>
    <s v="PROD53"/>
    <s v="Damon Perez"/>
    <n v="21"/>
    <x v="0"/>
    <x v="249"/>
    <s v="Ohio"/>
    <x v="3"/>
    <s v="Men's Track Pants"/>
    <x v="4"/>
    <x v="11"/>
    <x v="95"/>
    <n v="386.56"/>
    <n v="125"/>
    <s v="Hill, Wagner and Ballard"/>
    <x v="3"/>
    <x v="2"/>
    <n v="1440.18"/>
  </r>
  <r>
    <s v="CUST1256"/>
    <x v="14"/>
    <s v="PROD34"/>
    <s v="Kristen Fischer"/>
    <n v="57"/>
    <x v="0"/>
    <x v="250"/>
    <s v="Arkansas"/>
    <x v="0"/>
    <s v="Gaming Mechanical Keyboard"/>
    <x v="1"/>
    <x v="3"/>
    <x v="59"/>
    <n v="419.28"/>
    <n v="86"/>
    <s v="Benson-Elliott"/>
    <x v="3"/>
    <x v="2"/>
    <n v="109.5624"/>
  </r>
  <r>
    <s v="CUST1257"/>
    <x v="18"/>
    <s v="PROD85"/>
    <s v="Christopher David"/>
    <n v="42"/>
    <x v="0"/>
    <x v="251"/>
    <s v="Massachusetts"/>
    <x v="2"/>
    <s v="Women's Beanie Hat"/>
    <x v="4"/>
    <x v="1"/>
    <x v="89"/>
    <n v="119.57"/>
    <n v="210"/>
    <s v="Martinez-Mullins"/>
    <x v="1"/>
    <x v="2"/>
    <n v="3239.3580000000002"/>
  </r>
  <r>
    <s v="CUST1258"/>
    <x v="1"/>
    <s v="PROD88"/>
    <s v="Sarah Stewart"/>
    <n v="24"/>
    <x v="1"/>
    <x v="252"/>
    <s v="Texas"/>
    <x v="0"/>
    <s v="Sports Wrist Sweatbands"/>
    <x v="3"/>
    <x v="1"/>
    <x v="47"/>
    <n v="131.24"/>
    <n v="232"/>
    <s v="Mcdonald Inc"/>
    <x v="1"/>
    <x v="1"/>
    <n v="1657.5455999999999"/>
  </r>
  <r>
    <s v="CUST1259"/>
    <x v="8"/>
    <s v="PROD13"/>
    <s v="Beth Allen"/>
    <n v="32"/>
    <x v="1"/>
    <x v="253"/>
    <s v="Oklahoma"/>
    <x v="2"/>
    <s v="USB-C Fast Charger"/>
    <x v="1"/>
    <x v="1"/>
    <x v="21"/>
    <n v="242.23"/>
    <n v="453"/>
    <s v="Guerrero-Schmitt"/>
    <x v="3"/>
    <x v="0"/>
    <n v="897.05280000000005"/>
  </r>
  <r>
    <s v="CUST1260"/>
    <x v="7"/>
    <s v="PROD84"/>
    <s v="Russell Lamb"/>
    <n v="63"/>
    <x v="1"/>
    <x v="254"/>
    <s v="Arizona"/>
    <x v="0"/>
    <s v="Wooden Bookshelf"/>
    <x v="2"/>
    <x v="14"/>
    <x v="53"/>
    <n v="388.46"/>
    <n v="208"/>
    <s v="Gardner, Humphrey and Contreras"/>
    <x v="3"/>
    <x v="0"/>
    <n v="442.79050000000001"/>
  </r>
  <r>
    <s v="CUST1261"/>
    <x v="15"/>
    <s v="PROD42"/>
    <s v="Carol Bishop"/>
    <n v="27"/>
    <x v="1"/>
    <x v="255"/>
    <s v="Oregon"/>
    <x v="2"/>
    <s v="Smart Home WiFi Camera"/>
    <x v="1"/>
    <x v="1"/>
    <x v="88"/>
    <n v="450.71"/>
    <n v="389"/>
    <s v="Black-Horn"/>
    <x v="1"/>
    <x v="1"/>
    <n v="70.470799999999997"/>
  </r>
  <r>
    <s v="CUST1262"/>
    <x v="7"/>
    <s v="PROD11"/>
    <s v="Katherine Cowan"/>
    <n v="60"/>
    <x v="1"/>
    <x v="256"/>
    <s v="Montana"/>
    <x v="2"/>
    <s v="HD Smart TV Stick"/>
    <x v="1"/>
    <x v="1"/>
    <x v="79"/>
    <n v="449.4"/>
    <n v="338"/>
    <s v="Gardner, Humphrey and Contreras"/>
    <x v="3"/>
    <x v="0"/>
    <n v="1568.5425"/>
  </r>
  <r>
    <s v="CUST1263"/>
    <x v="18"/>
    <s v="PROD65"/>
    <s v="Crystal Davis"/>
    <n v="50"/>
    <x v="0"/>
    <x v="257"/>
    <s v="Louisiana"/>
    <x v="1"/>
    <s v="Adjustable Dumbbells 20kg"/>
    <x v="3"/>
    <x v="12"/>
    <x v="63"/>
    <n v="240.63"/>
    <n v="423"/>
    <s v="Martinez-Mullins"/>
    <x v="1"/>
    <x v="2"/>
    <n v="154.74359999999999"/>
  </r>
  <r>
    <s v="CUST1264"/>
    <x v="12"/>
    <s v="PROD22"/>
    <s v="Matthew Payne"/>
    <n v="25"/>
    <x v="0"/>
    <x v="258"/>
    <s v="Wyoming"/>
    <x v="3"/>
    <s v="Carbon Fiber Tennis Racket"/>
    <x v="3"/>
    <x v="5"/>
    <x v="39"/>
    <n v="484.62"/>
    <n v="432"/>
    <s v="Hill, Wagner and Ballard"/>
    <x v="3"/>
    <x v="2"/>
    <n v="1245.3119999999999"/>
  </r>
  <r>
    <s v="CUST1265"/>
    <x v="10"/>
    <s v="PROD87"/>
    <s v="Tracy Kelly"/>
    <n v="38"/>
    <x v="0"/>
    <x v="259"/>
    <s v="Tennessee"/>
    <x v="2"/>
    <s v="LED Bedside Lamp"/>
    <x v="2"/>
    <x v="2"/>
    <x v="85"/>
    <n v="371.38"/>
    <n v="220"/>
    <s v="Martinez, Adkins and Johnson"/>
    <x v="2"/>
    <x v="0"/>
    <n v="437.76"/>
  </r>
  <r>
    <s v="CUST1266"/>
    <x v="16"/>
    <s v="PROD15"/>
    <s v="Cynthia Payne"/>
    <n v="32"/>
    <x v="1"/>
    <x v="260"/>
    <s v="Kentucky"/>
    <x v="1"/>
    <s v="4K Home Projector"/>
    <x v="1"/>
    <x v="21"/>
    <x v="48"/>
    <n v="465.34"/>
    <n v="301"/>
    <s v="Mann-Austin"/>
    <x v="3"/>
    <x v="2"/>
    <n v="286.22519999999997"/>
  </r>
  <r>
    <s v="CUST1268"/>
    <x v="9"/>
    <s v="PROD58"/>
    <s v="Kevin Orr"/>
    <n v="53"/>
    <x v="1"/>
    <x v="261"/>
    <s v="Minnesota"/>
    <x v="1"/>
    <s v="Womens Cotton Scarf"/>
    <x v="4"/>
    <x v="1"/>
    <x v="96"/>
    <n v="113.83"/>
    <n v="485"/>
    <s v="Bean, Jones and Park"/>
    <x v="0"/>
    <x v="2"/>
    <n v="867.5"/>
  </r>
  <r>
    <s v="CUST1269"/>
    <x v="15"/>
    <s v="PROD77"/>
    <s v="Tyrone Olson"/>
    <n v="45"/>
    <x v="1"/>
    <x v="262"/>
    <s v="California"/>
    <x v="2"/>
    <s v="WiFi Mesh Router"/>
    <x v="1"/>
    <x v="21"/>
    <x v="84"/>
    <n v="480.9"/>
    <n v="104"/>
    <s v="Black-Horn"/>
    <x v="1"/>
    <x v="1"/>
    <n v="2670.74"/>
  </r>
  <r>
    <s v="CUST1270"/>
    <x v="5"/>
    <s v="PROD19"/>
    <s v="Brian Garcia"/>
    <n v="31"/>
    <x v="1"/>
    <x v="263"/>
    <s v="Louisiana"/>
    <x v="3"/>
    <s v="Knee Support Brace"/>
    <x v="3"/>
    <x v="5"/>
    <x v="80"/>
    <n v="21.34"/>
    <n v="65"/>
    <s v="Shelton PLC"/>
    <x v="2"/>
    <x v="0"/>
    <n v="1548.1769999999999"/>
  </r>
  <r>
    <s v="CUST1271"/>
    <x v="19"/>
    <s v="PROD74"/>
    <s v="Daisy Johnson Dds"/>
    <n v="64"/>
    <x v="0"/>
    <x v="264"/>
    <s v="Nebraska"/>
    <x v="0"/>
    <s v="Bluetooth Car Audio System"/>
    <x v="1"/>
    <x v="10"/>
    <x v="37"/>
    <n v="403.71"/>
    <n v="159"/>
    <s v="Gray Ltd"/>
    <x v="2"/>
    <x v="1"/>
    <n v="366.95339999999999"/>
  </r>
  <r>
    <s v="CUST1272"/>
    <x v="14"/>
    <s v="PROD81"/>
    <s v="Adam Rowland"/>
    <n v="48"/>
    <x v="1"/>
    <x v="265"/>
    <s v="California"/>
    <x v="3"/>
    <s v="Badminton Racket Set"/>
    <x v="3"/>
    <x v="5"/>
    <x v="81"/>
    <n v="285.54000000000002"/>
    <n v="358"/>
    <s v="Benson-Elliott"/>
    <x v="3"/>
    <x v="2"/>
    <n v="1087.6733999999999"/>
  </r>
  <r>
    <s v="CUST1273"/>
    <x v="9"/>
    <s v="PROD20"/>
    <s v="Samantha Robinson"/>
    <n v="23"/>
    <x v="0"/>
    <x v="266"/>
    <s v="Mississippi"/>
    <x v="1"/>
    <s v="Outdoor Sports Water Bottle"/>
    <x v="3"/>
    <x v="1"/>
    <x v="82"/>
    <n v="131.51"/>
    <n v="199"/>
    <s v="Bean, Jones and Park"/>
    <x v="0"/>
    <x v="2"/>
    <n v="166.482"/>
  </r>
  <r>
    <s v="CUST1274"/>
    <x v="18"/>
    <s v="PROD47"/>
    <s v="Sarah Lane"/>
    <n v="38"/>
    <x v="0"/>
    <x v="267"/>
    <s v="Vermont"/>
    <x v="2"/>
    <s v="Makeup Brush Set"/>
    <x v="0"/>
    <x v="4"/>
    <x v="4"/>
    <n v="241.07"/>
    <n v="431"/>
    <s v="Martinez-Mullins"/>
    <x v="1"/>
    <x v="2"/>
    <n v="217.77209999999999"/>
  </r>
  <r>
    <s v="CUST1275"/>
    <x v="3"/>
    <s v="PROD69"/>
    <s v="Shannon Miller"/>
    <n v="22"/>
    <x v="0"/>
    <x v="268"/>
    <s v="Kentucky"/>
    <x v="3"/>
    <s v="Men's Sports Shorts"/>
    <x v="4"/>
    <x v="11"/>
    <x v="77"/>
    <n v="218.22"/>
    <n v="224"/>
    <s v="Thomas, Bridges and Harris"/>
    <x v="2"/>
    <x v="2"/>
    <n v="1519.6104"/>
  </r>
  <r>
    <s v="CUST1276"/>
    <x v="16"/>
    <s v="PROD65"/>
    <s v="Arthur Warren"/>
    <n v="38"/>
    <x v="0"/>
    <x v="269"/>
    <s v="Nevada"/>
    <x v="3"/>
    <s v="Adjustable Dumbbells 20kg"/>
    <x v="3"/>
    <x v="12"/>
    <x v="63"/>
    <n v="240.63"/>
    <n v="423"/>
    <s v="Mann-Austin"/>
    <x v="3"/>
    <x v="2"/>
    <n v="677.97"/>
  </r>
  <r>
    <s v="CUST1277"/>
    <x v="14"/>
    <s v="PROD93"/>
    <s v="Jeffrey Gomez"/>
    <n v="22"/>
    <x v="1"/>
    <x v="270"/>
    <s v="Colorado"/>
    <x v="0"/>
    <s v="USB-C Laptop Charger"/>
    <x v="1"/>
    <x v="3"/>
    <x v="6"/>
    <n v="377.52"/>
    <n v="485"/>
    <s v="Benson-Elliott"/>
    <x v="3"/>
    <x v="2"/>
    <n v="2762.1428999999998"/>
  </r>
  <r>
    <s v="CUST1278"/>
    <x v="15"/>
    <s v="PROD88"/>
    <s v="Stephen Fowler"/>
    <n v="42"/>
    <x v="1"/>
    <x v="271"/>
    <s v="Rhode Island"/>
    <x v="0"/>
    <s v="Sports Wrist Sweatbands"/>
    <x v="3"/>
    <x v="1"/>
    <x v="47"/>
    <n v="131.24"/>
    <n v="232"/>
    <s v="Black-Horn"/>
    <x v="1"/>
    <x v="1"/>
    <n v="1824.2927999999999"/>
  </r>
  <r>
    <s v="CUST1279"/>
    <x v="9"/>
    <s v="PROD13"/>
    <s v="Aaron Luna"/>
    <n v="21"/>
    <x v="1"/>
    <x v="272"/>
    <s v="Ohio"/>
    <x v="1"/>
    <s v="USB-C Fast Charger"/>
    <x v="1"/>
    <x v="1"/>
    <x v="21"/>
    <n v="242.23"/>
    <n v="453"/>
    <s v="Bean, Jones and Park"/>
    <x v="0"/>
    <x v="2"/>
    <n v="139.29"/>
  </r>
  <r>
    <s v="CUST1280"/>
    <x v="7"/>
    <s v="PROD91"/>
    <s v="Antonio Leon"/>
    <n v="48"/>
    <x v="0"/>
    <x v="273"/>
    <s v="Hawaii"/>
    <x v="1"/>
    <s v="Women's High Heels"/>
    <x v="4"/>
    <x v="20"/>
    <x v="74"/>
    <n v="438.25"/>
    <n v="496"/>
    <s v="Gardner, Humphrey and Contreras"/>
    <x v="3"/>
    <x v="0"/>
    <n v="2593.9104000000002"/>
  </r>
  <r>
    <s v="CUST1281"/>
    <x v="14"/>
    <s v="PROD55"/>
    <s v="Brittany Watson"/>
    <n v="59"/>
    <x v="0"/>
    <x v="274"/>
    <s v="Connecticut"/>
    <x v="0"/>
    <s v="Ceramic Plant Pot"/>
    <x v="2"/>
    <x v="7"/>
    <x v="73"/>
    <n v="81.75"/>
    <n v="331"/>
    <s v="Benson-Elliott"/>
    <x v="3"/>
    <x v="2"/>
    <n v="1402.7832000000001"/>
  </r>
  <r>
    <s v="CUST1282"/>
    <x v="11"/>
    <s v="PROD91"/>
    <s v="Kristi Lopez"/>
    <n v="46"/>
    <x v="1"/>
    <x v="275"/>
    <s v="New Jersey"/>
    <x v="3"/>
    <s v="Women's High Heels"/>
    <x v="4"/>
    <x v="20"/>
    <x v="74"/>
    <n v="438.25"/>
    <n v="496"/>
    <s v="Moore, Padilla and Butler"/>
    <x v="1"/>
    <x v="0"/>
    <n v="1481.0512000000001"/>
  </r>
  <r>
    <s v="CUST1283"/>
    <x v="4"/>
    <s v="PROD70"/>
    <s v="Bryan Garcia"/>
    <n v="54"/>
    <x v="1"/>
    <x v="276"/>
    <s v="Wyoming"/>
    <x v="2"/>
    <s v="Kitchen Storage Rack"/>
    <x v="2"/>
    <x v="13"/>
    <x v="20"/>
    <n v="138.05000000000001"/>
    <n v="89"/>
    <s v="Alexander Group"/>
    <x v="1"/>
    <x v="2"/>
    <n v="1509.2352000000001"/>
  </r>
  <r>
    <s v="CUST1284"/>
    <x v="6"/>
    <s v="PROD18"/>
    <s v="Hunter Sutton"/>
    <n v="54"/>
    <x v="0"/>
    <x v="277"/>
    <s v="Connecticut"/>
    <x v="3"/>
    <s v="Women's Denim Jeans"/>
    <x v="4"/>
    <x v="11"/>
    <x v="15"/>
    <n v="303.75"/>
    <n v="343"/>
    <s v="Aguirre-Keller"/>
    <x v="1"/>
    <x v="2"/>
    <n v="964.77480000000003"/>
  </r>
  <r>
    <s v="CUST1285"/>
    <x v="15"/>
    <s v="PROD6"/>
    <s v="Donna Guerra"/>
    <n v="46"/>
    <x v="1"/>
    <x v="278"/>
    <s v="Massachusetts"/>
    <x v="2"/>
    <s v="Herbal Face Moisturizer"/>
    <x v="0"/>
    <x v="0"/>
    <x v="97"/>
    <n v="312.8"/>
    <n v="350"/>
    <s v="Black-Horn"/>
    <x v="1"/>
    <x v="1"/>
    <n v="958.57439999999997"/>
  </r>
  <r>
    <s v="CUST1286"/>
    <x v="17"/>
    <s v="PROD82"/>
    <s v="Tommy Roberts"/>
    <n v="22"/>
    <x v="0"/>
    <x v="279"/>
    <s v="South Dakota"/>
    <x v="2"/>
    <s v="Fitness Resistance Bands"/>
    <x v="3"/>
    <x v="12"/>
    <x v="98"/>
    <n v="152.91999999999999"/>
    <n v="281"/>
    <s v="Rivera-Warner"/>
    <x v="3"/>
    <x v="0"/>
    <n v="3178.2564000000002"/>
  </r>
  <r>
    <s v="CUST1287"/>
    <x v="13"/>
    <s v="PROD3"/>
    <s v="Cynthia Roberts"/>
    <n v="22"/>
    <x v="1"/>
    <x v="280"/>
    <s v="Vermont"/>
    <x v="3"/>
    <s v="Men's Running Jacket"/>
    <x v="4"/>
    <x v="15"/>
    <x v="23"/>
    <n v="364.67"/>
    <n v="452"/>
    <s v="Johnson-Wright"/>
    <x v="2"/>
    <x v="1"/>
    <n v="1669.3068000000001"/>
  </r>
  <r>
    <s v="CUST1288"/>
    <x v="11"/>
    <s v="PROD3"/>
    <s v="Misty Ferguson"/>
    <n v="58"/>
    <x v="0"/>
    <x v="281"/>
    <s v="Connecticut"/>
    <x v="3"/>
    <s v="Men's Running Jacket"/>
    <x v="4"/>
    <x v="15"/>
    <x v="23"/>
    <n v="364.67"/>
    <n v="452"/>
    <s v="Moore, Padilla and Butler"/>
    <x v="1"/>
    <x v="0"/>
    <n v="2548.5264000000002"/>
  </r>
  <r>
    <s v="CUST1289"/>
    <x v="18"/>
    <s v="PROD43"/>
    <s v="Jennifer Figueroa"/>
    <n v="45"/>
    <x v="0"/>
    <x v="282"/>
    <s v="Ohio"/>
    <x v="1"/>
    <s v="USB External Hard Drive"/>
    <x v="1"/>
    <x v="3"/>
    <x v="86"/>
    <n v="253.33"/>
    <n v="266"/>
    <s v="Martinez-Mullins"/>
    <x v="1"/>
    <x v="2"/>
    <n v="922.9692"/>
  </r>
  <r>
    <s v="CUST1291"/>
    <x v="18"/>
    <s v="PROD93"/>
    <s v="James Powell"/>
    <n v="40"/>
    <x v="1"/>
    <x v="283"/>
    <s v="Missouri"/>
    <x v="1"/>
    <s v="USB-C Laptop Charger"/>
    <x v="1"/>
    <x v="3"/>
    <x v="6"/>
    <n v="377.52"/>
    <n v="485"/>
    <s v="Martinez-Mullins"/>
    <x v="1"/>
    <x v="2"/>
    <n v="1523.124"/>
  </r>
  <r>
    <s v="CUST1292"/>
    <x v="13"/>
    <s v="PROD99"/>
    <s v="Ricardo Jones"/>
    <n v="30"/>
    <x v="0"/>
    <x v="284"/>
    <s v="Minnesota"/>
    <x v="2"/>
    <s v="Stainless Steel Cookware Set"/>
    <x v="2"/>
    <x v="6"/>
    <x v="44"/>
    <n v="201.41"/>
    <n v="146"/>
    <s v="Johnson-Wright"/>
    <x v="2"/>
    <x v="1"/>
    <n v="1759.9428"/>
  </r>
  <r>
    <s v="CUST1293"/>
    <x v="18"/>
    <s v="PROD20"/>
    <s v="Gloria Taylor"/>
    <n v="56"/>
    <x v="1"/>
    <x v="285"/>
    <s v="Louisiana"/>
    <x v="0"/>
    <s v="Outdoor Sports Water Bottle"/>
    <x v="3"/>
    <x v="1"/>
    <x v="82"/>
    <n v="131.51"/>
    <n v="199"/>
    <s v="Martinez-Mullins"/>
    <x v="1"/>
    <x v="2"/>
    <n v="2873.864"/>
  </r>
  <r>
    <s v="CUST1294"/>
    <x v="16"/>
    <s v="PROD82"/>
    <s v="Lisa Chandler"/>
    <n v="29"/>
    <x v="0"/>
    <x v="170"/>
    <s v="Montana"/>
    <x v="0"/>
    <s v="Fitness Resistance Bands"/>
    <x v="3"/>
    <x v="12"/>
    <x v="98"/>
    <n v="152.91999999999999"/>
    <n v="281"/>
    <s v="Mann-Austin"/>
    <x v="3"/>
    <x v="2"/>
    <n v="562.32820000000004"/>
  </r>
  <r>
    <s v="CUST1295"/>
    <x v="9"/>
    <s v="PROD69"/>
    <s v="Crystal Waters"/>
    <n v="19"/>
    <x v="1"/>
    <x v="286"/>
    <s v="Kansas"/>
    <x v="1"/>
    <s v="Men's Sports Shorts"/>
    <x v="4"/>
    <x v="11"/>
    <x v="77"/>
    <n v="218.22"/>
    <n v="224"/>
    <s v="Bean, Jones and Park"/>
    <x v="0"/>
    <x v="2"/>
    <n v="2343.4616000000001"/>
  </r>
  <r>
    <s v="CUST1296"/>
    <x v="12"/>
    <s v="PROD14"/>
    <s v="Jared Moran"/>
    <n v="28"/>
    <x v="1"/>
    <x v="80"/>
    <s v="West Virginia"/>
    <x v="1"/>
    <s v="Decorative Wall Mirror"/>
    <x v="2"/>
    <x v="7"/>
    <x v="99"/>
    <n v="48.01"/>
    <n v="439"/>
    <s v="Hill, Wagner and Ballard"/>
    <x v="3"/>
    <x v="2"/>
    <n v="723.25439999999992"/>
  </r>
  <r>
    <s v="CUST1297"/>
    <x v="15"/>
    <s v="PROD69"/>
    <s v="Jennifer Carr"/>
    <n v="47"/>
    <x v="1"/>
    <x v="287"/>
    <s v="Missouri"/>
    <x v="2"/>
    <s v="Men's Sports Shorts"/>
    <x v="4"/>
    <x v="11"/>
    <x v="77"/>
    <n v="218.22"/>
    <n v="224"/>
    <s v="Black-Horn"/>
    <x v="1"/>
    <x v="1"/>
    <n v="547.17700000000002"/>
  </r>
  <r>
    <s v="CUST1298"/>
    <x v="16"/>
    <s v="PROD97"/>
    <s v="Tracy Stephens"/>
    <n v="64"/>
    <x v="0"/>
    <x v="288"/>
    <s v="Maine"/>
    <x v="0"/>
    <s v="Cricket Bat"/>
    <x v="3"/>
    <x v="8"/>
    <x v="33"/>
    <n v="245.98"/>
    <n v="471"/>
    <s v="Mann-Austin"/>
    <x v="3"/>
    <x v="2"/>
    <n v="1138.72"/>
  </r>
  <r>
    <s v="CUST1299"/>
    <x v="2"/>
    <s v="PROD23"/>
    <s v="Stephanie Jacobs"/>
    <n v="48"/>
    <x v="1"/>
    <x v="289"/>
    <s v="Louisiana"/>
    <x v="0"/>
    <s v="Men's Formal Shirt"/>
    <x v="4"/>
    <x v="16"/>
    <x v="41"/>
    <n v="282.99"/>
    <n v="360"/>
    <s v="Holloway Ltd"/>
    <x v="2"/>
    <x v="0"/>
    <n v="896.04000000000019"/>
  </r>
  <r>
    <s v="CUST1300"/>
    <x v="1"/>
    <s v="PROD36"/>
    <s v="Matthew Avery"/>
    <n v="29"/>
    <x v="0"/>
    <x v="290"/>
    <s v="Oregon"/>
    <x v="2"/>
    <s v="Women's Summer Dress"/>
    <x v="4"/>
    <x v="16"/>
    <x v="75"/>
    <n v="223.43"/>
    <n v="154"/>
    <s v="Mcdonald Inc"/>
    <x v="1"/>
    <x v="1"/>
    <n v="612.59760000000006"/>
  </r>
  <r>
    <s v="CUST1301"/>
    <x v="2"/>
    <s v="PROD84"/>
    <s v="Ryan Kane"/>
    <n v="50"/>
    <x v="0"/>
    <x v="291"/>
    <s v="Virginia"/>
    <x v="3"/>
    <s v="Wooden Bookshelf"/>
    <x v="2"/>
    <x v="14"/>
    <x v="53"/>
    <n v="388.46"/>
    <n v="208"/>
    <s v="Holloway Ltd"/>
    <x v="2"/>
    <x v="0"/>
    <n v="1742.0255999999999"/>
  </r>
  <r>
    <s v="CUST1302"/>
    <x v="9"/>
    <s v="PROD23"/>
    <s v="Edward Cole"/>
    <n v="36"/>
    <x v="0"/>
    <x v="292"/>
    <s v="Arizona"/>
    <x v="3"/>
    <s v="Men's Formal Shirt"/>
    <x v="4"/>
    <x v="16"/>
    <x v="41"/>
    <n v="282.99"/>
    <n v="360"/>
    <s v="Bean, Jones and Park"/>
    <x v="0"/>
    <x v="2"/>
    <n v="945.21720000000016"/>
  </r>
  <r>
    <s v="CUST1303"/>
    <x v="13"/>
    <s v="PROD20"/>
    <s v="John Sloan"/>
    <n v="23"/>
    <x v="1"/>
    <x v="293"/>
    <s v="Delaware"/>
    <x v="0"/>
    <s v="Outdoor Sports Water Bottle"/>
    <x v="3"/>
    <x v="1"/>
    <x v="82"/>
    <n v="131.51"/>
    <n v="199"/>
    <s v="Johnson-Wright"/>
    <x v="2"/>
    <x v="1"/>
    <n v="1943.0927999999999"/>
  </r>
  <r>
    <s v="CUST1304"/>
    <x v="15"/>
    <s v="PROD50"/>
    <s v="Miss Alexandria Li Dvm"/>
    <n v="41"/>
    <x v="0"/>
    <x v="294"/>
    <s v="Kansas"/>
    <x v="2"/>
    <s v="Boxing Hand Wraps"/>
    <x v="3"/>
    <x v="12"/>
    <x v="92"/>
    <n v="190.29"/>
    <n v="260"/>
    <s v="Black-Horn"/>
    <x v="1"/>
    <x v="1"/>
    <n v="72.025200000000012"/>
  </r>
  <r>
    <s v="CUST1305"/>
    <x v="10"/>
    <s v="PROD28"/>
    <s v="Roberta Green"/>
    <n v="64"/>
    <x v="0"/>
    <x v="295"/>
    <s v="Washington"/>
    <x v="0"/>
    <s v="Sports Stopwatch Timer"/>
    <x v="3"/>
    <x v="1"/>
    <x v="32"/>
    <n v="38.76"/>
    <n v="137"/>
    <s v="Martinez, Adkins and Johnson"/>
    <x v="2"/>
    <x v="0"/>
    <n v="154.93799999999999"/>
  </r>
  <r>
    <s v="CUST1306"/>
    <x v="12"/>
    <s v="PROD5"/>
    <s v="Angela Robinson"/>
    <n v="44"/>
    <x v="0"/>
    <x v="296"/>
    <s v="Tennessee"/>
    <x v="0"/>
    <s v="Men's Leather Belt"/>
    <x v="4"/>
    <x v="1"/>
    <x v="26"/>
    <n v="261"/>
    <n v="59"/>
    <s v="Hill, Wagner and Ballard"/>
    <x v="3"/>
    <x v="2"/>
    <n v="835.95240000000001"/>
  </r>
  <r>
    <s v="CUST1307"/>
    <x v="3"/>
    <s v="PROD93"/>
    <s v="Brandy Thompson"/>
    <n v="56"/>
    <x v="1"/>
    <x v="297"/>
    <s v="Alabama"/>
    <x v="1"/>
    <s v="USB-C Laptop Charger"/>
    <x v="1"/>
    <x v="3"/>
    <x v="6"/>
    <n v="377.52"/>
    <n v="485"/>
    <s v="Thomas, Bridges and Harris"/>
    <x v="2"/>
    <x v="2"/>
    <n v="3077.5992000000001"/>
  </r>
  <r>
    <s v="CUST1308"/>
    <x v="3"/>
    <s v="PROD14"/>
    <s v="Jennifer Zamora"/>
    <n v="60"/>
    <x v="1"/>
    <x v="298"/>
    <s v="Iowa"/>
    <x v="3"/>
    <s v="Decorative Wall Mirror"/>
    <x v="2"/>
    <x v="7"/>
    <x v="99"/>
    <n v="48.01"/>
    <n v="439"/>
    <s v="Thomas, Bridges and Harris"/>
    <x v="2"/>
    <x v="2"/>
    <n v="637.05600000000004"/>
  </r>
  <r>
    <s v="CUST1309"/>
    <x v="19"/>
    <s v="PROD61"/>
    <s v="Stacy Collins"/>
    <n v="41"/>
    <x v="1"/>
    <x v="299"/>
    <s v="California"/>
    <x v="1"/>
    <s v="Tennis Ball 3-Pack"/>
    <x v="3"/>
    <x v="5"/>
    <x v="5"/>
    <n v="103.45"/>
    <n v="465"/>
    <s v="Gray Ltd"/>
    <x v="2"/>
    <x v="1"/>
    <n v="1206.6407999999999"/>
  </r>
  <r>
    <s v="CUST1310"/>
    <x v="9"/>
    <s v="PROD17"/>
    <s v="Kara Dodson"/>
    <n v="20"/>
    <x v="0"/>
    <x v="300"/>
    <s v="Vermont"/>
    <x v="2"/>
    <s v="Soccer Training Cone Set"/>
    <x v="3"/>
    <x v="1"/>
    <x v="38"/>
    <n v="144.53"/>
    <n v="367"/>
    <s v="Bean, Jones and Park"/>
    <x v="0"/>
    <x v="2"/>
    <n v="698.76"/>
  </r>
  <r>
    <s v="CUST1311"/>
    <x v="3"/>
    <s v="PROD78"/>
    <s v="Kevin Larson"/>
    <n v="35"/>
    <x v="0"/>
    <x v="301"/>
    <s v="Oregon"/>
    <x v="0"/>
    <s v="Essential Oil Diffuser"/>
    <x v="2"/>
    <x v="7"/>
    <x v="9"/>
    <n v="325.26"/>
    <n v="400"/>
    <s v="Thomas, Bridges and Harris"/>
    <x v="2"/>
    <x v="2"/>
    <n v="962.47320000000002"/>
  </r>
  <r>
    <s v="CUST1312"/>
    <x v="9"/>
    <s v="PROD74"/>
    <s v="Jason Mullins"/>
    <n v="47"/>
    <x v="1"/>
    <x v="302"/>
    <s v="Delaware"/>
    <x v="2"/>
    <s v="Bluetooth Car Audio System"/>
    <x v="1"/>
    <x v="10"/>
    <x v="37"/>
    <n v="403.71"/>
    <n v="159"/>
    <s v="Bean, Jones and Park"/>
    <x v="0"/>
    <x v="2"/>
    <n v="811.07159999999999"/>
  </r>
  <r>
    <s v="CUST1313"/>
    <x v="18"/>
    <s v="PROD84"/>
    <s v="Elizabeth Jones"/>
    <n v="62"/>
    <x v="0"/>
    <x v="303"/>
    <s v="Maryland"/>
    <x v="0"/>
    <s v="Wooden Bookshelf"/>
    <x v="2"/>
    <x v="14"/>
    <x v="53"/>
    <n v="388.46"/>
    <n v="208"/>
    <s v="Martinez-Mullins"/>
    <x v="1"/>
    <x v="2"/>
    <n v="1370.5232000000001"/>
  </r>
  <r>
    <s v="CUST1314"/>
    <x v="16"/>
    <s v="PROD11"/>
    <s v="Elizabeth Johnson"/>
    <n v="53"/>
    <x v="1"/>
    <x v="304"/>
    <s v="Washington"/>
    <x v="2"/>
    <s v="HD Smart TV Stick"/>
    <x v="1"/>
    <x v="1"/>
    <x v="79"/>
    <n v="449.4"/>
    <n v="338"/>
    <s v="Mann-Austin"/>
    <x v="3"/>
    <x v="2"/>
    <n v="1491.7896000000001"/>
  </r>
  <r>
    <s v="CUST1315"/>
    <x v="0"/>
    <s v="PROD1"/>
    <s v="William Rodriguez"/>
    <n v="49"/>
    <x v="0"/>
    <x v="305"/>
    <s v="Massachusetts"/>
    <x v="2"/>
    <s v="Men's Graphic T-Shirt"/>
    <x v="4"/>
    <x v="16"/>
    <x v="25"/>
    <n v="342.56"/>
    <n v="181"/>
    <s v="Frederick-Wright"/>
    <x v="0"/>
    <x v="0"/>
    <n v="548.27499999999998"/>
  </r>
  <r>
    <s v="CUST1316"/>
    <x v="18"/>
    <s v="PROD25"/>
    <s v="Robert House"/>
    <n v="34"/>
    <x v="0"/>
    <x v="306"/>
    <s v="Maryland"/>
    <x v="3"/>
    <s v="Women's Scarf Set"/>
    <x v="4"/>
    <x v="1"/>
    <x v="67"/>
    <n v="174.02"/>
    <n v="268"/>
    <s v="Martinez-Mullins"/>
    <x v="1"/>
    <x v="2"/>
    <n v="937.4896"/>
  </r>
  <r>
    <s v="CUST1317"/>
    <x v="1"/>
    <s v="PROD10"/>
    <s v="Tiffany Williams"/>
    <n v="64"/>
    <x v="1"/>
    <x v="307"/>
    <s v="New Hampshire"/>
    <x v="3"/>
    <s v="Ceramic Kitchen Bowl Set"/>
    <x v="2"/>
    <x v="6"/>
    <x v="57"/>
    <n v="298.86"/>
    <n v="308"/>
    <s v="Mcdonald Inc"/>
    <x v="1"/>
    <x v="1"/>
    <n v="620.95889999999997"/>
  </r>
  <r>
    <s v="CUST1318"/>
    <x v="19"/>
    <s v="PROD78"/>
    <s v="Madison Wright"/>
    <n v="25"/>
    <x v="0"/>
    <x v="308"/>
    <s v="Kansas"/>
    <x v="0"/>
    <s v="Essential Oil Diffuser"/>
    <x v="2"/>
    <x v="7"/>
    <x v="9"/>
    <n v="325.26"/>
    <n v="400"/>
    <s v="Gray Ltd"/>
    <x v="2"/>
    <x v="1"/>
    <n v="758.03660000000002"/>
  </r>
  <r>
    <s v="CUST1319"/>
    <x v="17"/>
    <s v="PROD49"/>
    <s v="Casey Simpson"/>
    <n v="54"/>
    <x v="0"/>
    <x v="309"/>
    <s v="Mississippi"/>
    <x v="0"/>
    <s v="Men's Roll-On Perfume"/>
    <x v="0"/>
    <x v="22"/>
    <x v="49"/>
    <n v="43.29"/>
    <n v="267"/>
    <s v="Rivera-Warner"/>
    <x v="3"/>
    <x v="0"/>
    <n v="1843.04"/>
  </r>
  <r>
    <s v="CUST1320"/>
    <x v="10"/>
    <s v="PROD39"/>
    <s v="Jessica Gonzalez"/>
    <n v="34"/>
    <x v="1"/>
    <x v="310"/>
    <s v="Iowa"/>
    <x v="1"/>
    <s v="Portable Power Bank"/>
    <x v="1"/>
    <x v="19"/>
    <x v="40"/>
    <n v="326.06"/>
    <n v="301"/>
    <s v="Martinez, Adkins and Johnson"/>
    <x v="2"/>
    <x v="0"/>
    <n v="952.57439999999997"/>
  </r>
  <r>
    <s v="CUST1321"/>
    <x v="14"/>
    <s v="PROD99"/>
    <s v="Darren Burton"/>
    <n v="21"/>
    <x v="1"/>
    <x v="311"/>
    <s v="Tennessee"/>
    <x v="1"/>
    <s v="Stainless Steel Cookware Set"/>
    <x v="2"/>
    <x v="6"/>
    <x v="44"/>
    <n v="201.41"/>
    <n v="146"/>
    <s v="Benson-Elliott"/>
    <x v="3"/>
    <x v="2"/>
    <n v="117.4588"/>
  </r>
  <r>
    <s v="CUST1322"/>
    <x v="17"/>
    <s v="PROD6"/>
    <s v="Samuel Arias"/>
    <n v="54"/>
    <x v="0"/>
    <x v="312"/>
    <s v="Wyoming"/>
    <x v="1"/>
    <s v="Herbal Face Moisturizer"/>
    <x v="0"/>
    <x v="0"/>
    <x v="97"/>
    <n v="312.8"/>
    <n v="350"/>
    <s v="Rivera-Warner"/>
    <x v="3"/>
    <x v="0"/>
    <n v="71.193599999999989"/>
  </r>
  <r>
    <s v="CUST1323"/>
    <x v="12"/>
    <s v="PROD49"/>
    <s v="Kristy Dunlap"/>
    <n v="64"/>
    <x v="1"/>
    <x v="313"/>
    <s v="North Carolina"/>
    <x v="0"/>
    <s v="Men's Roll-On Perfume"/>
    <x v="0"/>
    <x v="22"/>
    <x v="49"/>
    <n v="43.29"/>
    <n v="267"/>
    <s v="Hill, Wagner and Ballard"/>
    <x v="3"/>
    <x v="2"/>
    <n v="2184.5819999999999"/>
  </r>
  <r>
    <s v="CUST1324"/>
    <x v="9"/>
    <s v="PROD20"/>
    <s v="Alex Mann Ii"/>
    <n v="58"/>
    <x v="0"/>
    <x v="314"/>
    <s v="Oklahoma"/>
    <x v="1"/>
    <s v="Outdoor Sports Water Bottle"/>
    <x v="3"/>
    <x v="1"/>
    <x v="82"/>
    <n v="131.51"/>
    <n v="199"/>
    <s v="Bean, Jones and Park"/>
    <x v="0"/>
    <x v="2"/>
    <n v="783.30449999999996"/>
  </r>
  <r>
    <s v="CUST1325"/>
    <x v="13"/>
    <s v="PROD54"/>
    <s v="Andrew Smith"/>
    <n v="60"/>
    <x v="0"/>
    <x v="315"/>
    <s v="Wisconsin"/>
    <x v="1"/>
    <s v="Sports Stopwatch Pro"/>
    <x v="3"/>
    <x v="1"/>
    <x v="83"/>
    <n v="434.84"/>
    <n v="185"/>
    <s v="Johnson-Wright"/>
    <x v="2"/>
    <x v="1"/>
    <n v="1235.7372"/>
  </r>
  <r>
    <s v="CUST1326"/>
    <x v="6"/>
    <s v="PROD37"/>
    <s v="Robert King"/>
    <n v="58"/>
    <x v="1"/>
    <x v="316"/>
    <s v="Rhode Island"/>
    <x v="3"/>
    <s v="Men's Casual Sneakers"/>
    <x v="4"/>
    <x v="20"/>
    <x v="46"/>
    <n v="353.47"/>
    <n v="214"/>
    <s v="Aguirre-Keller"/>
    <x v="1"/>
    <x v="2"/>
    <n v="2687.5259999999998"/>
  </r>
  <r>
    <s v="CUST1327"/>
    <x v="12"/>
    <s v="PROD1"/>
    <s v="Reginald Willis"/>
    <n v="62"/>
    <x v="1"/>
    <x v="317"/>
    <s v="New York"/>
    <x v="1"/>
    <s v="Men's Graphic T-Shirt"/>
    <x v="4"/>
    <x v="16"/>
    <x v="25"/>
    <n v="342.56"/>
    <n v="181"/>
    <s v="Hill, Wagner and Ballard"/>
    <x v="3"/>
    <x v="2"/>
    <n v="2777.4432000000002"/>
  </r>
  <r>
    <s v="CUST1328"/>
    <x v="14"/>
    <s v="PROD20"/>
    <s v="Mario Harvey Jr."/>
    <n v="46"/>
    <x v="0"/>
    <x v="318"/>
    <s v="Minnesota"/>
    <x v="0"/>
    <s v="Outdoor Sports Water Bottle"/>
    <x v="3"/>
    <x v="1"/>
    <x v="82"/>
    <n v="131.51"/>
    <n v="199"/>
    <s v="Benson-Elliott"/>
    <x v="3"/>
    <x v="2"/>
    <n v="1451.7328"/>
  </r>
  <r>
    <s v="CUST1329"/>
    <x v="4"/>
    <s v="PROD57"/>
    <s v="Victor Mcintosh"/>
    <n v="62"/>
    <x v="1"/>
    <x v="319"/>
    <s v="Minnesota"/>
    <x v="1"/>
    <s v="Foam Roller"/>
    <x v="3"/>
    <x v="12"/>
    <x v="62"/>
    <n v="30.62"/>
    <n v="138"/>
    <s v="Alexander Group"/>
    <x v="1"/>
    <x v="2"/>
    <n v="496.97340000000003"/>
  </r>
  <r>
    <s v="CUST1330"/>
    <x v="14"/>
    <s v="PROD42"/>
    <s v="Pamela Mcguire"/>
    <n v="54"/>
    <x v="0"/>
    <x v="320"/>
    <s v="Illinois"/>
    <x v="0"/>
    <s v="Smart Home WiFi Camera"/>
    <x v="1"/>
    <x v="1"/>
    <x v="88"/>
    <n v="450.71"/>
    <n v="389"/>
    <s v="Benson-Elliott"/>
    <x v="3"/>
    <x v="2"/>
    <n v="2881.4259999999999"/>
  </r>
  <r>
    <s v="CUST1331"/>
    <x v="13"/>
    <s v="PROD4"/>
    <s v="Maria Phillips"/>
    <n v="38"/>
    <x v="1"/>
    <x v="321"/>
    <s v="Montana"/>
    <x v="1"/>
    <s v="Women's Yoga Pants"/>
    <x v="4"/>
    <x v="11"/>
    <x v="91"/>
    <n v="306.45999999999998"/>
    <n v="487"/>
    <s v="Johnson-Wright"/>
    <x v="2"/>
    <x v="1"/>
    <n v="2010.6432"/>
  </r>
  <r>
    <s v="CUST1332"/>
    <x v="4"/>
    <s v="PROD32"/>
    <s v="Dr. Lindsay Hanna"/>
    <n v="34"/>
    <x v="1"/>
    <x v="322"/>
    <s v="Hawaii"/>
    <x v="1"/>
    <s v="Vitamin C Face Serum"/>
    <x v="0"/>
    <x v="0"/>
    <x v="58"/>
    <n v="283.83"/>
    <n v="244"/>
    <s v="Alexander Group"/>
    <x v="1"/>
    <x v="2"/>
    <n v="1552.9793999999999"/>
  </r>
  <r>
    <s v="CUST1333"/>
    <x v="9"/>
    <s v="PROD0"/>
    <s v="Teresa Johnson"/>
    <n v="64"/>
    <x v="1"/>
    <x v="323"/>
    <s v="Georgia"/>
    <x v="3"/>
    <s v="Brother Laser Printer"/>
    <x v="1"/>
    <x v="3"/>
    <x v="3"/>
    <n v="112.42"/>
    <n v="416"/>
    <s v="Bean, Jones and Park"/>
    <x v="0"/>
    <x v="2"/>
    <n v="3159.0612000000001"/>
  </r>
  <r>
    <s v="CUST1334"/>
    <x v="11"/>
    <s v="PROD71"/>
    <s v="Mr. Christopher Sims"/>
    <n v="50"/>
    <x v="1"/>
    <x v="324"/>
    <s v="Connecticut"/>
    <x v="2"/>
    <s v="Hair Repair Oil Treatment"/>
    <x v="0"/>
    <x v="18"/>
    <x v="94"/>
    <n v="214.32"/>
    <n v="383"/>
    <s v="Moore, Padilla and Butler"/>
    <x v="1"/>
    <x v="0"/>
    <n v="1146.9390000000001"/>
  </r>
  <r>
    <s v="CUST1335"/>
    <x v="11"/>
    <s v="PROD29"/>
    <s v="Jennifer Woods"/>
    <n v="37"/>
    <x v="0"/>
    <x v="325"/>
    <s v="North Carolina"/>
    <x v="0"/>
    <s v="Fabric Sofa Throw Blanket"/>
    <x v="2"/>
    <x v="7"/>
    <x v="90"/>
    <n v="218.48"/>
    <n v="276"/>
    <s v="Moore, Padilla and Butler"/>
    <x v="1"/>
    <x v="0"/>
    <n v="1537.452"/>
  </r>
  <r>
    <s v="CUST1336"/>
    <x v="5"/>
    <s v="PROD11"/>
    <s v="John Jones"/>
    <n v="58"/>
    <x v="1"/>
    <x v="326"/>
    <s v="Oregon"/>
    <x v="2"/>
    <s v="HD Smart TV Stick"/>
    <x v="1"/>
    <x v="1"/>
    <x v="79"/>
    <n v="449.4"/>
    <n v="338"/>
    <s v="Shelton PLC"/>
    <x v="2"/>
    <x v="0"/>
    <n v="1211.0416"/>
  </r>
  <r>
    <s v="CUST1337"/>
    <x v="1"/>
    <s v="PROD71"/>
    <s v="Carol Lewis"/>
    <n v="40"/>
    <x v="1"/>
    <x v="327"/>
    <s v="North Carolina"/>
    <x v="1"/>
    <s v="Hair Repair Oil Treatment"/>
    <x v="0"/>
    <x v="18"/>
    <x v="94"/>
    <n v="214.32"/>
    <n v="383"/>
    <s v="Mcdonald Inc"/>
    <x v="1"/>
    <x v="1"/>
    <n v="2147.5500000000002"/>
  </r>
  <r>
    <s v="CUST1338"/>
    <x v="18"/>
    <s v="PROD86"/>
    <s v="Jasmine Snyder"/>
    <n v="46"/>
    <x v="1"/>
    <x v="328"/>
    <s v="Connecticut"/>
    <x v="2"/>
    <s v="Kitchen Cutting Board"/>
    <x v="2"/>
    <x v="6"/>
    <x v="27"/>
    <n v="176.07"/>
    <n v="82"/>
    <s v="Martinez-Mullins"/>
    <x v="1"/>
    <x v="2"/>
    <n v="2060.3912"/>
  </r>
  <r>
    <s v="CUST1339"/>
    <x v="15"/>
    <s v="PROD9"/>
    <s v="Mrs. Susan Buckley"/>
    <n v="52"/>
    <x v="1"/>
    <x v="329"/>
    <s v="Arizona"/>
    <x v="0"/>
    <s v="Adjustable Dumbbell Set"/>
    <x v="3"/>
    <x v="12"/>
    <x v="93"/>
    <n v="495.72"/>
    <n v="323"/>
    <s v="Black-Horn"/>
    <x v="1"/>
    <x v="1"/>
    <n v="1349.7692"/>
  </r>
  <r>
    <s v="CUST1340"/>
    <x v="19"/>
    <s v="PROD41"/>
    <s v="Eric Davis"/>
    <n v="27"/>
    <x v="0"/>
    <x v="330"/>
    <s v="Colorado"/>
    <x v="1"/>
    <s v="Yoga Exercise Mat"/>
    <x v="3"/>
    <x v="12"/>
    <x v="17"/>
    <n v="313.26"/>
    <n v="369"/>
    <s v="Gray Ltd"/>
    <x v="2"/>
    <x v="1"/>
    <n v="36.027200000000001"/>
  </r>
  <r>
    <s v="CUST1341"/>
    <x v="7"/>
    <s v="PROD41"/>
    <s v="Angela Williams"/>
    <n v="56"/>
    <x v="1"/>
    <x v="331"/>
    <s v="Illinois"/>
    <x v="1"/>
    <s v="Yoga Exercise Mat"/>
    <x v="3"/>
    <x v="12"/>
    <x v="17"/>
    <n v="313.26"/>
    <n v="369"/>
    <s v="Gardner, Humphrey and Contreras"/>
    <x v="3"/>
    <x v="0"/>
    <n v="955.54599999999994"/>
  </r>
  <r>
    <s v="CUST1342"/>
    <x v="14"/>
    <s v="PROD61"/>
    <s v="Michelle Cunningham"/>
    <n v="30"/>
    <x v="1"/>
    <x v="332"/>
    <s v="Connecticut"/>
    <x v="1"/>
    <s v="Tennis Ball 3-Pack"/>
    <x v="3"/>
    <x v="5"/>
    <x v="5"/>
    <n v="103.45"/>
    <n v="465"/>
    <s v="Benson-Elliott"/>
    <x v="3"/>
    <x v="2"/>
    <n v="1419.0192"/>
  </r>
  <r>
    <s v="CUST1343"/>
    <x v="13"/>
    <s v="PROD17"/>
    <s v="Ryan Moore"/>
    <n v="38"/>
    <x v="0"/>
    <x v="333"/>
    <s v="Virginia"/>
    <x v="1"/>
    <s v="Soccer Training Cone Set"/>
    <x v="3"/>
    <x v="1"/>
    <x v="38"/>
    <n v="144.53"/>
    <n v="367"/>
    <s v="Johnson-Wright"/>
    <x v="2"/>
    <x v="1"/>
    <n v="782.17539999999997"/>
  </r>
  <r>
    <s v="CUST1344"/>
    <x v="10"/>
    <s v="PROD79"/>
    <s v="Evelyn Brown"/>
    <n v="39"/>
    <x v="0"/>
    <x v="334"/>
    <s v="New Mexico"/>
    <x v="3"/>
    <s v="Decorative Lamp Shade"/>
    <x v="2"/>
    <x v="2"/>
    <x v="2"/>
    <n v="228.53"/>
    <n v="469"/>
    <s v="Martinez, Adkins and Johnson"/>
    <x v="2"/>
    <x v="0"/>
    <n v="2148.1212"/>
  </r>
  <r>
    <s v="CUST1345"/>
    <x v="11"/>
    <s v="PROD22"/>
    <s v="Daniel Nelson"/>
    <n v="33"/>
    <x v="0"/>
    <x v="335"/>
    <s v="Oklahoma"/>
    <x v="1"/>
    <s v="Carbon Fiber Tennis Racket"/>
    <x v="3"/>
    <x v="5"/>
    <x v="39"/>
    <n v="484.62"/>
    <n v="432"/>
    <s v="Moore, Padilla and Butler"/>
    <x v="1"/>
    <x v="0"/>
    <n v="649.51920000000007"/>
  </r>
  <r>
    <s v="CUST1346"/>
    <x v="9"/>
    <s v="PROD76"/>
    <s v="John Jordan"/>
    <n v="58"/>
    <x v="1"/>
    <x v="336"/>
    <s v="Tennessee"/>
    <x v="0"/>
    <s v="Wireless Mouse"/>
    <x v="1"/>
    <x v="3"/>
    <x v="19"/>
    <n v="392.89"/>
    <n v="320"/>
    <s v="Bean, Jones and Park"/>
    <x v="0"/>
    <x v="2"/>
    <n v="774.0684"/>
  </r>
  <r>
    <s v="CUST1347"/>
    <x v="18"/>
    <s v="PROD37"/>
    <s v="Justin Mason Dds"/>
    <n v="39"/>
    <x v="1"/>
    <x v="337"/>
    <s v="Connecticut"/>
    <x v="3"/>
    <s v="Men's Casual Sneakers"/>
    <x v="4"/>
    <x v="20"/>
    <x v="46"/>
    <n v="353.47"/>
    <n v="214"/>
    <s v="Martinez-Mullins"/>
    <x v="1"/>
    <x v="2"/>
    <n v="1793.2632000000001"/>
  </r>
  <r>
    <s v="CUST1348"/>
    <x v="5"/>
    <s v="PROD24"/>
    <s v="Sherry Cabrera"/>
    <n v="55"/>
    <x v="0"/>
    <x v="338"/>
    <s v="Pennsylvania"/>
    <x v="2"/>
    <s v="Foldable Camping Chair"/>
    <x v="3"/>
    <x v="9"/>
    <x v="13"/>
    <n v="166.06"/>
    <n v="340"/>
    <s v="Shelton PLC"/>
    <x v="2"/>
    <x v="0"/>
    <n v="1145.8548000000001"/>
  </r>
  <r>
    <s v="CUST1349"/>
    <x v="11"/>
    <s v="PROD71"/>
    <s v="Heather Valenzuela"/>
    <n v="31"/>
    <x v="0"/>
    <x v="339"/>
    <s v="Alaska"/>
    <x v="1"/>
    <s v="Hair Repair Oil Treatment"/>
    <x v="0"/>
    <x v="18"/>
    <x v="94"/>
    <n v="214.32"/>
    <n v="383"/>
    <s v="Moore, Padilla and Butler"/>
    <x v="1"/>
    <x v="0"/>
    <n v="2471.6376"/>
  </r>
  <r>
    <s v="CUST1350"/>
    <x v="16"/>
    <s v="PROD92"/>
    <s v="Charles Miller"/>
    <n v="26"/>
    <x v="0"/>
    <x v="340"/>
    <s v="Iowa"/>
    <x v="2"/>
    <s v="Microwave Oven"/>
    <x v="2"/>
    <x v="21"/>
    <x v="60"/>
    <n v="447.43"/>
    <n v="191"/>
    <s v="Mann-Austin"/>
    <x v="3"/>
    <x v="2"/>
    <n v="624.49519999999995"/>
  </r>
  <r>
    <s v="CUST1351"/>
    <x v="12"/>
    <s v="PROD26"/>
    <s v="Jeffrey Mccarthy"/>
    <n v="25"/>
    <x v="1"/>
    <x v="341"/>
    <s v="Nebraska"/>
    <x v="1"/>
    <s v="Wireless Bluetooth Speaker"/>
    <x v="1"/>
    <x v="10"/>
    <x v="14"/>
    <n v="322.41000000000003"/>
    <n v="213"/>
    <s v="Hill, Wagner and Ballard"/>
    <x v="3"/>
    <x v="2"/>
    <n v="1620.8416"/>
  </r>
  <r>
    <s v="CUST1352"/>
    <x v="4"/>
    <s v="PROD43"/>
    <s v="Michael Greene"/>
    <n v="52"/>
    <x v="1"/>
    <x v="342"/>
    <s v="Wisconsin"/>
    <x v="2"/>
    <s v="USB External Hard Drive"/>
    <x v="1"/>
    <x v="3"/>
    <x v="86"/>
    <n v="253.33"/>
    <n v="266"/>
    <s v="Alexander Group"/>
    <x v="1"/>
    <x v="2"/>
    <n v="701.0544000000001"/>
  </r>
  <r>
    <s v="CUST1353"/>
    <x v="15"/>
    <s v="PROD48"/>
    <s v="Laura Green"/>
    <n v="56"/>
    <x v="1"/>
    <x v="343"/>
    <s v="Oregon"/>
    <x v="0"/>
    <s v="Car Dashboard Phone Holder"/>
    <x v="1"/>
    <x v="1"/>
    <x v="43"/>
    <n v="177.98"/>
    <n v="103"/>
    <s v="Black-Horn"/>
    <x v="1"/>
    <x v="1"/>
    <n v="1565.982"/>
  </r>
  <r>
    <s v="CUST1354"/>
    <x v="14"/>
    <s v="PROD61"/>
    <s v="Ryan Torres"/>
    <n v="38"/>
    <x v="0"/>
    <x v="344"/>
    <s v="Connecticut"/>
    <x v="2"/>
    <s v="Tennis Ball 3-Pack"/>
    <x v="3"/>
    <x v="5"/>
    <x v="5"/>
    <n v="103.45"/>
    <n v="465"/>
    <s v="Benson-Elliott"/>
    <x v="3"/>
    <x v="2"/>
    <n v="711.05579999999986"/>
  </r>
  <r>
    <s v="CUST1355"/>
    <x v="2"/>
    <s v="PROD91"/>
    <s v="Carlos Flores"/>
    <n v="20"/>
    <x v="0"/>
    <x v="345"/>
    <s v="Washington"/>
    <x v="3"/>
    <s v="Women's High Heels"/>
    <x v="4"/>
    <x v="20"/>
    <x v="74"/>
    <n v="438.25"/>
    <n v="496"/>
    <s v="Holloway Ltd"/>
    <x v="2"/>
    <x v="0"/>
    <n v="218.804"/>
  </r>
  <r>
    <s v="CUST1356"/>
    <x v="14"/>
    <s v="PROD88"/>
    <s v="Steve Hunt"/>
    <n v="54"/>
    <x v="0"/>
    <x v="346"/>
    <s v="Virginia"/>
    <x v="1"/>
    <s v="Sports Wrist Sweatbands"/>
    <x v="3"/>
    <x v="1"/>
    <x v="47"/>
    <n v="131.24"/>
    <n v="232"/>
    <s v="Benson-Elliott"/>
    <x v="3"/>
    <x v="2"/>
    <n v="463.85820000000001"/>
  </r>
  <r>
    <s v="CUST1357"/>
    <x v="10"/>
    <s v="PROD17"/>
    <s v="Manuel Castillo"/>
    <n v="41"/>
    <x v="0"/>
    <x v="347"/>
    <s v="Tennessee"/>
    <x v="3"/>
    <s v="Soccer Training Cone Set"/>
    <x v="3"/>
    <x v="1"/>
    <x v="38"/>
    <n v="144.53"/>
    <n v="367"/>
    <s v="Martinez, Adkins and Johnson"/>
    <x v="2"/>
    <x v="0"/>
    <n v="1192.2174"/>
  </r>
  <r>
    <s v="CUST1358"/>
    <x v="16"/>
    <s v="PROD55"/>
    <s v="Ashley Anderson"/>
    <n v="60"/>
    <x v="1"/>
    <x v="348"/>
    <s v="Mississippi"/>
    <x v="3"/>
    <s v="Ceramic Plant Pot"/>
    <x v="2"/>
    <x v="7"/>
    <x v="73"/>
    <n v="81.75"/>
    <n v="331"/>
    <s v="Mann-Austin"/>
    <x v="3"/>
    <x v="2"/>
    <n v="218.49100000000001"/>
  </r>
  <r>
    <s v="CUST1359"/>
    <x v="14"/>
    <s v="PROD59"/>
    <s v="Melanie Lam"/>
    <n v="32"/>
    <x v="0"/>
    <x v="349"/>
    <s v="Kansas"/>
    <x v="2"/>
    <s v="Men's Hair Styling Gel"/>
    <x v="0"/>
    <x v="18"/>
    <x v="70"/>
    <n v="17.309999999999999"/>
    <n v="399"/>
    <s v="Benson-Elliott"/>
    <x v="3"/>
    <x v="2"/>
    <n v="526.24439999999993"/>
  </r>
  <r>
    <s v="CUST1360"/>
    <x v="15"/>
    <s v="PROD73"/>
    <s v="Denise Tate"/>
    <n v="34"/>
    <x v="0"/>
    <x v="350"/>
    <s v="Arkansas"/>
    <x v="0"/>
    <s v="Shin Guards – Adult"/>
    <x v="3"/>
    <x v="8"/>
    <x v="55"/>
    <n v="107.06"/>
    <n v="359"/>
    <s v="Black-Horn"/>
    <x v="1"/>
    <x v="1"/>
    <n v="1307.5999999999999"/>
  </r>
  <r>
    <s v="CUST1361"/>
    <x v="1"/>
    <s v="PROD76"/>
    <s v="Natalie Johnson"/>
    <n v="64"/>
    <x v="0"/>
    <x v="351"/>
    <s v="Indiana"/>
    <x v="0"/>
    <s v="Wireless Mouse"/>
    <x v="1"/>
    <x v="3"/>
    <x v="19"/>
    <n v="392.89"/>
    <n v="320"/>
    <s v="Mcdonald Inc"/>
    <x v="1"/>
    <x v="1"/>
    <n v="611.20500000000004"/>
  </r>
  <r>
    <s v="CUST1362"/>
    <x v="18"/>
    <s v="PROD95"/>
    <s v="Joshua Smith Dvm"/>
    <n v="60"/>
    <x v="0"/>
    <x v="352"/>
    <s v="Alaska"/>
    <x v="3"/>
    <s v="Sports Stopwatch Basic"/>
    <x v="3"/>
    <x v="1"/>
    <x v="24"/>
    <n v="60.65"/>
    <n v="75"/>
    <s v="Martinez-Mullins"/>
    <x v="1"/>
    <x v="2"/>
    <n v="798.21719999999993"/>
  </r>
  <r>
    <s v="CUST1363"/>
    <x v="3"/>
    <s v="PROD91"/>
    <s v="Elizabeth Smith"/>
    <n v="23"/>
    <x v="0"/>
    <x v="353"/>
    <s v="Ohio"/>
    <x v="1"/>
    <s v="Women's High Heels"/>
    <x v="4"/>
    <x v="20"/>
    <x v="74"/>
    <n v="438.25"/>
    <n v="496"/>
    <s v="Thomas, Bridges and Harris"/>
    <x v="2"/>
    <x v="2"/>
    <n v="363.09980000000002"/>
  </r>
  <r>
    <s v="CUST1364"/>
    <x v="6"/>
    <s v="PROD65"/>
    <s v="Chloe Aguilar"/>
    <n v="58"/>
    <x v="0"/>
    <x v="354"/>
    <s v="Arizona"/>
    <x v="1"/>
    <s v="Adjustable Dumbbells 20kg"/>
    <x v="3"/>
    <x v="12"/>
    <x v="63"/>
    <n v="240.63"/>
    <n v="423"/>
    <s v="Aguirre-Keller"/>
    <x v="1"/>
    <x v="2"/>
    <n v="1365.663"/>
  </r>
  <r>
    <s v="CUST1365"/>
    <x v="0"/>
    <s v="PROD45"/>
    <s v="Brandon Mcbride"/>
    <n v="63"/>
    <x v="1"/>
    <x v="355"/>
    <s v="Alaska"/>
    <x v="0"/>
    <s v="High-Grip Football"/>
    <x v="3"/>
    <x v="8"/>
    <x v="35"/>
    <n v="318.91000000000003"/>
    <n v="114"/>
    <s v="Frederick-Wright"/>
    <x v="0"/>
    <x v="0"/>
    <n v="691.02719999999999"/>
  </r>
  <r>
    <s v="CUST1366"/>
    <x v="14"/>
    <s v="PROD73"/>
    <s v="Mallory Allen"/>
    <n v="40"/>
    <x v="1"/>
    <x v="356"/>
    <s v="Alabama"/>
    <x v="0"/>
    <s v="Shin Guards – Adult"/>
    <x v="3"/>
    <x v="8"/>
    <x v="55"/>
    <n v="107.06"/>
    <n v="359"/>
    <s v="Benson-Elliott"/>
    <x v="3"/>
    <x v="2"/>
    <n v="3066.6687999999999"/>
  </r>
  <r>
    <s v="CUST1367"/>
    <x v="6"/>
    <s v="PROD89"/>
    <s v="Melinda Johnson"/>
    <n v="51"/>
    <x v="0"/>
    <x v="357"/>
    <s v="Ohio"/>
    <x v="1"/>
    <s v="Face Foundation Kit"/>
    <x v="0"/>
    <x v="4"/>
    <x v="65"/>
    <n v="183.04"/>
    <n v="457"/>
    <s v="Aguirre-Keller"/>
    <x v="1"/>
    <x v="2"/>
    <n v="767.17410000000007"/>
  </r>
  <r>
    <s v="CUST1368"/>
    <x v="9"/>
    <s v="PROD12"/>
    <s v="Miranda King"/>
    <n v="34"/>
    <x v="1"/>
    <x v="358"/>
    <s v="New York"/>
    <x v="0"/>
    <s v="Hair Strengthening Shampoo"/>
    <x v="0"/>
    <x v="18"/>
    <x v="71"/>
    <n v="115.82"/>
    <n v="460"/>
    <s v="Bean, Jones and Park"/>
    <x v="0"/>
    <x v="2"/>
    <n v="661.73760000000004"/>
  </r>
  <r>
    <s v="CUST1369"/>
    <x v="19"/>
    <s v="PROD33"/>
    <s v="Gregory Allen"/>
    <n v="20"/>
    <x v="1"/>
    <x v="359"/>
    <s v="Vermont"/>
    <x v="0"/>
    <s v="Modern Wall Clock"/>
    <x v="2"/>
    <x v="7"/>
    <x v="10"/>
    <n v="179.77"/>
    <n v="305"/>
    <s v="Gray Ltd"/>
    <x v="2"/>
    <x v="1"/>
    <n v="658.46"/>
  </r>
  <r>
    <s v="CUST1370"/>
    <x v="0"/>
    <s v="PROD37"/>
    <s v="James Holloway Jr."/>
    <n v="45"/>
    <x v="0"/>
    <x v="360"/>
    <s v="Indiana"/>
    <x v="2"/>
    <s v="Men's Casual Sneakers"/>
    <x v="4"/>
    <x v="20"/>
    <x v="46"/>
    <n v="353.47"/>
    <n v="214"/>
    <s v="Frederick-Wright"/>
    <x v="0"/>
    <x v="0"/>
    <n v="610.11059999999998"/>
  </r>
  <r>
    <s v="CUST1371"/>
    <x v="9"/>
    <s v="PROD67"/>
    <s v="Michael Garner"/>
    <n v="21"/>
    <x v="1"/>
    <x v="361"/>
    <s v="New Hampshire"/>
    <x v="0"/>
    <s v="Smart LED Light Strip"/>
    <x v="1"/>
    <x v="1"/>
    <x v="7"/>
    <n v="349.17"/>
    <n v="476"/>
    <s v="Bean, Jones and Park"/>
    <x v="0"/>
    <x v="2"/>
    <n v="595.97759999999994"/>
  </r>
  <r>
    <s v="CUST1372"/>
    <x v="12"/>
    <s v="PROD72"/>
    <s v="Jacqueline Anthony"/>
    <n v="28"/>
    <x v="0"/>
    <x v="362"/>
    <s v="Ohio"/>
    <x v="1"/>
    <s v="Professional Jump Rope"/>
    <x v="3"/>
    <x v="12"/>
    <x v="78"/>
    <n v="477.61"/>
    <n v="300"/>
    <s v="Hill, Wagner and Ballard"/>
    <x v="3"/>
    <x v="2"/>
    <n v="204.93440000000001"/>
  </r>
  <r>
    <s v="CUST1373"/>
    <x v="18"/>
    <s v="PROD72"/>
    <s v="James Orozco"/>
    <n v="37"/>
    <x v="1"/>
    <x v="363"/>
    <s v="Maine"/>
    <x v="3"/>
    <s v="Professional Jump Rope"/>
    <x v="3"/>
    <x v="12"/>
    <x v="78"/>
    <n v="477.61"/>
    <n v="300"/>
    <s v="Martinez-Mullins"/>
    <x v="1"/>
    <x v="2"/>
    <n v="604.41920000000005"/>
  </r>
  <r>
    <s v="CUST1375"/>
    <x v="7"/>
    <s v="PROD28"/>
    <s v="Joshua Bell"/>
    <n v="26"/>
    <x v="0"/>
    <x v="364"/>
    <s v="Minnesota"/>
    <x v="0"/>
    <s v="Sports Stopwatch Timer"/>
    <x v="3"/>
    <x v="1"/>
    <x v="32"/>
    <n v="38.76"/>
    <n v="137"/>
    <s v="Gardner, Humphrey and Contreras"/>
    <x v="3"/>
    <x v="0"/>
    <n v="664.35"/>
  </r>
  <r>
    <s v="CUST1376"/>
    <x v="13"/>
    <s v="PROD85"/>
    <s v="Michele Burke"/>
    <n v="30"/>
    <x v="0"/>
    <x v="365"/>
    <s v="Connecticut"/>
    <x v="1"/>
    <s v="Women's Beanie Hat"/>
    <x v="4"/>
    <x v="1"/>
    <x v="89"/>
    <n v="119.57"/>
    <n v="210"/>
    <s v="Johnson-Wright"/>
    <x v="2"/>
    <x v="1"/>
    <n v="3908.2428"/>
  </r>
  <r>
    <s v="CUST1377"/>
    <x v="10"/>
    <s v="PROD92"/>
    <s v="Charles Conley"/>
    <n v="39"/>
    <x v="1"/>
    <x v="366"/>
    <s v="Maine"/>
    <x v="3"/>
    <s v="Microwave Oven"/>
    <x v="2"/>
    <x v="21"/>
    <x v="60"/>
    <n v="447.43"/>
    <n v="191"/>
    <s v="Martinez, Adkins and Johnson"/>
    <x v="2"/>
    <x v="0"/>
    <n v="1217.1579999999999"/>
  </r>
  <r>
    <s v="CUST1378"/>
    <x v="2"/>
    <s v="PROD91"/>
    <s v="Frank Stewart"/>
    <n v="44"/>
    <x v="1"/>
    <x v="367"/>
    <s v="Delaware"/>
    <x v="1"/>
    <s v="Women's High Heels"/>
    <x v="4"/>
    <x v="20"/>
    <x v="74"/>
    <n v="438.25"/>
    <n v="496"/>
    <s v="Holloway Ltd"/>
    <x v="2"/>
    <x v="0"/>
    <n v="1010.2344000000001"/>
  </r>
  <r>
    <s v="CUST1379"/>
    <x v="17"/>
    <s v="PROD20"/>
    <s v="Tanya Lopez"/>
    <n v="34"/>
    <x v="1"/>
    <x v="368"/>
    <s v="Iowa"/>
    <x v="3"/>
    <s v="Outdoor Sports Water Bottle"/>
    <x v="3"/>
    <x v="1"/>
    <x v="82"/>
    <n v="131.51"/>
    <n v="199"/>
    <s v="Rivera-Warner"/>
    <x v="3"/>
    <x v="0"/>
    <n v="1756.35"/>
  </r>
  <r>
    <s v="CUST1380"/>
    <x v="1"/>
    <s v="PROD98"/>
    <s v="Shelley Ponce"/>
    <n v="23"/>
    <x v="0"/>
    <x v="369"/>
    <s v="Rhode Island"/>
    <x v="3"/>
    <s v="Portable Bluetooth Speaker"/>
    <x v="1"/>
    <x v="10"/>
    <x v="66"/>
    <n v="431.67"/>
    <n v="73"/>
    <s v="Mcdonald Inc"/>
    <x v="1"/>
    <x v="1"/>
    <n v="3139.3784000000001"/>
  </r>
  <r>
    <s v="CUST1381"/>
    <x v="13"/>
    <s v="PROD5"/>
    <s v="Erika Padilla"/>
    <n v="50"/>
    <x v="0"/>
    <x v="370"/>
    <s v="Alabama"/>
    <x v="2"/>
    <s v="Men's Leather Belt"/>
    <x v="4"/>
    <x v="1"/>
    <x v="26"/>
    <n v="261"/>
    <n v="59"/>
    <s v="Johnson-Wright"/>
    <x v="2"/>
    <x v="1"/>
    <n v="2933.3224"/>
  </r>
  <r>
    <s v="CUST1382"/>
    <x v="13"/>
    <s v="PROD4"/>
    <s v="Martha Brown"/>
    <n v="20"/>
    <x v="1"/>
    <x v="371"/>
    <s v="California"/>
    <x v="3"/>
    <s v="Women's Yoga Pants"/>
    <x v="4"/>
    <x v="11"/>
    <x v="91"/>
    <n v="306.45999999999998"/>
    <n v="487"/>
    <s v="Johnson-Wright"/>
    <x v="2"/>
    <x v="1"/>
    <n v="1786.2336"/>
  </r>
  <r>
    <s v="CUST1383"/>
    <x v="12"/>
    <s v="PROD58"/>
    <s v="Kristine Higgins"/>
    <n v="27"/>
    <x v="1"/>
    <x v="372"/>
    <s v="South Carolina"/>
    <x v="2"/>
    <s v="Womens Cotton Scarf"/>
    <x v="4"/>
    <x v="1"/>
    <x v="96"/>
    <n v="113.83"/>
    <n v="485"/>
    <s v="Hill, Wagner and Ballard"/>
    <x v="3"/>
    <x v="2"/>
    <n v="829.9606"/>
  </r>
  <r>
    <s v="CUST1384"/>
    <x v="12"/>
    <s v="PROD74"/>
    <s v="Andrew Mason"/>
    <n v="52"/>
    <x v="1"/>
    <x v="373"/>
    <s v="Iowa"/>
    <x v="1"/>
    <s v="Bluetooth Car Audio System"/>
    <x v="1"/>
    <x v="10"/>
    <x v="37"/>
    <n v="403.71"/>
    <n v="159"/>
    <s v="Hill, Wagner and Ballard"/>
    <x v="3"/>
    <x v="2"/>
    <n v="24.442599999999999"/>
  </r>
  <r>
    <s v="CUST1385"/>
    <x v="1"/>
    <s v="PROD68"/>
    <s v="Tammy Brennan"/>
    <n v="60"/>
    <x v="0"/>
    <x v="374"/>
    <s v="South Carolina"/>
    <x v="3"/>
    <s v="Wooden Nightstand"/>
    <x v="2"/>
    <x v="14"/>
    <x v="22"/>
    <n v="243.7"/>
    <n v="130"/>
    <s v="Mcdonald Inc"/>
    <x v="1"/>
    <x v="1"/>
    <n v="392.04"/>
  </r>
  <r>
    <s v="CUST1387"/>
    <x v="4"/>
    <s v="PROD76"/>
    <s v="Timothy Gardner"/>
    <n v="28"/>
    <x v="1"/>
    <x v="375"/>
    <s v="New Jersey"/>
    <x v="2"/>
    <s v="Wireless Mouse"/>
    <x v="1"/>
    <x v="3"/>
    <x v="19"/>
    <n v="392.89"/>
    <n v="320"/>
    <s v="Alexander Group"/>
    <x v="1"/>
    <x v="2"/>
    <n v="81.673900000000003"/>
  </r>
  <r>
    <s v="CUST1388"/>
    <x v="9"/>
    <s v="PROD82"/>
    <s v="Timothy Valenzuela"/>
    <n v="53"/>
    <x v="0"/>
    <x v="376"/>
    <s v="Missouri"/>
    <x v="0"/>
    <s v="Fitness Resistance Bands"/>
    <x v="3"/>
    <x v="12"/>
    <x v="98"/>
    <n v="152.91999999999999"/>
    <n v="281"/>
    <s v="Bean, Jones and Park"/>
    <x v="0"/>
    <x v="2"/>
    <n v="2221.9061999999999"/>
  </r>
  <r>
    <s v="CUST1389"/>
    <x v="0"/>
    <s v="PROD91"/>
    <s v="Cynthia Lopez"/>
    <n v="50"/>
    <x v="0"/>
    <x v="377"/>
    <s v="Nebraska"/>
    <x v="0"/>
    <s v="Women's High Heels"/>
    <x v="4"/>
    <x v="20"/>
    <x v="74"/>
    <n v="438.25"/>
    <n v="496"/>
    <s v="Frederick-Wright"/>
    <x v="0"/>
    <x v="0"/>
    <n v="484.60230000000001"/>
  </r>
  <r>
    <s v="CUST1390"/>
    <x v="17"/>
    <s v="PROD11"/>
    <s v="Daniel Bell"/>
    <n v="56"/>
    <x v="0"/>
    <x v="378"/>
    <s v="Arkansas"/>
    <x v="2"/>
    <s v="HD Smart TV Stick"/>
    <x v="1"/>
    <x v="1"/>
    <x v="79"/>
    <n v="449.4"/>
    <n v="338"/>
    <s v="Rivera-Warner"/>
    <x v="3"/>
    <x v="0"/>
    <n v="264.93889999999999"/>
  </r>
  <r>
    <s v="CUST1391"/>
    <x v="16"/>
    <s v="PROD29"/>
    <s v="Heidi Tyler"/>
    <n v="40"/>
    <x v="1"/>
    <x v="379"/>
    <s v="Oregon"/>
    <x v="1"/>
    <s v="Fabric Sofa Throw Blanket"/>
    <x v="2"/>
    <x v="7"/>
    <x v="90"/>
    <n v="218.48"/>
    <n v="276"/>
    <s v="Mann-Austin"/>
    <x v="3"/>
    <x v="2"/>
    <n v="1245.4304"/>
  </r>
  <r>
    <s v="CUST1392"/>
    <x v="12"/>
    <s v="PROD52"/>
    <s v="Jacqueline Payne"/>
    <n v="46"/>
    <x v="0"/>
    <x v="380"/>
    <s v="Missouri"/>
    <x v="3"/>
    <s v="Rugby Ball"/>
    <x v="3"/>
    <x v="8"/>
    <x v="54"/>
    <n v="212.26"/>
    <n v="82"/>
    <s v="Hill, Wagner and Ballard"/>
    <x v="3"/>
    <x v="2"/>
    <n v="537.11840000000007"/>
  </r>
  <r>
    <s v="CUST1393"/>
    <x v="13"/>
    <s v="PROD80"/>
    <s v="Michael Mcneil"/>
    <n v="46"/>
    <x v="0"/>
    <x v="381"/>
    <s v="Utah"/>
    <x v="1"/>
    <s v="Wall-Mounted Spice Rack"/>
    <x v="2"/>
    <x v="6"/>
    <x v="18"/>
    <n v="143.43"/>
    <n v="58"/>
    <s v="Johnson-Wright"/>
    <x v="2"/>
    <x v="1"/>
    <n v="3502.9688000000001"/>
  </r>
  <r>
    <s v="CUST1394"/>
    <x v="0"/>
    <s v="PROD89"/>
    <s v="Alejandro Evans"/>
    <n v="43"/>
    <x v="1"/>
    <x v="382"/>
    <s v="Connecticut"/>
    <x v="1"/>
    <s v="Face Foundation Kit"/>
    <x v="0"/>
    <x v="4"/>
    <x v="65"/>
    <n v="183.04"/>
    <n v="457"/>
    <s v="Frederick-Wright"/>
    <x v="0"/>
    <x v="0"/>
    <n v="193.1234"/>
  </r>
  <r>
    <s v="CUST1396"/>
    <x v="8"/>
    <s v="PROD43"/>
    <s v="Alexander Byrd"/>
    <n v="25"/>
    <x v="1"/>
    <x v="383"/>
    <s v="New York"/>
    <x v="2"/>
    <s v="USB External Hard Drive"/>
    <x v="1"/>
    <x v="3"/>
    <x v="86"/>
    <n v="253.33"/>
    <n v="266"/>
    <s v="Guerrero-Schmitt"/>
    <x v="3"/>
    <x v="0"/>
    <n v="459.85680000000002"/>
  </r>
  <r>
    <s v="CUST1397"/>
    <x v="11"/>
    <s v="PROD94"/>
    <s v="Charles Norman Phd"/>
    <n v="62"/>
    <x v="1"/>
    <x v="29"/>
    <s v="Kansas"/>
    <x v="0"/>
    <s v="Vitamin E Body Lotion"/>
    <x v="0"/>
    <x v="0"/>
    <x v="52"/>
    <n v="358.47"/>
    <n v="213"/>
    <s v="Moore, Padilla and Butler"/>
    <x v="1"/>
    <x v="0"/>
    <n v="1304.9459999999999"/>
  </r>
  <r>
    <s v="CUST1398"/>
    <x v="9"/>
    <s v="PROD75"/>
    <s v="Jennifer Johnson"/>
    <n v="54"/>
    <x v="0"/>
    <x v="384"/>
    <s v="New Hampshire"/>
    <x v="1"/>
    <s v="Women's Ankle Boots"/>
    <x v="4"/>
    <x v="20"/>
    <x v="68"/>
    <n v="158.13999999999999"/>
    <n v="82"/>
    <s v="Bean, Jones and Park"/>
    <x v="0"/>
    <x v="2"/>
    <n v="1154.8943999999999"/>
  </r>
  <r>
    <s v="CUST1399"/>
    <x v="3"/>
    <s v="PROD66"/>
    <s v="John Donaldson"/>
    <n v="27"/>
    <x v="0"/>
    <x v="385"/>
    <s v="Maine"/>
    <x v="1"/>
    <s v="Women's Hair Dryer Brush"/>
    <x v="0"/>
    <x v="18"/>
    <x v="36"/>
    <n v="340.39"/>
    <n v="177"/>
    <s v="Thomas, Bridges and Harris"/>
    <x v="2"/>
    <x v="2"/>
    <n v="1443.7103999999999"/>
  </r>
  <r>
    <s v="CUST1400"/>
    <x v="4"/>
    <s v="PROD39"/>
    <s v="Mark Rogers"/>
    <n v="57"/>
    <x v="1"/>
    <x v="386"/>
    <s v="Oklahoma"/>
    <x v="0"/>
    <s v="Portable Power Bank"/>
    <x v="1"/>
    <x v="19"/>
    <x v="40"/>
    <n v="326.06"/>
    <n v="301"/>
    <s v="Alexander Group"/>
    <x v="1"/>
    <x v="2"/>
    <n v="2950.14"/>
  </r>
  <r>
    <s v="CUST1401"/>
    <x v="0"/>
    <s v="PROD34"/>
    <s v="Terry Moses"/>
    <n v="51"/>
    <x v="1"/>
    <x v="387"/>
    <s v="Nevada"/>
    <x v="0"/>
    <s v="Gaming Mechanical Keyboard"/>
    <x v="1"/>
    <x v="3"/>
    <x v="59"/>
    <n v="419.28"/>
    <n v="86"/>
    <s v="Frederick-Wright"/>
    <x v="0"/>
    <x v="0"/>
    <n v="1278.3407999999999"/>
  </r>
  <r>
    <s v="CUST1402"/>
    <x v="17"/>
    <s v="PROD21"/>
    <s v="Cassandra Perez"/>
    <n v="31"/>
    <x v="0"/>
    <x v="17"/>
    <s v="Mississippi"/>
    <x v="1"/>
    <s v="Multi-Purpose Storage Box"/>
    <x v="2"/>
    <x v="13"/>
    <x v="45"/>
    <n v="123.46"/>
    <n v="76"/>
    <s v="Rivera-Warner"/>
    <x v="3"/>
    <x v="0"/>
    <n v="605.43299999999999"/>
  </r>
  <r>
    <s v="CUST1403"/>
    <x v="8"/>
    <s v="PROD17"/>
    <s v="Justin Ingram"/>
    <n v="34"/>
    <x v="0"/>
    <x v="388"/>
    <s v="Louisiana"/>
    <x v="1"/>
    <s v="Soccer Training Cone Set"/>
    <x v="3"/>
    <x v="1"/>
    <x v="38"/>
    <n v="144.53"/>
    <n v="367"/>
    <s v="Guerrero-Schmitt"/>
    <x v="3"/>
    <x v="0"/>
    <n v="133.4332"/>
  </r>
  <r>
    <s v="CUST1404"/>
    <x v="18"/>
    <s v="PROD15"/>
    <s v="David Ross"/>
    <n v="22"/>
    <x v="1"/>
    <x v="389"/>
    <s v="Arkansas"/>
    <x v="2"/>
    <s v="4K Home Projector"/>
    <x v="1"/>
    <x v="21"/>
    <x v="48"/>
    <n v="465.34"/>
    <n v="301"/>
    <s v="Martinez-Mullins"/>
    <x v="1"/>
    <x v="2"/>
    <n v="2552.3015999999998"/>
  </r>
  <r>
    <s v="CUST1405"/>
    <x v="15"/>
    <s v="PROD48"/>
    <s v="Eric Wolfe"/>
    <n v="18"/>
    <x v="1"/>
    <x v="390"/>
    <s v="Louisiana"/>
    <x v="3"/>
    <s v="Car Dashboard Phone Holder"/>
    <x v="1"/>
    <x v="1"/>
    <x v="43"/>
    <n v="177.98"/>
    <n v="103"/>
    <s v="Black-Horn"/>
    <x v="1"/>
    <x v="1"/>
    <n v="300.2022"/>
  </r>
  <r>
    <s v="CUST1406"/>
    <x v="10"/>
    <s v="PROD16"/>
    <s v="David Lozano"/>
    <n v="23"/>
    <x v="1"/>
    <x v="391"/>
    <s v="Wisconsin"/>
    <x v="3"/>
    <s v="Beard Grooming Kit"/>
    <x v="0"/>
    <x v="17"/>
    <x v="30"/>
    <n v="337.42"/>
    <n v="256"/>
    <s v="Martinez, Adkins and Johnson"/>
    <x v="2"/>
    <x v="0"/>
    <n v="339.27080000000001"/>
  </r>
  <r>
    <s v="CUST1407"/>
    <x v="5"/>
    <s v="PROD70"/>
    <s v="Joseph Mendoza"/>
    <n v="33"/>
    <x v="0"/>
    <x v="392"/>
    <s v="Maryland"/>
    <x v="3"/>
    <s v="Kitchen Storage Rack"/>
    <x v="2"/>
    <x v="13"/>
    <x v="20"/>
    <n v="138.05000000000001"/>
    <n v="89"/>
    <s v="Shelton PLC"/>
    <x v="2"/>
    <x v="0"/>
    <n v="1048.1238000000001"/>
  </r>
  <r>
    <s v="CUST1408"/>
    <x v="12"/>
    <s v="PROD31"/>
    <s v="Isabel Foster"/>
    <n v="36"/>
    <x v="0"/>
    <x v="393"/>
    <s v="New Jersey"/>
    <x v="3"/>
    <s v="Basketball"/>
    <x v="3"/>
    <x v="8"/>
    <x v="11"/>
    <n v="204.39"/>
    <n v="281"/>
    <s v="Hill, Wagner and Ballard"/>
    <x v="3"/>
    <x v="2"/>
    <n v="180.93530000000001"/>
  </r>
  <r>
    <s v="CUST1409"/>
    <x v="13"/>
    <s v="PROD97"/>
    <s v="Sarah Smith"/>
    <n v="55"/>
    <x v="0"/>
    <x v="394"/>
    <s v="Wyoming"/>
    <x v="3"/>
    <s v="Cricket Bat"/>
    <x v="3"/>
    <x v="8"/>
    <x v="33"/>
    <n v="245.98"/>
    <n v="471"/>
    <s v="Johnson-Wright"/>
    <x v="2"/>
    <x v="1"/>
    <n v="198.41640000000001"/>
  </r>
  <r>
    <s v="CUST1410"/>
    <x v="1"/>
    <s v="PROD96"/>
    <s v="Jackie Thompson"/>
    <n v="48"/>
    <x v="1"/>
    <x v="395"/>
    <s v="New Jersey"/>
    <x v="1"/>
    <s v="Women's Formal Blazer"/>
    <x v="4"/>
    <x v="15"/>
    <x v="87"/>
    <n v="358.47"/>
    <n v="143"/>
    <s v="Mcdonald Inc"/>
    <x v="1"/>
    <x v="1"/>
    <n v="2681.3406"/>
  </r>
  <r>
    <s v="CUST1411"/>
    <x v="5"/>
    <s v="PROD18"/>
    <s v="Katrina Perez"/>
    <n v="63"/>
    <x v="0"/>
    <x v="396"/>
    <s v="Ohio"/>
    <x v="2"/>
    <s v="Women's Denim Jeans"/>
    <x v="4"/>
    <x v="11"/>
    <x v="15"/>
    <n v="303.75"/>
    <n v="343"/>
    <s v="Shelton PLC"/>
    <x v="2"/>
    <x v="0"/>
    <n v="116.23139999999999"/>
  </r>
  <r>
    <s v="CUST1412"/>
    <x v="3"/>
    <s v="PROD53"/>
    <s v="Shane Brown"/>
    <n v="23"/>
    <x v="1"/>
    <x v="53"/>
    <s v="Michigan"/>
    <x v="3"/>
    <s v="Men's Track Pants"/>
    <x v="4"/>
    <x v="11"/>
    <x v="95"/>
    <n v="386.56"/>
    <n v="125"/>
    <s v="Thomas, Bridges and Harris"/>
    <x v="2"/>
    <x v="2"/>
    <n v="288.98239999999998"/>
  </r>
  <r>
    <s v="CUST1413"/>
    <x v="1"/>
    <s v="PROD70"/>
    <s v="Megan Ryan"/>
    <n v="59"/>
    <x v="1"/>
    <x v="397"/>
    <s v="Idaho"/>
    <x v="1"/>
    <s v="Kitchen Storage Rack"/>
    <x v="2"/>
    <x v="13"/>
    <x v="20"/>
    <n v="138.05000000000001"/>
    <n v="89"/>
    <s v="Mcdonald Inc"/>
    <x v="1"/>
    <x v="1"/>
    <n v="445.80599999999998"/>
  </r>
  <r>
    <s v="CUST1414"/>
    <x v="6"/>
    <s v="PROD4"/>
    <s v="Melissa Valentine"/>
    <n v="35"/>
    <x v="1"/>
    <x v="398"/>
    <s v="Missouri"/>
    <x v="3"/>
    <s v="Women's Yoga Pants"/>
    <x v="4"/>
    <x v="11"/>
    <x v="91"/>
    <n v="306.45999999999998"/>
    <n v="487"/>
    <s v="Aguirre-Keller"/>
    <x v="1"/>
    <x v="2"/>
    <n v="646.29599999999994"/>
  </r>
  <r>
    <s v="CUST1415"/>
    <x v="18"/>
    <s v="PROD79"/>
    <s v="Tyler Cook"/>
    <n v="26"/>
    <x v="1"/>
    <x v="399"/>
    <s v="Alaska"/>
    <x v="2"/>
    <s v="Decorative Lamp Shade"/>
    <x v="2"/>
    <x v="2"/>
    <x v="2"/>
    <n v="228.53"/>
    <n v="469"/>
    <s v="Martinez-Mullins"/>
    <x v="1"/>
    <x v="2"/>
    <n v="1620.8255999999999"/>
  </r>
  <r>
    <s v="CUST1416"/>
    <x v="6"/>
    <s v="PROD49"/>
    <s v="Jennifer Myers"/>
    <n v="46"/>
    <x v="0"/>
    <x v="400"/>
    <s v="Wisconsin"/>
    <x v="0"/>
    <s v="Men's Roll-On Perfume"/>
    <x v="0"/>
    <x v="22"/>
    <x v="49"/>
    <n v="43.29"/>
    <n v="267"/>
    <s v="Aguirre-Keller"/>
    <x v="1"/>
    <x v="2"/>
    <n v="783.59400000000005"/>
  </r>
  <r>
    <s v="CUST1417"/>
    <x v="5"/>
    <s v="PROD97"/>
    <s v="Karen King"/>
    <n v="64"/>
    <x v="1"/>
    <x v="401"/>
    <s v="North Carolina"/>
    <x v="1"/>
    <s v="Cricket Bat"/>
    <x v="3"/>
    <x v="8"/>
    <x v="33"/>
    <n v="245.98"/>
    <n v="471"/>
    <s v="Shelton PLC"/>
    <x v="2"/>
    <x v="0"/>
    <n v="1501.152"/>
  </r>
  <r>
    <s v="CUST1418"/>
    <x v="8"/>
    <s v="PROD89"/>
    <s v="Luke Parks"/>
    <n v="60"/>
    <x v="1"/>
    <x v="402"/>
    <s v="New Hampshire"/>
    <x v="2"/>
    <s v="Face Foundation Kit"/>
    <x v="0"/>
    <x v="4"/>
    <x v="65"/>
    <n v="183.04"/>
    <n v="457"/>
    <s v="Guerrero-Schmitt"/>
    <x v="3"/>
    <x v="0"/>
    <n v="165.31710000000001"/>
  </r>
  <r>
    <s v="CUST1419"/>
    <x v="9"/>
    <s v="PROD3"/>
    <s v="Monica Miller"/>
    <n v="33"/>
    <x v="0"/>
    <x v="403"/>
    <s v="Mississippi"/>
    <x v="3"/>
    <s v="Men's Running Jacket"/>
    <x v="4"/>
    <x v="15"/>
    <x v="23"/>
    <n v="364.67"/>
    <n v="452"/>
    <s v="Bean, Jones and Park"/>
    <x v="0"/>
    <x v="2"/>
    <n v="2404.8024"/>
  </r>
  <r>
    <s v="CUST1420"/>
    <x v="0"/>
    <s v="PROD21"/>
    <s v="Dr. Tamara White Md"/>
    <n v="60"/>
    <x v="0"/>
    <x v="404"/>
    <s v="North Carolina"/>
    <x v="1"/>
    <s v="Multi-Purpose Storage Box"/>
    <x v="2"/>
    <x v="13"/>
    <x v="45"/>
    <n v="123.46"/>
    <n v="76"/>
    <s v="Frederick-Wright"/>
    <x v="0"/>
    <x v="0"/>
    <n v="707.77440000000013"/>
  </r>
  <r>
    <s v="CUST1421"/>
    <x v="9"/>
    <s v="PROD81"/>
    <s v="Holly Robinson"/>
    <n v="45"/>
    <x v="1"/>
    <x v="405"/>
    <s v="Washington"/>
    <x v="0"/>
    <s v="Badminton Racket Set"/>
    <x v="3"/>
    <x v="5"/>
    <x v="81"/>
    <n v="285.54000000000002"/>
    <n v="358"/>
    <s v="Bean, Jones and Park"/>
    <x v="0"/>
    <x v="2"/>
    <n v="65.729200000000006"/>
  </r>
  <r>
    <s v="CUST1422"/>
    <x v="15"/>
    <s v="PROD49"/>
    <s v="Brittany Edwards Dds"/>
    <n v="42"/>
    <x v="1"/>
    <x v="406"/>
    <s v="Kansas"/>
    <x v="0"/>
    <s v="Men's Roll-On Perfume"/>
    <x v="0"/>
    <x v="22"/>
    <x v="49"/>
    <n v="43.29"/>
    <n v="267"/>
    <s v="Black-Horn"/>
    <x v="1"/>
    <x v="1"/>
    <n v="2952.5216"/>
  </r>
  <r>
    <s v="CUST1423"/>
    <x v="0"/>
    <s v="PROD13"/>
    <s v="Rebecca Baker"/>
    <n v="35"/>
    <x v="0"/>
    <x v="407"/>
    <s v="Kansas"/>
    <x v="2"/>
    <s v="USB-C Fast Charger"/>
    <x v="1"/>
    <x v="1"/>
    <x v="21"/>
    <n v="242.23"/>
    <n v="453"/>
    <s v="Frederick-Wright"/>
    <x v="0"/>
    <x v="0"/>
    <n v="1706.1695999999999"/>
  </r>
  <r>
    <s v="CUST1424"/>
    <x v="1"/>
    <s v="PROD92"/>
    <s v="Edwin Barnes"/>
    <n v="53"/>
    <x v="0"/>
    <x v="408"/>
    <s v="North Carolina"/>
    <x v="1"/>
    <s v="Microwave Oven"/>
    <x v="2"/>
    <x v="21"/>
    <x v="60"/>
    <n v="447.43"/>
    <n v="191"/>
    <s v="Mcdonald Inc"/>
    <x v="1"/>
    <x v="1"/>
    <n v="922.20749999999987"/>
  </r>
  <r>
    <s v="CUST1425"/>
    <x v="12"/>
    <s v="PROD75"/>
    <s v="Bryce Hawkins"/>
    <n v="40"/>
    <x v="0"/>
    <x v="409"/>
    <s v="Utah"/>
    <x v="1"/>
    <s v="Women's Ankle Boots"/>
    <x v="4"/>
    <x v="20"/>
    <x v="68"/>
    <n v="158.13999999999999"/>
    <n v="82"/>
    <s v="Hill, Wagner and Ballard"/>
    <x v="3"/>
    <x v="2"/>
    <n v="2240.7020000000002"/>
  </r>
  <r>
    <s v="CUST1426"/>
    <x v="12"/>
    <s v="PROD63"/>
    <s v="Jeanette Nichols"/>
    <n v="28"/>
    <x v="0"/>
    <x v="410"/>
    <s v="North Carolina"/>
    <x v="0"/>
    <s v="Organic Sunscreen Lotion"/>
    <x v="0"/>
    <x v="0"/>
    <x v="0"/>
    <n v="266.86"/>
    <n v="458"/>
    <s v="Hill, Wagner and Ballard"/>
    <x v="3"/>
    <x v="2"/>
    <n v="359.61380000000003"/>
  </r>
  <r>
    <s v="CUST1427"/>
    <x v="19"/>
    <s v="PROD53"/>
    <s v="Jose Stewart"/>
    <n v="18"/>
    <x v="1"/>
    <x v="411"/>
    <s v="Maine"/>
    <x v="3"/>
    <s v="Men's Track Pants"/>
    <x v="4"/>
    <x v="11"/>
    <x v="95"/>
    <n v="386.56"/>
    <n v="125"/>
    <s v="Gray Ltd"/>
    <x v="2"/>
    <x v="1"/>
    <n v="1349.0568000000001"/>
  </r>
  <r>
    <s v="CUST1428"/>
    <x v="13"/>
    <s v="PROD63"/>
    <s v="Samuel Mullins"/>
    <n v="27"/>
    <x v="1"/>
    <x v="412"/>
    <s v="Louisiana"/>
    <x v="1"/>
    <s v="Organic Sunscreen Lotion"/>
    <x v="0"/>
    <x v="0"/>
    <x v="0"/>
    <n v="266.86"/>
    <n v="458"/>
    <s v="Johnson-Wright"/>
    <x v="2"/>
    <x v="1"/>
    <n v="1301.6094000000001"/>
  </r>
  <r>
    <s v="CUST1430"/>
    <x v="7"/>
    <s v="PROD87"/>
    <s v="Kimberly Roberts"/>
    <n v="36"/>
    <x v="1"/>
    <x v="413"/>
    <s v="New Jersey"/>
    <x v="3"/>
    <s v="LED Bedside Lamp"/>
    <x v="2"/>
    <x v="2"/>
    <x v="85"/>
    <n v="371.38"/>
    <n v="220"/>
    <s v="Gardner, Humphrey and Contreras"/>
    <x v="3"/>
    <x v="0"/>
    <n v="2280.0509999999999"/>
  </r>
  <r>
    <s v="CUST1431"/>
    <x v="13"/>
    <s v="PROD94"/>
    <s v="John Smith"/>
    <n v="27"/>
    <x v="0"/>
    <x v="414"/>
    <s v="California"/>
    <x v="0"/>
    <s v="Vitamin E Body Lotion"/>
    <x v="0"/>
    <x v="0"/>
    <x v="52"/>
    <n v="358.47"/>
    <n v="213"/>
    <s v="Johnson-Wright"/>
    <x v="2"/>
    <x v="1"/>
    <n v="1105.3432"/>
  </r>
  <r>
    <s v="CUST1432"/>
    <x v="7"/>
    <s v="PROD16"/>
    <s v="Summer Weiss"/>
    <n v="37"/>
    <x v="0"/>
    <x v="415"/>
    <s v="New Jersey"/>
    <x v="1"/>
    <s v="Beard Grooming Kit"/>
    <x v="0"/>
    <x v="17"/>
    <x v="30"/>
    <n v="337.42"/>
    <n v="256"/>
    <s v="Gardner, Humphrey and Contreras"/>
    <x v="3"/>
    <x v="0"/>
    <n v="815.07200000000012"/>
  </r>
  <r>
    <s v="CUST1433"/>
    <x v="4"/>
    <s v="PROD64"/>
    <s v="Thomas Moore"/>
    <n v="51"/>
    <x v="1"/>
    <x v="416"/>
    <s v="New York"/>
    <x v="2"/>
    <s v="Matte Lipstick Set"/>
    <x v="0"/>
    <x v="4"/>
    <x v="42"/>
    <n v="299.11"/>
    <n v="118"/>
    <s v="Alexander Group"/>
    <x v="1"/>
    <x v="2"/>
    <n v="2337.75"/>
  </r>
  <r>
    <s v="CUST1434"/>
    <x v="9"/>
    <s v="PROD13"/>
    <s v="Monique Castro"/>
    <n v="48"/>
    <x v="1"/>
    <x v="417"/>
    <s v="Indiana"/>
    <x v="3"/>
    <s v="USB-C Fast Charger"/>
    <x v="1"/>
    <x v="1"/>
    <x v="21"/>
    <n v="242.23"/>
    <n v="453"/>
    <s v="Bean, Jones and Park"/>
    <x v="0"/>
    <x v="2"/>
    <n v="2829.7228"/>
  </r>
  <r>
    <s v="CUST1435"/>
    <x v="11"/>
    <s v="PROD36"/>
    <s v="Lindsay Beasley"/>
    <n v="37"/>
    <x v="1"/>
    <x v="418"/>
    <s v="Idaho"/>
    <x v="2"/>
    <s v="Women's Summer Dress"/>
    <x v="4"/>
    <x v="16"/>
    <x v="75"/>
    <n v="223.43"/>
    <n v="154"/>
    <s v="Moore, Padilla and Butler"/>
    <x v="1"/>
    <x v="0"/>
    <n v="2509.4591999999998"/>
  </r>
  <r>
    <s v="CUST1436"/>
    <x v="8"/>
    <s v="PROD52"/>
    <s v="Sharon Simpson"/>
    <n v="61"/>
    <x v="0"/>
    <x v="419"/>
    <s v="South Dakota"/>
    <x v="3"/>
    <s v="Rugby Ball"/>
    <x v="3"/>
    <x v="8"/>
    <x v="54"/>
    <n v="212.26"/>
    <n v="82"/>
    <s v="Guerrero-Schmitt"/>
    <x v="3"/>
    <x v="0"/>
    <n v="70.924799999999991"/>
  </r>
  <r>
    <s v="CUST1437"/>
    <x v="19"/>
    <s v="PROD88"/>
    <s v="Melinda Rivera"/>
    <n v="47"/>
    <x v="1"/>
    <x v="177"/>
    <s v="New Hampshire"/>
    <x v="0"/>
    <s v="Sports Wrist Sweatbands"/>
    <x v="3"/>
    <x v="1"/>
    <x v="47"/>
    <n v="131.24"/>
    <n v="232"/>
    <s v="Gray Ltd"/>
    <x v="2"/>
    <x v="1"/>
    <n v="374.34539999999998"/>
  </r>
  <r>
    <s v="CUST1438"/>
    <x v="3"/>
    <s v="PROD63"/>
    <s v="Monica Flynn"/>
    <n v="59"/>
    <x v="1"/>
    <x v="420"/>
    <s v="Tennessee"/>
    <x v="0"/>
    <s v="Organic Sunscreen Lotion"/>
    <x v="0"/>
    <x v="0"/>
    <x v="0"/>
    <n v="266.86"/>
    <n v="458"/>
    <s v="Thomas, Bridges and Harris"/>
    <x v="2"/>
    <x v="2"/>
    <n v="831.92750000000001"/>
  </r>
  <r>
    <s v="CUST1439"/>
    <x v="10"/>
    <s v="PROD20"/>
    <s v="John Compton"/>
    <n v="53"/>
    <x v="0"/>
    <x v="285"/>
    <s v="Michigan"/>
    <x v="2"/>
    <s v="Outdoor Sports Water Bottle"/>
    <x v="3"/>
    <x v="1"/>
    <x v="82"/>
    <n v="131.51"/>
    <n v="199"/>
    <s v="Martinez, Adkins and Johnson"/>
    <x v="2"/>
    <x v="0"/>
    <n v="1867.9205999999999"/>
  </r>
  <r>
    <s v="CUST1440"/>
    <x v="13"/>
    <s v="PROD64"/>
    <s v="Tammy Trevino"/>
    <n v="60"/>
    <x v="0"/>
    <x v="421"/>
    <s v="North Dakota"/>
    <x v="2"/>
    <s v="Matte Lipstick Set"/>
    <x v="0"/>
    <x v="4"/>
    <x v="42"/>
    <n v="299.11"/>
    <n v="118"/>
    <s v="Johnson-Wright"/>
    <x v="2"/>
    <x v="1"/>
    <n v="729.07759999999996"/>
  </r>
  <r>
    <s v="CUST1441"/>
    <x v="10"/>
    <s v="PROD44"/>
    <s v="Dalton Walters"/>
    <n v="31"/>
    <x v="0"/>
    <x v="422"/>
    <s v="Wisconsin"/>
    <x v="2"/>
    <s v="Adjustable Jump Rope"/>
    <x v="3"/>
    <x v="12"/>
    <x v="76"/>
    <n v="167.12"/>
    <n v="316"/>
    <s v="Martinez, Adkins and Johnson"/>
    <x v="2"/>
    <x v="0"/>
    <n v="1643.4792"/>
  </r>
  <r>
    <s v="CUST1442"/>
    <x v="16"/>
    <s v="PROD56"/>
    <s v="Kelli Smith"/>
    <n v="42"/>
    <x v="1"/>
    <x v="423"/>
    <s v="Oregon"/>
    <x v="1"/>
    <s v="Premium Blanket Throw"/>
    <x v="2"/>
    <x v="7"/>
    <x v="16"/>
    <n v="461.47"/>
    <n v="190"/>
    <s v="Mann-Austin"/>
    <x v="3"/>
    <x v="2"/>
    <n v="417.00839999999999"/>
  </r>
  <r>
    <s v="CUST1443"/>
    <x v="0"/>
    <s v="PROD34"/>
    <s v="Adam Castro"/>
    <n v="51"/>
    <x v="0"/>
    <x v="424"/>
    <s v="Texas"/>
    <x v="2"/>
    <s v="Gaming Mechanical Keyboard"/>
    <x v="1"/>
    <x v="3"/>
    <x v="59"/>
    <n v="419.28"/>
    <n v="86"/>
    <s v="Frederick-Wright"/>
    <x v="0"/>
    <x v="0"/>
    <n v="443.66"/>
  </r>
  <r>
    <s v="CUST1444"/>
    <x v="14"/>
    <s v="PROD10"/>
    <s v="Cheryl Carr"/>
    <n v="19"/>
    <x v="0"/>
    <x v="425"/>
    <s v="Wyoming"/>
    <x v="3"/>
    <s v="Ceramic Kitchen Bowl Set"/>
    <x v="2"/>
    <x v="6"/>
    <x v="57"/>
    <n v="298.86"/>
    <n v="308"/>
    <s v="Benson-Elliott"/>
    <x v="3"/>
    <x v="2"/>
    <n v="1799.55"/>
  </r>
  <r>
    <s v="CUST1445"/>
    <x v="4"/>
    <s v="PROD2"/>
    <s v="Gene Lee"/>
    <n v="41"/>
    <x v="1"/>
    <x v="426"/>
    <s v="Virginia"/>
    <x v="0"/>
    <s v="Women's Casual Hoodie"/>
    <x v="4"/>
    <x v="15"/>
    <x v="61"/>
    <n v="296.83"/>
    <n v="352"/>
    <s v="Alexander Group"/>
    <x v="1"/>
    <x v="2"/>
    <n v="341.31200000000001"/>
  </r>
  <r>
    <s v="CUST1446"/>
    <x v="4"/>
    <s v="PROD31"/>
    <s v="Shannon Turner"/>
    <n v="35"/>
    <x v="0"/>
    <x v="427"/>
    <s v="Oklahoma"/>
    <x v="2"/>
    <s v="Basketball"/>
    <x v="3"/>
    <x v="8"/>
    <x v="11"/>
    <n v="204.39"/>
    <n v="281"/>
    <s v="Alexander Group"/>
    <x v="1"/>
    <x v="2"/>
    <n v="2724.32"/>
  </r>
  <r>
    <s v="CUST1447"/>
    <x v="2"/>
    <s v="PROD42"/>
    <s v="Monica Wright"/>
    <n v="45"/>
    <x v="0"/>
    <x v="428"/>
    <s v="North Carolina"/>
    <x v="3"/>
    <s v="Smart Home WiFi Camera"/>
    <x v="1"/>
    <x v="1"/>
    <x v="88"/>
    <n v="450.71"/>
    <n v="389"/>
    <s v="Holloway Ltd"/>
    <x v="2"/>
    <x v="0"/>
    <n v="339.42459999999988"/>
  </r>
  <r>
    <s v="CUST1448"/>
    <x v="14"/>
    <s v="PROD81"/>
    <s v="Eric Holmes"/>
    <n v="64"/>
    <x v="1"/>
    <x v="429"/>
    <s v="Wyoming"/>
    <x v="1"/>
    <s v="Badminton Racket Set"/>
    <x v="3"/>
    <x v="5"/>
    <x v="81"/>
    <n v="285.54000000000002"/>
    <n v="358"/>
    <s v="Benson-Elliott"/>
    <x v="3"/>
    <x v="2"/>
    <n v="381.95639999999997"/>
  </r>
  <r>
    <s v="CUST1449"/>
    <x v="16"/>
    <s v="PROD98"/>
    <s v="William Cortez"/>
    <n v="29"/>
    <x v="0"/>
    <x v="430"/>
    <s v="Ohio"/>
    <x v="1"/>
    <s v="Portable Bluetooth Speaker"/>
    <x v="1"/>
    <x v="10"/>
    <x v="66"/>
    <n v="431.67"/>
    <n v="73"/>
    <s v="Mann-Austin"/>
    <x v="3"/>
    <x v="2"/>
    <n v="494.56799999999998"/>
  </r>
  <r>
    <s v="CUST1450"/>
    <x v="6"/>
    <s v="PROD63"/>
    <s v="Shane Mills"/>
    <n v="59"/>
    <x v="0"/>
    <x v="431"/>
    <s v="Nebraska"/>
    <x v="1"/>
    <s v="Organic Sunscreen Lotion"/>
    <x v="0"/>
    <x v="0"/>
    <x v="0"/>
    <n v="266.86"/>
    <n v="458"/>
    <s v="Aguirre-Keller"/>
    <x v="1"/>
    <x v="2"/>
    <n v="2299.5983999999999"/>
  </r>
  <r>
    <s v="CUST1451"/>
    <x v="10"/>
    <s v="PROD90"/>
    <s v="Ashley Roberts"/>
    <n v="46"/>
    <x v="0"/>
    <x v="167"/>
    <s v="New Mexico"/>
    <x v="3"/>
    <s v="Gaming Mouse Pad XL"/>
    <x v="1"/>
    <x v="1"/>
    <x v="34"/>
    <n v="340.14"/>
    <n v="361"/>
    <s v="Martinez, Adkins and Johnson"/>
    <x v="2"/>
    <x v="0"/>
    <n v="326.25599999999997"/>
  </r>
  <r>
    <s v="CUST1452"/>
    <x v="18"/>
    <s v="PROD59"/>
    <s v="Jeffery Wolf"/>
    <n v="60"/>
    <x v="1"/>
    <x v="432"/>
    <s v="Mississippi"/>
    <x v="1"/>
    <s v="Men's Hair Styling Gel"/>
    <x v="0"/>
    <x v="18"/>
    <x v="70"/>
    <n v="17.309999999999999"/>
    <n v="399"/>
    <s v="Martinez-Mullins"/>
    <x v="1"/>
    <x v="2"/>
    <n v="2509.1999999999998"/>
  </r>
  <r>
    <s v="CUST1453"/>
    <x v="14"/>
    <s v="PROD12"/>
    <s v="April Phillips"/>
    <n v="62"/>
    <x v="1"/>
    <x v="433"/>
    <s v="Hawaii"/>
    <x v="0"/>
    <s v="Hair Strengthening Shampoo"/>
    <x v="0"/>
    <x v="18"/>
    <x v="71"/>
    <n v="115.82"/>
    <n v="460"/>
    <s v="Benson-Elliott"/>
    <x v="3"/>
    <x v="2"/>
    <n v="1219.4269999999999"/>
  </r>
  <r>
    <s v="CUST1454"/>
    <x v="8"/>
    <s v="PROD60"/>
    <s v="John Berg"/>
    <n v="60"/>
    <x v="0"/>
    <x v="31"/>
    <s v="Oklahoma"/>
    <x v="3"/>
    <s v="Luxury Perfume Spray"/>
    <x v="0"/>
    <x v="22"/>
    <x v="51"/>
    <n v="482.75"/>
    <n v="444"/>
    <s v="Guerrero-Schmitt"/>
    <x v="3"/>
    <x v="0"/>
    <n v="953.38679999999999"/>
  </r>
  <r>
    <s v="CUST1455"/>
    <x v="12"/>
    <s v="PROD83"/>
    <s v="Tyler Weber"/>
    <n v="54"/>
    <x v="0"/>
    <x v="434"/>
    <s v="Illinois"/>
    <x v="3"/>
    <s v="Hydrating Face Cleanser"/>
    <x v="0"/>
    <x v="0"/>
    <x v="56"/>
    <n v="305.49"/>
    <n v="159"/>
    <s v="Hill, Wagner and Ballard"/>
    <x v="3"/>
    <x v="2"/>
    <n v="776.50559999999996"/>
  </r>
  <r>
    <s v="CUST1456"/>
    <x v="7"/>
    <s v="PROD88"/>
    <s v="Julie Powell"/>
    <n v="59"/>
    <x v="1"/>
    <x v="435"/>
    <s v="Arkansas"/>
    <x v="3"/>
    <s v="Sports Wrist Sweatbands"/>
    <x v="3"/>
    <x v="1"/>
    <x v="47"/>
    <n v="131.24"/>
    <n v="232"/>
    <s v="Gardner, Humphrey and Contreras"/>
    <x v="3"/>
    <x v="0"/>
    <n v="1697.3016"/>
  </r>
  <r>
    <s v="CUST1457"/>
    <x v="5"/>
    <s v="PROD43"/>
    <s v="Christina Robertson"/>
    <n v="59"/>
    <x v="0"/>
    <x v="436"/>
    <s v="Kentucky"/>
    <x v="0"/>
    <s v="USB External Hard Drive"/>
    <x v="1"/>
    <x v="3"/>
    <x v="86"/>
    <n v="253.33"/>
    <n v="266"/>
    <s v="Shelton PLC"/>
    <x v="2"/>
    <x v="0"/>
    <n v="1686.4275"/>
  </r>
  <r>
    <s v="CUST1458"/>
    <x v="1"/>
    <s v="PROD2"/>
    <s v="Kelly Garrett"/>
    <n v="62"/>
    <x v="1"/>
    <x v="437"/>
    <s v="Pennsylvania"/>
    <x v="2"/>
    <s v="Women's Casual Hoodie"/>
    <x v="4"/>
    <x v="15"/>
    <x v="61"/>
    <n v="296.83"/>
    <n v="352"/>
    <s v="Mcdonald Inc"/>
    <x v="1"/>
    <x v="1"/>
    <n v="2799.0720000000001"/>
  </r>
  <r>
    <s v="CUST1459"/>
    <x v="5"/>
    <s v="PROD54"/>
    <s v="John Perez"/>
    <n v="29"/>
    <x v="1"/>
    <x v="438"/>
    <s v="South Carolina"/>
    <x v="3"/>
    <s v="Sports Stopwatch Pro"/>
    <x v="3"/>
    <x v="1"/>
    <x v="83"/>
    <n v="434.84"/>
    <n v="185"/>
    <s v="Shelton PLC"/>
    <x v="2"/>
    <x v="0"/>
    <n v="977.04880000000014"/>
  </r>
  <r>
    <s v="CUST1460"/>
    <x v="4"/>
    <s v="PROD15"/>
    <s v="Justin Johnson"/>
    <n v="35"/>
    <x v="0"/>
    <x v="439"/>
    <s v="Iowa"/>
    <x v="3"/>
    <s v="4K Home Projector"/>
    <x v="1"/>
    <x v="21"/>
    <x v="48"/>
    <n v="465.34"/>
    <n v="301"/>
    <s v="Alexander Group"/>
    <x v="1"/>
    <x v="2"/>
    <n v="1017.7704"/>
  </r>
  <r>
    <s v="CUST1461"/>
    <x v="13"/>
    <s v="PROD65"/>
    <s v="Paul Cox"/>
    <n v="60"/>
    <x v="1"/>
    <x v="440"/>
    <s v="Kansas"/>
    <x v="2"/>
    <s v="Adjustable Dumbbells 20kg"/>
    <x v="3"/>
    <x v="12"/>
    <x v="63"/>
    <n v="240.63"/>
    <n v="423"/>
    <s v="Johnson-Wright"/>
    <x v="2"/>
    <x v="1"/>
    <n v="808.65719999999999"/>
  </r>
  <r>
    <s v="CUST1462"/>
    <x v="7"/>
    <s v="PROD33"/>
    <s v="Beth Martin"/>
    <n v="34"/>
    <x v="1"/>
    <x v="441"/>
    <s v="West Virginia"/>
    <x v="2"/>
    <s v="Modern Wall Clock"/>
    <x v="2"/>
    <x v="7"/>
    <x v="10"/>
    <n v="179.77"/>
    <n v="305"/>
    <s v="Gardner, Humphrey and Contreras"/>
    <x v="3"/>
    <x v="0"/>
    <n v="137.49600000000001"/>
  </r>
  <r>
    <s v="CUST1463"/>
    <x v="18"/>
    <s v="PROD8"/>
    <s v="Samantha Lee"/>
    <n v="36"/>
    <x v="1"/>
    <x v="442"/>
    <s v="Connecticut"/>
    <x v="1"/>
    <s v="Wireless Bluetooth Earbuds"/>
    <x v="1"/>
    <x v="10"/>
    <x v="69"/>
    <n v="439.07"/>
    <n v="142"/>
    <s v="Martinez-Mullins"/>
    <x v="1"/>
    <x v="2"/>
    <n v="641.41"/>
  </r>
  <r>
    <s v="CUST1464"/>
    <x v="17"/>
    <s v="PROD33"/>
    <s v="David Pierce"/>
    <n v="45"/>
    <x v="1"/>
    <x v="443"/>
    <s v="Washington"/>
    <x v="0"/>
    <s v="Modern Wall Clock"/>
    <x v="2"/>
    <x v="7"/>
    <x v="10"/>
    <n v="179.77"/>
    <n v="305"/>
    <s v="Rivera-Warner"/>
    <x v="3"/>
    <x v="0"/>
    <n v="1344.6818000000001"/>
  </r>
  <r>
    <s v="CUST1465"/>
    <x v="9"/>
    <s v="PROD67"/>
    <s v="Ronald Ross"/>
    <n v="28"/>
    <x v="1"/>
    <x v="444"/>
    <s v="North Carolina"/>
    <x v="2"/>
    <s v="Smart LED Light Strip"/>
    <x v="1"/>
    <x v="1"/>
    <x v="7"/>
    <n v="349.17"/>
    <n v="476"/>
    <s v="Bean, Jones and Park"/>
    <x v="0"/>
    <x v="2"/>
    <n v="1731.4914000000001"/>
  </r>
  <r>
    <s v="CUST1466"/>
    <x v="16"/>
    <s v="PROD48"/>
    <s v="Cynthia Parrish"/>
    <n v="18"/>
    <x v="0"/>
    <x v="445"/>
    <s v="Minnesota"/>
    <x v="2"/>
    <s v="Car Dashboard Phone Holder"/>
    <x v="1"/>
    <x v="1"/>
    <x v="43"/>
    <n v="177.98"/>
    <n v="103"/>
    <s v="Mann-Austin"/>
    <x v="3"/>
    <x v="2"/>
    <n v="2181.4650000000011"/>
  </r>
  <r>
    <s v="CUST1467"/>
    <x v="2"/>
    <s v="PROD74"/>
    <s v="Michael Foley"/>
    <n v="63"/>
    <x v="1"/>
    <x v="446"/>
    <s v="Vermont"/>
    <x v="3"/>
    <s v="Bluetooth Car Audio System"/>
    <x v="1"/>
    <x v="10"/>
    <x v="37"/>
    <n v="403.71"/>
    <n v="159"/>
    <s v="Holloway Ltd"/>
    <x v="2"/>
    <x v="0"/>
    <n v="228.7893"/>
  </r>
  <r>
    <s v="CUST1468"/>
    <x v="19"/>
    <s v="PROD75"/>
    <s v="Gregory Curtis"/>
    <n v="45"/>
    <x v="0"/>
    <x v="447"/>
    <s v="Vermont"/>
    <x v="1"/>
    <s v="Women's Ankle Boots"/>
    <x v="4"/>
    <x v="20"/>
    <x v="68"/>
    <n v="158.13999999999999"/>
    <n v="82"/>
    <s v="Gray Ltd"/>
    <x v="2"/>
    <x v="1"/>
    <n v="1384.2239999999999"/>
  </r>
  <r>
    <s v="CUST1469"/>
    <x v="5"/>
    <s v="PROD45"/>
    <s v="James Foster"/>
    <n v="19"/>
    <x v="0"/>
    <x v="448"/>
    <s v="Utah"/>
    <x v="3"/>
    <s v="High-Grip Football"/>
    <x v="3"/>
    <x v="8"/>
    <x v="35"/>
    <n v="318.91000000000003"/>
    <n v="114"/>
    <s v="Shelton PLC"/>
    <x v="2"/>
    <x v="0"/>
    <n v="456.4948"/>
  </r>
  <r>
    <s v="CUST1470"/>
    <x v="9"/>
    <s v="PROD59"/>
    <s v="Manuel Fisher"/>
    <n v="21"/>
    <x v="1"/>
    <x v="449"/>
    <s v="New Hampshire"/>
    <x v="3"/>
    <s v="Men's Hair Styling Gel"/>
    <x v="0"/>
    <x v="18"/>
    <x v="70"/>
    <n v="17.309999999999999"/>
    <n v="399"/>
    <s v="Bean, Jones and Park"/>
    <x v="0"/>
    <x v="2"/>
    <n v="1050.5039999999999"/>
  </r>
  <r>
    <s v="CUST1471"/>
    <x v="12"/>
    <s v="PROD17"/>
    <s v="Debra Mccullough"/>
    <n v="42"/>
    <x v="0"/>
    <x v="450"/>
    <s v="Montana"/>
    <x v="0"/>
    <s v="Soccer Training Cone Set"/>
    <x v="3"/>
    <x v="1"/>
    <x v="38"/>
    <n v="144.53"/>
    <n v="367"/>
    <s v="Hill, Wagner and Ballard"/>
    <x v="3"/>
    <x v="2"/>
    <n v="111.96120000000001"/>
  </r>
  <r>
    <s v="CUST1472"/>
    <x v="11"/>
    <s v="PROD34"/>
    <s v="Philip Mendoza"/>
    <n v="42"/>
    <x v="0"/>
    <x v="451"/>
    <s v="Massachusetts"/>
    <x v="2"/>
    <s v="Gaming Mechanical Keyboard"/>
    <x v="1"/>
    <x v="3"/>
    <x v="59"/>
    <n v="419.28"/>
    <n v="86"/>
    <s v="Moore, Padilla and Butler"/>
    <x v="1"/>
    <x v="0"/>
    <n v="859.7808"/>
  </r>
  <r>
    <s v="CUST1473"/>
    <x v="14"/>
    <s v="PROD50"/>
    <s v="Laura Mathews"/>
    <n v="53"/>
    <x v="0"/>
    <x v="452"/>
    <s v="Wisconsin"/>
    <x v="1"/>
    <s v="Boxing Hand Wraps"/>
    <x v="3"/>
    <x v="12"/>
    <x v="92"/>
    <n v="190.29"/>
    <n v="260"/>
    <s v="Benson-Elliott"/>
    <x v="3"/>
    <x v="2"/>
    <n v="201.59700000000001"/>
  </r>
  <r>
    <s v="CUST1474"/>
    <x v="8"/>
    <s v="PROD99"/>
    <s v="Joshua Howard"/>
    <n v="32"/>
    <x v="1"/>
    <x v="453"/>
    <s v="South Dakota"/>
    <x v="0"/>
    <s v="Stainless Steel Cookware Set"/>
    <x v="2"/>
    <x v="6"/>
    <x v="44"/>
    <n v="201.41"/>
    <n v="146"/>
    <s v="Guerrero-Schmitt"/>
    <x v="3"/>
    <x v="0"/>
    <n v="846.98459999999989"/>
  </r>
  <r>
    <s v="CUST1475"/>
    <x v="4"/>
    <s v="PROD73"/>
    <s v="Barbara Berry"/>
    <n v="18"/>
    <x v="1"/>
    <x v="111"/>
    <s v="Vermont"/>
    <x v="0"/>
    <s v="Shin Guards – Adult"/>
    <x v="3"/>
    <x v="8"/>
    <x v="55"/>
    <n v="107.06"/>
    <n v="359"/>
    <s v="Alexander Group"/>
    <x v="1"/>
    <x v="2"/>
    <n v="2168.64"/>
  </r>
  <r>
    <s v="CUST1476"/>
    <x v="12"/>
    <s v="PROD69"/>
    <s v="Elizabeth Foster"/>
    <n v="33"/>
    <x v="1"/>
    <x v="454"/>
    <s v="Oklahoma"/>
    <x v="3"/>
    <s v="Men's Sports Shorts"/>
    <x v="4"/>
    <x v="11"/>
    <x v="77"/>
    <n v="218.22"/>
    <n v="224"/>
    <s v="Hill, Wagner and Ballard"/>
    <x v="3"/>
    <x v="2"/>
    <n v="2850.1122"/>
  </r>
  <r>
    <s v="CUST1477"/>
    <x v="0"/>
    <s v="PROD76"/>
    <s v="Andrea Harris"/>
    <n v="41"/>
    <x v="1"/>
    <x v="455"/>
    <s v="Kansas"/>
    <x v="0"/>
    <s v="Wireless Mouse"/>
    <x v="1"/>
    <x v="3"/>
    <x v="19"/>
    <n v="392.89"/>
    <n v="320"/>
    <s v="Frederick-Wright"/>
    <x v="0"/>
    <x v="0"/>
    <n v="2148.2759999999989"/>
  </r>
  <r>
    <s v="CUST1478"/>
    <x v="3"/>
    <s v="PROD39"/>
    <s v="Earl Smith Dds"/>
    <n v="59"/>
    <x v="0"/>
    <x v="456"/>
    <s v="South Dakota"/>
    <x v="3"/>
    <s v="Portable Power Bank"/>
    <x v="1"/>
    <x v="19"/>
    <x v="40"/>
    <n v="326.06"/>
    <n v="301"/>
    <s v="Thomas, Bridges and Harris"/>
    <x v="2"/>
    <x v="2"/>
    <n v="2089.8951000000002"/>
  </r>
  <r>
    <s v="CUST1479"/>
    <x v="10"/>
    <s v="PROD74"/>
    <s v="Dylan Gutierrez"/>
    <n v="40"/>
    <x v="0"/>
    <x v="457"/>
    <s v="West Virginia"/>
    <x v="1"/>
    <s v="Bluetooth Car Audio System"/>
    <x v="1"/>
    <x v="10"/>
    <x v="37"/>
    <n v="403.71"/>
    <n v="159"/>
    <s v="Martinez, Adkins and Johnson"/>
    <x v="2"/>
    <x v="0"/>
    <n v="1475.0916"/>
  </r>
  <r>
    <s v="CUST1480"/>
    <x v="13"/>
    <s v="PROD65"/>
    <s v="Jordan Medina"/>
    <n v="33"/>
    <x v="0"/>
    <x v="458"/>
    <s v="Florida"/>
    <x v="1"/>
    <s v="Adjustable Dumbbells 20kg"/>
    <x v="3"/>
    <x v="12"/>
    <x v="63"/>
    <n v="240.63"/>
    <n v="423"/>
    <s v="Johnson-Wright"/>
    <x v="2"/>
    <x v="1"/>
    <n v="774.18000000000006"/>
  </r>
  <r>
    <s v="CUST1481"/>
    <x v="1"/>
    <s v="PROD62"/>
    <s v="Bryan Tran"/>
    <n v="21"/>
    <x v="0"/>
    <x v="459"/>
    <s v="Georgia"/>
    <x v="3"/>
    <s v="Laptop Cooling Pad"/>
    <x v="1"/>
    <x v="3"/>
    <x v="29"/>
    <n v="86.42"/>
    <n v="222"/>
    <s v="Mcdonald Inc"/>
    <x v="1"/>
    <x v="1"/>
    <n v="1625.2544"/>
  </r>
  <r>
    <s v="CUST1482"/>
    <x v="15"/>
    <s v="PROD68"/>
    <s v="Sheri Joyce"/>
    <n v="26"/>
    <x v="0"/>
    <x v="460"/>
    <s v="Kentucky"/>
    <x v="0"/>
    <s v="Wooden Nightstand"/>
    <x v="2"/>
    <x v="14"/>
    <x v="22"/>
    <n v="243.7"/>
    <n v="130"/>
    <s v="Black-Horn"/>
    <x v="1"/>
    <x v="1"/>
    <n v="497.76479999999998"/>
  </r>
  <r>
    <s v="CUST1483"/>
    <x v="15"/>
    <s v="PROD12"/>
    <s v="Sarah Smith"/>
    <n v="48"/>
    <x v="0"/>
    <x v="461"/>
    <s v="Nevada"/>
    <x v="3"/>
    <s v="Hair Strengthening Shampoo"/>
    <x v="0"/>
    <x v="18"/>
    <x v="71"/>
    <n v="115.82"/>
    <n v="460"/>
    <s v="Black-Horn"/>
    <x v="1"/>
    <x v="1"/>
    <n v="791.33600000000001"/>
  </r>
  <r>
    <s v="CUST1484"/>
    <x v="8"/>
    <s v="PROD77"/>
    <s v="Jessica Castro"/>
    <n v="32"/>
    <x v="0"/>
    <x v="462"/>
    <s v="Massachusetts"/>
    <x v="1"/>
    <s v="WiFi Mesh Router"/>
    <x v="1"/>
    <x v="21"/>
    <x v="84"/>
    <n v="480.9"/>
    <n v="104"/>
    <s v="Guerrero-Schmitt"/>
    <x v="3"/>
    <x v="0"/>
    <n v="1741.5192"/>
  </r>
  <r>
    <s v="CUST1485"/>
    <x v="15"/>
    <s v="PROD26"/>
    <s v="Sara Ingram"/>
    <n v="46"/>
    <x v="1"/>
    <x v="463"/>
    <s v="Virginia"/>
    <x v="1"/>
    <s v="Wireless Bluetooth Speaker"/>
    <x v="1"/>
    <x v="10"/>
    <x v="14"/>
    <n v="322.41000000000003"/>
    <n v="213"/>
    <s v="Black-Horn"/>
    <x v="1"/>
    <x v="1"/>
    <n v="1068.2460000000001"/>
  </r>
  <r>
    <s v="CUST1486"/>
    <x v="2"/>
    <s v="PROD40"/>
    <s v="Eric Lee"/>
    <n v="22"/>
    <x v="1"/>
    <x v="464"/>
    <s v="Vermont"/>
    <x v="1"/>
    <s v="Noise-Canceling Headphones"/>
    <x v="1"/>
    <x v="10"/>
    <x v="64"/>
    <n v="38.520000000000003"/>
    <n v="378"/>
    <s v="Holloway Ltd"/>
    <x v="2"/>
    <x v="0"/>
    <n v="1730.1479999999999"/>
  </r>
  <r>
    <s v="CUST1488"/>
    <x v="3"/>
    <s v="PROD78"/>
    <s v="Zachary Andrade"/>
    <n v="23"/>
    <x v="1"/>
    <x v="465"/>
    <s v="California"/>
    <x v="0"/>
    <s v="Essential Oil Diffuser"/>
    <x v="2"/>
    <x v="7"/>
    <x v="9"/>
    <n v="325.26"/>
    <n v="400"/>
    <s v="Thomas, Bridges and Harris"/>
    <x v="2"/>
    <x v="2"/>
    <n v="216.44739999999999"/>
  </r>
  <r>
    <s v="CUST1489"/>
    <x v="13"/>
    <s v="PROD89"/>
    <s v="Melinda Thomas"/>
    <n v="42"/>
    <x v="1"/>
    <x v="466"/>
    <s v="Indiana"/>
    <x v="2"/>
    <s v="Face Foundation Kit"/>
    <x v="0"/>
    <x v="4"/>
    <x v="65"/>
    <n v="183.04"/>
    <n v="457"/>
    <s v="Johnson-Wright"/>
    <x v="2"/>
    <x v="1"/>
    <n v="678.84100000000001"/>
  </r>
  <r>
    <s v="CUST1490"/>
    <x v="0"/>
    <s v="PROD47"/>
    <s v="Scott Harris"/>
    <n v="23"/>
    <x v="0"/>
    <x v="467"/>
    <s v="Maryland"/>
    <x v="0"/>
    <s v="Makeup Brush Set"/>
    <x v="0"/>
    <x v="4"/>
    <x v="4"/>
    <n v="241.07"/>
    <n v="431"/>
    <s v="Frederick-Wright"/>
    <x v="0"/>
    <x v="0"/>
    <n v="177.19200000000001"/>
  </r>
  <r>
    <s v="CUST1491"/>
    <x v="15"/>
    <s v="PROD9"/>
    <s v="Kaitlin Brown"/>
    <n v="52"/>
    <x v="1"/>
    <x v="468"/>
    <s v="South Dakota"/>
    <x v="3"/>
    <s v="Adjustable Dumbbell Set"/>
    <x v="3"/>
    <x v="12"/>
    <x v="93"/>
    <n v="495.72"/>
    <n v="323"/>
    <s v="Black-Horn"/>
    <x v="1"/>
    <x v="1"/>
    <n v="275.36079999999998"/>
  </r>
  <r>
    <s v="CUST1492"/>
    <x v="2"/>
    <s v="PROD10"/>
    <s v="Darrell Miller"/>
    <n v="59"/>
    <x v="1"/>
    <x v="469"/>
    <s v="Florida"/>
    <x v="0"/>
    <s v="Ceramic Kitchen Bowl Set"/>
    <x v="2"/>
    <x v="6"/>
    <x v="57"/>
    <n v="298.86"/>
    <n v="308"/>
    <s v="Holloway Ltd"/>
    <x v="2"/>
    <x v="0"/>
    <n v="266.65440000000001"/>
  </r>
  <r>
    <s v="CUST1493"/>
    <x v="19"/>
    <s v="PROD59"/>
    <s v="Amanda Powell"/>
    <n v="28"/>
    <x v="0"/>
    <x v="18"/>
    <s v="Alabama"/>
    <x v="2"/>
    <s v="Men's Hair Styling Gel"/>
    <x v="0"/>
    <x v="18"/>
    <x v="70"/>
    <n v="17.309999999999999"/>
    <n v="399"/>
    <s v="Gray Ltd"/>
    <x v="2"/>
    <x v="1"/>
    <n v="1833.4380000000001"/>
  </r>
  <r>
    <s v="CUST1494"/>
    <x v="2"/>
    <s v="PROD28"/>
    <s v="Justin Lopez"/>
    <n v="21"/>
    <x v="0"/>
    <x v="470"/>
    <s v="Texas"/>
    <x v="3"/>
    <s v="Sports Stopwatch Timer"/>
    <x v="3"/>
    <x v="1"/>
    <x v="32"/>
    <n v="38.76"/>
    <n v="137"/>
    <s v="Holloway Ltd"/>
    <x v="2"/>
    <x v="0"/>
    <n v="1026.048"/>
  </r>
  <r>
    <s v="CUST1495"/>
    <x v="5"/>
    <s v="PROD61"/>
    <s v="James Berger"/>
    <n v="23"/>
    <x v="1"/>
    <x v="471"/>
    <s v="Delaware"/>
    <x v="1"/>
    <s v="Tennis Ball 3-Pack"/>
    <x v="3"/>
    <x v="5"/>
    <x v="5"/>
    <n v="103.45"/>
    <n v="465"/>
    <s v="Shelton PLC"/>
    <x v="2"/>
    <x v="0"/>
    <n v="1495.74"/>
  </r>
  <r>
    <s v="CUST1496"/>
    <x v="6"/>
    <s v="PROD51"/>
    <s v="Christopher Ford"/>
    <n v="56"/>
    <x v="0"/>
    <x v="472"/>
    <s v="Ohio"/>
    <x v="1"/>
    <s v="HDMI Cable – 2m"/>
    <x v="1"/>
    <x v="1"/>
    <x v="1"/>
    <n v="88.49"/>
    <n v="246"/>
    <s v="Aguirre-Keller"/>
    <x v="1"/>
    <x v="2"/>
    <n v="850.29750000000001"/>
  </r>
  <r>
    <s v="CUST1497"/>
    <x v="11"/>
    <s v="PROD33"/>
    <s v="Sarah Marsh"/>
    <n v="47"/>
    <x v="1"/>
    <x v="473"/>
    <s v="New York"/>
    <x v="3"/>
    <s v="Modern Wall Clock"/>
    <x v="2"/>
    <x v="7"/>
    <x v="10"/>
    <n v="179.77"/>
    <n v="305"/>
    <s v="Moore, Padilla and Butler"/>
    <x v="1"/>
    <x v="0"/>
    <n v="1656.395"/>
  </r>
  <r>
    <s v="CUST1498"/>
    <x v="14"/>
    <s v="PROD8"/>
    <s v="Traci Gonzalez"/>
    <n v="35"/>
    <x v="0"/>
    <x v="474"/>
    <s v="New Mexico"/>
    <x v="2"/>
    <s v="Wireless Bluetooth Earbuds"/>
    <x v="1"/>
    <x v="10"/>
    <x v="69"/>
    <n v="439.07"/>
    <n v="142"/>
    <s v="Benson-Elliott"/>
    <x v="3"/>
    <x v="2"/>
    <n v="803.9944999999999"/>
  </r>
  <r>
    <s v="CUST1499"/>
    <x v="9"/>
    <s v="PROD55"/>
    <s v="Philip Pennington"/>
    <n v="27"/>
    <x v="1"/>
    <x v="475"/>
    <s v="Oregon"/>
    <x v="0"/>
    <s v="Ceramic Plant Pot"/>
    <x v="2"/>
    <x v="7"/>
    <x v="73"/>
    <n v="81.75"/>
    <n v="331"/>
    <s v="Bean, Jones and Park"/>
    <x v="0"/>
    <x v="2"/>
    <n v="75.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AE4E91-831E-49D4-8DE6-7800696F73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Wise Stocks">
  <location ref="A17:B38" firstHeaderRow="1" firstDataRow="1" firstDataCol="1"/>
  <pivotFields count="19">
    <pivotField showAll="0"/>
    <pivotField axis="axisRow" showAll="0" sortType="ascending">
      <items count="21">
        <item x="17"/>
        <item x="10"/>
        <item x="12"/>
        <item x="6"/>
        <item x="3"/>
        <item x="7"/>
        <item x="1"/>
        <item x="5"/>
        <item x="0"/>
        <item x="2"/>
        <item x="8"/>
        <item x="16"/>
        <item x="15"/>
        <item x="13"/>
        <item x="4"/>
        <item x="19"/>
        <item x="14"/>
        <item x="18"/>
        <item x="9"/>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0"/>
        <item x="2"/>
        <item x="1"/>
        <item t="default"/>
      </items>
    </pivotField>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tock" fld="14"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FB731-AE18-498A-B02A-D144529674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ore Type Wise Sales">
  <location ref="A11:B15"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s>
  <rowFields count="1">
    <field x="17"/>
  </rowFields>
  <rowItems count="4">
    <i>
      <x/>
    </i>
    <i>
      <x v="1"/>
    </i>
    <i>
      <x v="2"/>
    </i>
    <i t="grand">
      <x/>
    </i>
  </rowItems>
  <colItems count="1">
    <i/>
  </colItems>
  <dataFields count="1">
    <dataField name="Sum of Total Amount" fld="18" baseField="0" baseItem="0"/>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0"/>
          </reference>
        </references>
      </pivotArea>
    </chartFormat>
    <chartFormat chart="5" format="7">
      <pivotArea type="data" outline="0" fieldPosition="0">
        <references count="2">
          <reference field="4294967294" count="1" selected="0">
            <x v="0"/>
          </reference>
          <reference field="17" count="1" selected="0">
            <x v="1"/>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 chart="3" format="1">
      <pivotArea type="data" outline="0" fieldPosition="0">
        <references count="2">
          <reference field="4294967294" count="1" selected="0">
            <x v="0"/>
          </reference>
          <reference field="17" count="1" selected="0">
            <x v="0"/>
          </reference>
        </references>
      </pivotArea>
    </chartFormat>
    <chartFormat chart="3" format="2">
      <pivotArea type="data" outline="0" fieldPosition="0">
        <references count="2">
          <reference field="4294967294" count="1" selected="0">
            <x v="0"/>
          </reference>
          <reference field="17" count="1" selected="0">
            <x v="1"/>
          </reference>
        </references>
      </pivotArea>
    </chartFormat>
    <chartFormat chart="3"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C1673-7C16-4F32-BA8E-D23243FE19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Wise Sales">
  <location ref="A3:B9" firstHeaderRow="1" firstDataRow="1" firstDataCol="1"/>
  <pivotFields count="19">
    <pivotField showAll="0"/>
    <pivotField showAll="0"/>
    <pivotField showAll="0"/>
    <pivotField showAll="0"/>
    <pivotField showAll="0"/>
    <pivotField showAll="0">
      <items count="3">
        <item x="1"/>
        <item x="0"/>
        <item t="default"/>
      </items>
    </pivotField>
    <pivotField showAll="0"/>
    <pivotField showAll="0"/>
    <pivotField showAll="0"/>
    <pivotField showAll="0"/>
    <pivotField axis="axisRow" showAll="0">
      <items count="6">
        <item x="0"/>
        <item x="4"/>
        <item x="1"/>
        <item x="2"/>
        <item x="3"/>
        <item t="default"/>
      </items>
    </pivotField>
    <pivotField showAll="0"/>
    <pivotField showAll="0"/>
    <pivotField showAll="0"/>
    <pivotField showAll="0"/>
    <pivotField showAll="0"/>
    <pivotField showAll="0"/>
    <pivotField showAll="0">
      <items count="4">
        <item x="0"/>
        <item x="2"/>
        <item x="1"/>
        <item t="default"/>
      </items>
    </pivotField>
    <pivotField dataField="1" showAll="0"/>
  </pivotFields>
  <rowFields count="1">
    <field x="10"/>
  </rowFields>
  <rowItems count="6">
    <i>
      <x/>
    </i>
    <i>
      <x v="1"/>
    </i>
    <i>
      <x v="2"/>
    </i>
    <i>
      <x v="3"/>
    </i>
    <i>
      <x v="4"/>
    </i>
    <i t="grand">
      <x/>
    </i>
  </rowItems>
  <colItems count="1">
    <i/>
  </colItems>
  <dataFields count="1">
    <dataField name="Sum of Total Amount" fld="18"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4"/>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2"/>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C06B8B-F74B-4808-9D76-69B711E463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1:H15" firstHeaderRow="1" firstDataRow="2" firstDataCol="1"/>
  <pivotFields count="19">
    <pivotField showAll="0"/>
    <pivotField showAll="0"/>
    <pivotField showAll="0"/>
    <pivotField showAll="0"/>
    <pivotField showAll="0"/>
    <pivotField axis="axisRow" showAll="0">
      <items count="3">
        <item x="1"/>
        <item x="0"/>
        <item t="default"/>
      </items>
    </pivotField>
    <pivotField showAll="0"/>
    <pivotField showAll="0"/>
    <pivotField showAll="0">
      <items count="5">
        <item x="1"/>
        <item x="3"/>
        <item x="0"/>
        <item x="2"/>
        <item t="default"/>
      </items>
    </pivotField>
    <pivotField showAll="0"/>
    <pivotField showAll="0"/>
    <pivotField showAll="0"/>
    <pivotField showAll="0"/>
    <pivotField showAll="0"/>
    <pivotField showAll="0"/>
    <pivotField showAll="0"/>
    <pivotField showAll="0"/>
    <pivotField axis="axisCol" showAll="0">
      <items count="4">
        <item x="0"/>
        <item x="2"/>
        <item x="1"/>
        <item t="default"/>
      </items>
    </pivotField>
    <pivotField dataField="1" showAll="0"/>
  </pivotFields>
  <rowFields count="1">
    <field x="5"/>
  </rowFields>
  <rowItems count="3">
    <i>
      <x/>
    </i>
    <i>
      <x v="1"/>
    </i>
    <i t="grand">
      <x/>
    </i>
  </rowItems>
  <colFields count="1">
    <field x="17"/>
  </colFields>
  <colItems count="4">
    <i>
      <x/>
    </i>
    <i>
      <x v="1"/>
    </i>
    <i>
      <x v="2"/>
    </i>
    <i t="grand">
      <x/>
    </i>
  </colItems>
  <dataFields count="1">
    <dataField name="Average of Total Amount" fld="18" subtotal="average" baseField="5" baseItem="1"/>
  </dataField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2" format="6" series="1">
      <pivotArea type="data" outline="0" fieldPosition="0">
        <references count="2">
          <reference field="4294967294" count="1" selected="0">
            <x v="0"/>
          </reference>
          <reference field="17" count="1" selected="0">
            <x v="0"/>
          </reference>
        </references>
      </pivotArea>
    </chartFormat>
    <chartFormat chart="2" format="7" series="1">
      <pivotArea type="data" outline="0" fieldPosition="0">
        <references count="2">
          <reference field="4294967294" count="1" selected="0">
            <x v="0"/>
          </reference>
          <reference field="17" count="1" selected="0">
            <x v="1"/>
          </reference>
        </references>
      </pivotArea>
    </chartFormat>
    <chartFormat chart="2"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41655E-1455-4843-B08C-38E6200CF1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Wise Average Sales">
  <location ref="D3:E8" firstHeaderRow="1" firstDataRow="1" firstDataCol="1"/>
  <pivotFields count="19">
    <pivotField showAll="0"/>
    <pivotField showAll="0"/>
    <pivotField showAll="0"/>
    <pivotField showAll="0"/>
    <pivotField showAll="0"/>
    <pivotField showAll="0"/>
    <pivotField showAll="0">
      <items count="477">
        <item x="216"/>
        <item x="129"/>
        <item x="224"/>
        <item x="410"/>
        <item x="406"/>
        <item x="332"/>
        <item x="187"/>
        <item x="420"/>
        <item x="30"/>
        <item x="173"/>
        <item x="350"/>
        <item x="397"/>
        <item x="370"/>
        <item x="304"/>
        <item x="454"/>
        <item x="392"/>
        <item x="87"/>
        <item x="85"/>
        <item x="171"/>
        <item x="125"/>
        <item x="447"/>
        <item x="221"/>
        <item x="386"/>
        <item x="438"/>
        <item x="17"/>
        <item x="66"/>
        <item x="37"/>
        <item x="302"/>
        <item x="303"/>
        <item x="38"/>
        <item x="202"/>
        <item x="471"/>
        <item x="441"/>
        <item x="174"/>
        <item x="382"/>
        <item x="163"/>
        <item x="333"/>
        <item x="365"/>
        <item x="452"/>
        <item x="384"/>
        <item x="44"/>
        <item x="54"/>
        <item x="144"/>
        <item x="316"/>
        <item x="198"/>
        <item x="227"/>
        <item x="284"/>
        <item x="210"/>
        <item x="39"/>
        <item x="379"/>
        <item x="48"/>
        <item x="235"/>
        <item x="56"/>
        <item x="6"/>
        <item x="378"/>
        <item x="162"/>
        <item x="324"/>
        <item x="0"/>
        <item x="141"/>
        <item x="5"/>
        <item x="405"/>
        <item x="53"/>
        <item x="448"/>
        <item x="453"/>
        <item x="218"/>
        <item x="177"/>
        <item x="463"/>
        <item x="113"/>
        <item x="127"/>
        <item x="86"/>
        <item x="29"/>
        <item x="219"/>
        <item x="172"/>
        <item x="293"/>
        <item x="211"/>
        <item x="440"/>
        <item x="183"/>
        <item x="11"/>
        <item x="105"/>
        <item x="315"/>
        <item x="349"/>
        <item x="26"/>
        <item x="398"/>
        <item x="154"/>
        <item x="252"/>
        <item x="461"/>
        <item x="475"/>
        <item x="434"/>
        <item x="267"/>
        <item x="214"/>
        <item x="55"/>
        <item x="262"/>
        <item x="269"/>
        <item x="445"/>
        <item x="153"/>
        <item x="367"/>
        <item x="157"/>
        <item x="32"/>
        <item x="194"/>
        <item x="276"/>
        <item x="243"/>
        <item x="390"/>
        <item x="83"/>
        <item x="207"/>
        <item x="272"/>
        <item x="134"/>
        <item x="19"/>
        <item x="258"/>
        <item x="225"/>
        <item x="443"/>
        <item x="50"/>
        <item x="344"/>
        <item x="380"/>
        <item x="444"/>
        <item x="412"/>
        <item x="234"/>
        <item x="159"/>
        <item x="436"/>
        <item x="328"/>
        <item x="439"/>
        <item x="179"/>
        <item x="150"/>
        <item x="249"/>
        <item x="61"/>
        <item x="372"/>
        <item x="425"/>
        <item x="318"/>
        <item x="300"/>
        <item x="323"/>
        <item x="199"/>
        <item x="188"/>
        <item x="31"/>
        <item x="330"/>
        <item x="422"/>
        <item x="377"/>
        <item x="413"/>
        <item x="167"/>
        <item x="421"/>
        <item x="449"/>
        <item x="251"/>
        <item x="394"/>
        <item x="121"/>
        <item x="204"/>
        <item x="357"/>
        <item x="468"/>
        <item x="317"/>
        <item x="355"/>
        <item x="459"/>
        <item x="401"/>
        <item x="185"/>
        <item x="399"/>
        <item x="2"/>
        <item x="408"/>
        <item x="311"/>
        <item x="340"/>
        <item x="331"/>
        <item x="464"/>
        <item x="74"/>
        <item x="184"/>
        <item x="374"/>
        <item x="91"/>
        <item x="287"/>
        <item x="433"/>
        <item x="292"/>
        <item x="250"/>
        <item x="201"/>
        <item x="120"/>
        <item x="403"/>
        <item x="466"/>
        <item x="186"/>
        <item x="306"/>
        <item x="354"/>
        <item x="205"/>
        <item x="97"/>
        <item x="14"/>
        <item x="388"/>
        <item x="228"/>
        <item x="431"/>
        <item x="290"/>
        <item x="111"/>
        <item x="409"/>
        <item x="145"/>
        <item x="270"/>
        <item x="47"/>
        <item x="189"/>
        <item x="255"/>
        <item x="20"/>
        <item x="149"/>
        <item x="96"/>
        <item x="242"/>
        <item x="119"/>
        <item x="15"/>
        <item x="387"/>
        <item x="81"/>
        <item x="73"/>
        <item x="36"/>
        <item x="208"/>
        <item x="400"/>
        <item x="248"/>
        <item x="206"/>
        <item x="128"/>
        <item x="217"/>
        <item x="8"/>
        <item x="450"/>
        <item x="426"/>
        <item x="9"/>
        <item x="352"/>
        <item x="143"/>
        <item x="22"/>
        <item x="241"/>
        <item x="280"/>
        <item x="360"/>
        <item x="23"/>
        <item x="27"/>
        <item x="308"/>
        <item x="41"/>
        <item x="169"/>
        <item x="57"/>
        <item x="212"/>
        <item x="273"/>
        <item x="176"/>
        <item x="353"/>
        <item x="366"/>
        <item x="347"/>
        <item x="49"/>
        <item x="93"/>
        <item x="256"/>
        <item x="339"/>
        <item x="220"/>
        <item x="13"/>
        <item x="404"/>
        <item x="146"/>
        <item x="178"/>
        <item x="244"/>
        <item x="28"/>
        <item x="375"/>
        <item x="109"/>
        <item x="200"/>
        <item x="424"/>
        <item x="385"/>
        <item x="88"/>
        <item x="457"/>
        <item x="165"/>
        <item x="135"/>
        <item x="117"/>
        <item x="351"/>
        <item x="168"/>
        <item x="288"/>
        <item x="51"/>
        <item x="158"/>
        <item x="407"/>
        <item x="59"/>
        <item x="432"/>
        <item x="151"/>
        <item x="197"/>
        <item x="247"/>
        <item x="296"/>
        <item x="322"/>
        <item x="417"/>
        <item x="79"/>
        <item x="236"/>
        <item x="112"/>
        <item x="4"/>
        <item x="82"/>
        <item x="78"/>
        <item x="142"/>
        <item x="268"/>
        <item x="195"/>
        <item x="282"/>
        <item x="213"/>
        <item x="99"/>
        <item x="114"/>
        <item x="68"/>
        <item x="285"/>
        <item x="115"/>
        <item x="118"/>
        <item x="136"/>
        <item x="345"/>
        <item x="45"/>
        <item x="335"/>
        <item x="254"/>
        <item x="281"/>
        <item x="274"/>
        <item x="106"/>
        <item x="116"/>
        <item x="12"/>
        <item x="321"/>
        <item x="182"/>
        <item x="155"/>
        <item x="230"/>
        <item x="423"/>
        <item x="161"/>
        <item x="373"/>
        <item x="326"/>
        <item x="391"/>
        <item x="286"/>
        <item x="467"/>
        <item x="237"/>
        <item x="312"/>
        <item x="346"/>
        <item x="278"/>
        <item x="266"/>
        <item x="122"/>
        <item x="341"/>
        <item x="77"/>
        <item x="472"/>
        <item x="264"/>
        <item x="356"/>
        <item x="76"/>
        <item x="371"/>
        <item x="71"/>
        <item x="446"/>
        <item x="152"/>
        <item x="160"/>
        <item x="383"/>
        <item x="133"/>
        <item x="277"/>
        <item x="428"/>
        <item x="337"/>
        <item x="46"/>
        <item x="215"/>
        <item x="1"/>
        <item x="415"/>
        <item x="222"/>
        <item x="190"/>
        <item x="442"/>
        <item x="469"/>
        <item x="305"/>
        <item x="470"/>
        <item x="245"/>
        <item x="361"/>
        <item x="336"/>
        <item x="139"/>
        <item x="301"/>
        <item x="148"/>
        <item x="430"/>
        <item x="180"/>
        <item x="294"/>
        <item x="101"/>
        <item x="393"/>
        <item x="63"/>
        <item x="232"/>
        <item x="69"/>
        <item x="223"/>
        <item x="271"/>
        <item x="10"/>
        <item x="170"/>
        <item x="364"/>
        <item x="342"/>
        <item x="181"/>
        <item x="437"/>
        <item x="279"/>
        <item x="137"/>
        <item x="92"/>
        <item x="104"/>
        <item x="473"/>
        <item x="263"/>
        <item x="299"/>
        <item x="307"/>
        <item x="35"/>
        <item x="166"/>
        <item x="246"/>
        <item x="458"/>
        <item x="110"/>
        <item x="239"/>
        <item x="75"/>
        <item x="24"/>
        <item x="261"/>
        <item x="42"/>
        <item x="327"/>
        <item x="257"/>
        <item x="72"/>
        <item x="298"/>
        <item x="191"/>
        <item x="60"/>
        <item x="338"/>
        <item x="363"/>
        <item x="100"/>
        <item x="21"/>
        <item x="108"/>
        <item x="429"/>
        <item x="58"/>
        <item x="474"/>
        <item x="65"/>
        <item x="90"/>
        <item x="414"/>
        <item x="389"/>
        <item x="229"/>
        <item x="164"/>
        <item x="435"/>
        <item x="138"/>
        <item x="369"/>
        <item x="16"/>
        <item x="310"/>
        <item x="80"/>
        <item x="465"/>
        <item x="98"/>
        <item x="395"/>
        <item x="203"/>
        <item x="260"/>
        <item x="320"/>
        <item x="103"/>
        <item x="196"/>
        <item x="253"/>
        <item x="156"/>
        <item x="43"/>
        <item x="419"/>
        <item x="126"/>
        <item x="240"/>
        <item x="411"/>
        <item x="70"/>
        <item x="52"/>
        <item x="18"/>
        <item x="314"/>
        <item x="275"/>
        <item x="329"/>
        <item x="62"/>
        <item x="376"/>
        <item x="381"/>
        <item x="231"/>
        <item x="226"/>
        <item x="192"/>
        <item x="131"/>
        <item x="3"/>
        <item x="319"/>
        <item x="95"/>
        <item x="33"/>
        <item x="451"/>
        <item x="25"/>
        <item x="362"/>
        <item x="107"/>
        <item x="265"/>
        <item x="418"/>
        <item x="283"/>
        <item x="94"/>
        <item x="140"/>
        <item x="325"/>
        <item x="359"/>
        <item x="291"/>
        <item x="89"/>
        <item x="175"/>
        <item x="124"/>
        <item x="259"/>
        <item x="368"/>
        <item x="193"/>
        <item x="67"/>
        <item x="348"/>
        <item x="427"/>
        <item x="295"/>
        <item x="238"/>
        <item x="455"/>
        <item x="102"/>
        <item x="402"/>
        <item x="147"/>
        <item x="209"/>
        <item x="462"/>
        <item x="358"/>
        <item x="309"/>
        <item x="7"/>
        <item x="297"/>
        <item x="396"/>
        <item x="34"/>
        <item x="289"/>
        <item x="456"/>
        <item x="132"/>
        <item x="84"/>
        <item x="460"/>
        <item x="334"/>
        <item x="343"/>
        <item x="313"/>
        <item x="130"/>
        <item x="416"/>
        <item x="40"/>
        <item x="123"/>
        <item x="64"/>
        <item x="233"/>
        <item t="default"/>
      </items>
    </pivotField>
    <pivotField showAll="0"/>
    <pivotField showAll="0"/>
    <pivotField showAll="0"/>
    <pivotField showAll="0">
      <items count="6">
        <item x="0"/>
        <item x="4"/>
        <item x="1"/>
        <item x="2"/>
        <item x="3"/>
        <item t="default"/>
      </items>
    </pivotField>
    <pivotField showAll="0">
      <items count="24">
        <item x="1"/>
        <item x="21"/>
        <item x="10"/>
        <item x="11"/>
        <item x="3"/>
        <item x="7"/>
        <item x="5"/>
        <item x="12"/>
        <item x="20"/>
        <item x="22"/>
        <item x="14"/>
        <item x="17"/>
        <item x="18"/>
        <item x="6"/>
        <item x="2"/>
        <item x="4"/>
        <item x="19"/>
        <item x="9"/>
        <item x="15"/>
        <item x="0"/>
        <item x="13"/>
        <item x="8"/>
        <item x="16"/>
        <item t="default"/>
      </items>
    </pivotField>
    <pivotField showAll="0">
      <items count="101">
        <item x="85"/>
        <item x="18"/>
        <item x="0"/>
        <item x="62"/>
        <item x="26"/>
        <item x="1"/>
        <item x="35"/>
        <item x="67"/>
        <item x="37"/>
        <item x="32"/>
        <item x="56"/>
        <item x="43"/>
        <item x="44"/>
        <item x="17"/>
        <item x="70"/>
        <item x="53"/>
        <item x="4"/>
        <item x="13"/>
        <item x="76"/>
        <item x="40"/>
        <item x="97"/>
        <item x="78"/>
        <item x="21"/>
        <item x="20"/>
        <item x="30"/>
        <item x="77"/>
        <item x="39"/>
        <item x="7"/>
        <item x="66"/>
        <item x="38"/>
        <item x="55"/>
        <item x="45"/>
        <item x="51"/>
        <item x="79"/>
        <item x="91"/>
        <item x="60"/>
        <item x="58"/>
        <item x="15"/>
        <item x="57"/>
        <item x="95"/>
        <item x="72"/>
        <item x="54"/>
        <item x="73"/>
        <item x="9"/>
        <item x="16"/>
        <item x="93"/>
        <item x="90"/>
        <item x="52"/>
        <item x="46"/>
        <item x="88"/>
        <item x="94"/>
        <item x="3"/>
        <item x="28"/>
        <item x="31"/>
        <item x="33"/>
        <item x="12"/>
        <item x="19"/>
        <item x="5"/>
        <item x="59"/>
        <item x="99"/>
        <item x="6"/>
        <item x="80"/>
        <item x="63"/>
        <item x="41"/>
        <item x="29"/>
        <item x="11"/>
        <item x="47"/>
        <item x="69"/>
        <item x="87"/>
        <item x="23"/>
        <item x="68"/>
        <item x="2"/>
        <item x="14"/>
        <item x="98"/>
        <item x="71"/>
        <item x="89"/>
        <item x="86"/>
        <item x="81"/>
        <item x="34"/>
        <item x="96"/>
        <item x="61"/>
        <item x="50"/>
        <item x="74"/>
        <item x="92"/>
        <item x="75"/>
        <item x="82"/>
        <item x="8"/>
        <item x="49"/>
        <item x="27"/>
        <item x="65"/>
        <item x="64"/>
        <item x="25"/>
        <item x="48"/>
        <item x="83"/>
        <item x="36"/>
        <item x="10"/>
        <item x="84"/>
        <item x="24"/>
        <item x="22"/>
        <item x="42"/>
        <item t="default"/>
      </items>
    </pivotField>
    <pivotField showAll="0"/>
    <pivotField showAll="0"/>
    <pivotField showAll="0"/>
    <pivotField axis="axisRow" showAll="0">
      <items count="5">
        <item x="3"/>
        <item x="2"/>
        <item x="1"/>
        <item x="0"/>
        <item t="default"/>
      </items>
    </pivotField>
    <pivotField showAll="0">
      <items count="4">
        <item x="0"/>
        <item x="2"/>
        <item x="1"/>
        <item t="default"/>
      </items>
    </pivotField>
    <pivotField dataField="1" showAll="0"/>
  </pivotFields>
  <rowFields count="1">
    <field x="16"/>
  </rowFields>
  <rowItems count="5">
    <i>
      <x/>
    </i>
    <i>
      <x v="1"/>
    </i>
    <i>
      <x v="2"/>
    </i>
    <i>
      <x v="3"/>
    </i>
    <i t="grand">
      <x/>
    </i>
  </rowItems>
  <colItems count="1">
    <i/>
  </colItems>
  <dataFields count="1">
    <dataField name="Average of Total Amount" fld="18" subtotal="average" baseField="1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A153D6-84FA-4A35-A67D-C750436FA171}" sourceName="Gender">
  <pivotTables>
    <pivotTable tabId="7" name="PivotTable1"/>
  </pivotTables>
  <data>
    <tabular pivotCacheId="776662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AD08D-B4F2-49B1-9166-B70B23DE00B6}" sourceName="Region">
  <pivotTables>
    <pivotTable tabId="7" name="PivotTable4"/>
  </pivotTables>
  <data>
    <tabular pivotCacheId="7766621">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8B0D2F20-AE99-4F1E-AA36-5E3B9A193CE4}" sourceName="Store Type">
  <pivotTables>
    <pivotTable tabId="7" name="PivotTable2"/>
    <pivotTable tabId="7" name="PivotTable1"/>
    <pivotTable tabId="7" name="PivotTable3"/>
    <pivotTable tabId="7" name="PivotTable4"/>
    <pivotTable tabId="7" name="PivotTable5"/>
  </pivotTables>
  <data>
    <tabular pivotCacheId="776662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E15A54-C709-4B0A-BB46-B2478080519E}" sourceName="Category">
  <pivotTables>
    <pivotTable tabId="7" name="PivotTable1"/>
  </pivotTables>
  <data>
    <tabular pivotCacheId="7766621">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AC45032-726E-4D44-B9A5-684580750CC7}" cache="Slicer_Gender" caption="Gender" rowHeight="234950"/>
  <slicer name="Region" xr10:uid="{22399EEA-CE6A-4544-846A-0D7EFE48EF81}" cache="Slicer_Region" caption="Region" rowHeight="234950"/>
  <slicer name="Store Type" xr10:uid="{0DE9B4E4-2F94-4267-9ABD-AA7E17874466}" cache="Slicer_Store_Type" caption="Store Type" rowHeight="234950"/>
  <slicer name="Category" xr10:uid="{EC4662F2-5E21-49B7-8BA0-6D6C89A3F1E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41F523C-656F-479E-A3DA-814B0D7B955E}" cache="Slicer_Gender" caption="Gender" rowHeight="234950"/>
  <slicer name="Region 1" xr10:uid="{B7AE54EC-3C06-42CA-93C3-379E324607C5}" cache="Slicer_Region" caption="Region" rowHeight="234950"/>
  <slicer name="Store Type 1" xr10:uid="{457553F2-02B9-435D-ADE9-240849DA3941}" cache="Slicer_Store_Type" caption="Store Type" rowHeight="234950"/>
  <slicer name="Category 1" xr10:uid="{BC21D4EE-52E0-4CF5-92B8-385698044DF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3E7AEA-9609-4BE2-888D-F9D53A9A69E9}" name="Table4" displayName="Table4" ref="A1:H501" totalsRowShown="0" headerRowDxfId="33" headerRowBorderDxfId="32" tableBorderDxfId="31">
  <autoFilter ref="A1:H501" xr:uid="{A23E7AEA-9609-4BE2-888D-F9D53A9A69E9}"/>
  <tableColumns count="8">
    <tableColumn id="1" xr3:uid="{EB1E6BD0-3001-4058-8103-8DAAB51436CD}" name="Customer_ID"/>
    <tableColumn id="10" xr3:uid="{DA233868-FA35-40B8-9F0E-51446F3C866D}" name="Name" dataDxfId="30"/>
    <tableColumn id="3" xr3:uid="{278E4AB2-E847-435E-AC25-B05AEA40CF5E}" name="Age"/>
    <tableColumn id="4" xr3:uid="{45A12F19-724A-412A-9C54-09BD5D5C7D1C}" name="Gender"/>
    <tableColumn id="5" xr3:uid="{0019E425-43B9-488D-9B4E-C79AAF512247}" name="City"/>
    <tableColumn id="6" xr3:uid="{4EF72BB8-F394-4621-8ABC-0A37C47EE438}" name="State"/>
    <tableColumn id="7" xr3:uid="{CAB1F0AC-B7AC-45C5-B2BF-AD3C2FA0F9B8}" name="Country"/>
    <tableColumn id="8" xr3:uid="{E6804265-10B5-4C3D-A725-4128E72BF838}"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3ABA0-61D6-4132-BD19-CF76E4F1D442}" name="Table1" displayName="Table1" ref="A1:G101" totalsRowShown="0" headerRowDxfId="29" headerRowBorderDxfId="28" tableBorderDxfId="27">
  <autoFilter ref="A1:G101" xr:uid="{EFC3ABA0-61D6-4132-BD19-CF76E4F1D442}"/>
  <tableColumns count="7">
    <tableColumn id="1" xr3:uid="{67D2BE4D-DA89-4DEF-9EB7-CA4C205E8658}" name="Product_ID"/>
    <tableColumn id="2" xr3:uid="{20925BEA-9F1A-4CE5-A24F-0CD7E431AAA0}" name="Product_Name"/>
    <tableColumn id="3" xr3:uid="{3D043CC1-E252-4FF8-8046-AD0F7A732E38}" name="Category"/>
    <tableColumn id="4" xr3:uid="{7EFD4678-ACF5-4137-B742-9C0CA781EDBD}" name="Sub_Category"/>
    <tableColumn id="5" xr3:uid="{AAC61AFC-6BDB-41C2-B3F5-FEDB3888095B}" name="Brand"/>
    <tableColumn id="6" xr3:uid="{A48DDF59-C483-454E-BADC-52D3EB76F677}" name="Cost"/>
    <tableColumn id="7" xr3:uid="{4448A8F8-FDBD-426A-9DC5-CCBC3E7EF18F}"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DD8A7B-8E29-4D40-9CDB-D25E8B570327}" name="Table2" displayName="Table2" ref="G29:G30" insertRow="1" totalsRowShown="0">
  <autoFilter ref="G29:G30" xr:uid="{90DD8A7B-8E29-4D40-9CDB-D25E8B570327}"/>
  <tableColumns count="1">
    <tableColumn id="1" xr3:uid="{6F12A47C-B414-4E8A-A5CA-D2952EB6352D}" name="Column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B8C6AB-1462-4809-875D-733EF1D42ABE}" name="Table3" displayName="Table3" ref="A1:E21" totalsRowShown="0" headerRowDxfId="26" headerRowBorderDxfId="25" tableBorderDxfId="24">
  <autoFilter ref="A1:E21" xr:uid="{1FB8C6AB-1462-4809-875D-733EF1D42ABE}"/>
  <tableColumns count="5">
    <tableColumn id="1" xr3:uid="{17A39B83-1D1A-40A6-9BF1-FDE06B8193D1}" name="Store_ID"/>
    <tableColumn id="2" xr3:uid="{AF3E7299-D11E-444C-A879-4F147864AA56}" name="Store_Name"/>
    <tableColumn id="3" xr3:uid="{98270E61-FAFB-4BCB-ADB7-CE825BCA622F}" name="Region"/>
    <tableColumn id="4" xr3:uid="{E7A6A716-0DBE-4F7C-A1B8-8AA2F990BB1D}" name="City"/>
    <tableColumn id="5" xr3:uid="{8DD99AB2-B7E8-4A09-BEA7-5E93626BD456}" name="Store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3D15839-4BEE-4350-A59C-B7652077470A}" name="Table6" displayName="Table6" ref="A1:J2001" totalsRowShown="0" headerRowDxfId="23" headerRowBorderDxfId="22" tableBorderDxfId="21">
  <autoFilter ref="A1:J2001" xr:uid="{B3D15839-4BEE-4350-A59C-B7652077470A}"/>
  <tableColumns count="10">
    <tableColumn id="1" xr3:uid="{BE2DEDBE-A517-4C65-B36E-7208624BA7EF}" name="Sales_ID"/>
    <tableColumn id="2" xr3:uid="{E20BD94A-3B63-44C6-A315-870BB4654E4F}" name="Order_Date" dataDxfId="20"/>
    <tableColumn id="3" xr3:uid="{1B2ACAB8-36BF-4D05-951B-62FFA3336BE8}" name="Customer_ID"/>
    <tableColumn id="4" xr3:uid="{7B3145B0-645E-45E3-A39A-19F5A2339D60}" name="Product_ID"/>
    <tableColumn id="5" xr3:uid="{41D611CE-3985-49D8-909B-707FCF62D5BE}" name="Store_ID"/>
    <tableColumn id="6" xr3:uid="{4BEFE82C-1946-4EA7-A692-A189A2022962}" name="Quantity"/>
    <tableColumn id="7" xr3:uid="{77A922B3-02FD-4909-9BF1-A6193936A1A6}" name="Unit_Price"/>
    <tableColumn id="8" xr3:uid="{91983E59-B502-4996-A83E-743931A4B8BD}" name="Discount"/>
    <tableColumn id="9" xr3:uid="{871106AB-3E54-4349-B086-561F44BC4093}" name="Payment_Type"/>
    <tableColumn id="10" xr3:uid="{6AE097EC-2163-462C-87B5-F8F96F2BE2DE}" name="Total_Amoun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4F42B47-E172-493D-AEE4-61899CD7543C}" name="Table7" displayName="Table7" ref="A1:S493" totalsRowShown="0" headerRowDxfId="19" headerRowBorderDxfId="18">
  <autoFilter ref="A1:S493" xr:uid="{14F42B47-E172-493D-AEE4-61899CD7543C}"/>
  <tableColumns count="19">
    <tableColumn id="1" xr3:uid="{3A8EAB85-AB3F-44FE-B839-F7257D1552C0}" name="Customer ID"/>
    <tableColumn id="8" xr3:uid="{1EEFBAFC-F05B-4145-AE20-4871B129BDC0}" name="Store ID" dataDxfId="17">
      <calculatedColumnFormula>_xlfn.XLOOKUP(Table7[[#This Row],[Customer ID]],Table6[Customer_ID],Table6[Store_ID])</calculatedColumnFormula>
    </tableColumn>
    <tableColumn id="9" xr3:uid="{A6269A75-B6C0-4252-9636-313431A87C81}" name="Product ID" dataDxfId="16">
      <calculatedColumnFormula>_xlfn.XLOOKUP(Table7[[#This Row],[Customer ID]],Table6[Customer_ID],Table6[Product_ID])</calculatedColumnFormula>
    </tableColumn>
    <tableColumn id="2" xr3:uid="{11E1094D-B5EC-4E26-B732-C1B6E6968E47}" name="Name" dataDxfId="15">
      <calculatedColumnFormula>VLOOKUP(Table7[[#This Row],[Customer ID]],Table4[#All],2,FALSE)</calculatedColumnFormula>
    </tableColumn>
    <tableColumn id="3" xr3:uid="{6ACB9476-3B9D-4080-96AB-471EC7A2294A}" name="Age" dataDxfId="14">
      <calculatedColumnFormula>VLOOKUP($A2,Table4[],3,FALSE)</calculatedColumnFormula>
    </tableColumn>
    <tableColumn id="4" xr3:uid="{D004BE4E-99E0-4EA2-B48A-2125B3FC1DC2}" name="Gender" dataDxfId="13">
      <calculatedColumnFormula>VLOOKUP($A2,Table4[],4,FALSE)</calculatedColumnFormula>
    </tableColumn>
    <tableColumn id="5" xr3:uid="{49710367-4BB7-41FD-A504-0A3D94FC7881}" name="City" dataDxfId="12">
      <calculatedColumnFormula>VLOOKUP($A2,Table4[],5,FALSE)</calculatedColumnFormula>
    </tableColumn>
    <tableColumn id="6" xr3:uid="{70D77A03-A941-40AF-B463-39A3E12650EA}" name="State" dataDxfId="11">
      <calculatedColumnFormula>VLOOKUP($A2,Table4[],6,FALSE)</calculatedColumnFormula>
    </tableColumn>
    <tableColumn id="7" xr3:uid="{E5527FB6-4DCF-49DE-9460-21B6C2B4A20A}" name="Loyalty Level" dataDxfId="10">
      <calculatedColumnFormula>VLOOKUP($A2,Table4[],8,FALSE)</calculatedColumnFormula>
    </tableColumn>
    <tableColumn id="10" xr3:uid="{6DB67831-C32E-4E96-A71D-9FD841D1114E}" name="Product Name" dataDxfId="9">
      <calculatedColumnFormula>VLOOKUP($C2,Table1[],2,FALSE)</calculatedColumnFormula>
    </tableColumn>
    <tableColumn id="11" xr3:uid="{6C28D538-B090-4498-B8CF-CF2257C6C389}" name="Category" dataDxfId="8">
      <calculatedColumnFormula>VLOOKUP($C2,Table1[],3,FALSE)</calculatedColumnFormula>
    </tableColumn>
    <tableColumn id="12" xr3:uid="{E15F6308-5BDC-4757-962F-E7AB3867B4AA}" name="Sub Category" dataDxfId="7">
      <calculatedColumnFormula>VLOOKUP($C2,Table1[],4,FALSE)</calculatedColumnFormula>
    </tableColumn>
    <tableColumn id="13" xr3:uid="{705B09D6-08C9-48D3-B29A-A465B400FFBC}" name="Brand" dataDxfId="6">
      <calculatedColumnFormula>VLOOKUP($C2,Table1[],5,FALSE)</calculatedColumnFormula>
    </tableColumn>
    <tableColumn id="14" xr3:uid="{843B5122-00B9-4CBB-A86D-BE00F083F279}" name="Cost" dataDxfId="5">
      <calculatedColumnFormula>VLOOKUP($C2,Table1[],6,FALSE)</calculatedColumnFormula>
    </tableColumn>
    <tableColumn id="15" xr3:uid="{26F9D42D-98EB-4DE5-8B92-7273D0589B21}" name="Stock" dataDxfId="4">
      <calculatedColumnFormula>VLOOKUP($C2,Table1[],7,FALSE)</calculatedColumnFormula>
    </tableColumn>
    <tableColumn id="16" xr3:uid="{79EA6BDD-F346-49BC-AD41-29130C250229}" name="Store Name" dataDxfId="3">
      <calculatedColumnFormula>_xlfn.XLOOKUP($B2,Table3[Store_ID],Table3[Store_Name])</calculatedColumnFormula>
    </tableColumn>
    <tableColumn id="17" xr3:uid="{3DA35255-E579-4AA0-A2ED-B65976988EAF}" name="Region" dataDxfId="2">
      <calculatedColumnFormula array="1">_xlfn.XLOOKUP($B2,Store_Dim!$A$2:$A$21,Table3[Region])</calculatedColumnFormula>
    </tableColumn>
    <tableColumn id="19" xr3:uid="{99F9CB5D-C041-4916-8D23-A5ECE590931D}" name="Store Type" dataDxfId="1">
      <calculatedColumnFormula array="1">_xlfn.XLOOKUP($B2,Store_Dim!$A$2:$A$21,Table3[Store_Type])</calculatedColumnFormula>
    </tableColumn>
    <tableColumn id="20" xr3:uid="{AB9893DE-9249-4047-85FB-A546B85ECFEB}" name="Total Amount" dataDxfId="0">
      <calculatedColumnFormula>VLOOKUP(Table7[[#This Row],[Customer ID]],Table6[[Customer_ID]:[Total_Amount]],8,FALSE)</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G5" sqref="G5"/>
    </sheetView>
  </sheetViews>
  <sheetFormatPr defaultRowHeight="14.4" x14ac:dyDescent="0.3"/>
  <cols>
    <col min="1" max="1" width="16.33203125" bestFit="1" customWidth="1"/>
    <col min="2" max="2" width="19.77734375" customWidth="1"/>
    <col min="3" max="3" width="11.5546875" bestFit="1" customWidth="1"/>
    <col min="4" max="4" width="20.6640625" bestFit="1" customWidth="1"/>
    <col min="5" max="5" width="14" bestFit="1" customWidth="1"/>
    <col min="6" max="6" width="21.5546875" bestFit="1" customWidth="1"/>
    <col min="7" max="8" width="16.88671875" bestFit="1" customWidth="1"/>
  </cols>
  <sheetData>
    <row r="1" spans="1:8" x14ac:dyDescent="0.3">
      <c r="A1" s="2" t="s">
        <v>0</v>
      </c>
      <c r="B1" s="2" t="s">
        <v>1</v>
      </c>
      <c r="C1" s="2" t="s">
        <v>2</v>
      </c>
      <c r="D1" s="2" t="s">
        <v>3</v>
      </c>
      <c r="E1" s="2" t="s">
        <v>4</v>
      </c>
      <c r="F1" s="2" t="s">
        <v>5</v>
      </c>
      <c r="G1" s="2" t="s">
        <v>6</v>
      </c>
      <c r="H1" s="2" t="s">
        <v>7</v>
      </c>
    </row>
    <row r="2" spans="1:8" x14ac:dyDescent="0.3">
      <c r="A2" t="s">
        <v>8</v>
      </c>
      <c r="B2" t="s">
        <v>3940</v>
      </c>
      <c r="C2">
        <v>55</v>
      </c>
      <c r="D2" t="s">
        <v>9</v>
      </c>
      <c r="E2" t="s">
        <v>10</v>
      </c>
      <c r="F2" t="s">
        <v>11</v>
      </c>
      <c r="G2" t="s">
        <v>12</v>
      </c>
      <c r="H2" t="s">
        <v>19</v>
      </c>
    </row>
    <row r="3" spans="1:8" x14ac:dyDescent="0.3">
      <c r="A3" t="s">
        <v>14</v>
      </c>
      <c r="B3" t="s">
        <v>15</v>
      </c>
      <c r="C3">
        <v>26</v>
      </c>
      <c r="D3" t="s">
        <v>16</v>
      </c>
      <c r="E3" t="s">
        <v>17</v>
      </c>
      <c r="F3" t="s">
        <v>18</v>
      </c>
      <c r="G3" t="s">
        <v>12</v>
      </c>
      <c r="H3" t="s">
        <v>19</v>
      </c>
    </row>
    <row r="4" spans="1:8" x14ac:dyDescent="0.3">
      <c r="A4" t="s">
        <v>20</v>
      </c>
      <c r="B4" t="s">
        <v>3941</v>
      </c>
      <c r="C4">
        <v>29</v>
      </c>
      <c r="D4" t="s">
        <v>16</v>
      </c>
      <c r="E4" t="s">
        <v>21</v>
      </c>
      <c r="F4" t="s">
        <v>22</v>
      </c>
      <c r="G4" t="s">
        <v>12</v>
      </c>
      <c r="H4" t="s">
        <v>19</v>
      </c>
    </row>
    <row r="5" spans="1:8" x14ac:dyDescent="0.3">
      <c r="A5" t="s">
        <v>23</v>
      </c>
      <c r="B5" t="s">
        <v>3942</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c r="H20" t="s">
        <v>19</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3943</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c r="H29" t="s">
        <v>19</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3944</v>
      </c>
      <c r="C35">
        <v>25</v>
      </c>
      <c r="D35" t="s">
        <v>9</v>
      </c>
      <c r="E35" t="s">
        <v>135</v>
      </c>
      <c r="F35" t="s">
        <v>96</v>
      </c>
      <c r="G35" t="s">
        <v>12</v>
      </c>
      <c r="H35" t="s">
        <v>19</v>
      </c>
    </row>
    <row r="36" spans="1:8" x14ac:dyDescent="0.3">
      <c r="A36" t="s">
        <v>136</v>
      </c>
      <c r="B36" t="s">
        <v>137</v>
      </c>
      <c r="C36">
        <v>27</v>
      </c>
      <c r="D36" t="s">
        <v>16</v>
      </c>
      <c r="E36" t="s">
        <v>138</v>
      </c>
      <c r="F36" t="s">
        <v>139</v>
      </c>
      <c r="G36" t="s">
        <v>12</v>
      </c>
      <c r="H36" t="s">
        <v>19</v>
      </c>
    </row>
    <row r="37" spans="1:8" x14ac:dyDescent="0.3">
      <c r="A37" t="s">
        <v>140</v>
      </c>
      <c r="B37" t="s">
        <v>141</v>
      </c>
      <c r="C37">
        <v>52</v>
      </c>
      <c r="D37" t="s">
        <v>9</v>
      </c>
      <c r="E37" t="s">
        <v>142</v>
      </c>
      <c r="F37" t="s">
        <v>18</v>
      </c>
      <c r="G37" t="s">
        <v>12</v>
      </c>
      <c r="H37" t="s">
        <v>31</v>
      </c>
    </row>
    <row r="38" spans="1:8" x14ac:dyDescent="0.3">
      <c r="A38" t="s">
        <v>143</v>
      </c>
      <c r="B38" t="s">
        <v>144</v>
      </c>
      <c r="C38">
        <v>20</v>
      </c>
      <c r="D38" t="s">
        <v>16</v>
      </c>
      <c r="E38" t="s">
        <v>145</v>
      </c>
      <c r="F38" t="s">
        <v>81</v>
      </c>
      <c r="G38" t="s">
        <v>12</v>
      </c>
      <c r="H38" t="s">
        <v>13</v>
      </c>
    </row>
    <row r="39" spans="1:8" x14ac:dyDescent="0.3">
      <c r="A39" t="s">
        <v>146</v>
      </c>
      <c r="B39" t="s">
        <v>147</v>
      </c>
      <c r="C39">
        <v>27</v>
      </c>
      <c r="D39" t="s">
        <v>16</v>
      </c>
      <c r="E39" t="s">
        <v>148</v>
      </c>
      <c r="F39" t="s">
        <v>39</v>
      </c>
      <c r="G39" t="s">
        <v>12</v>
      </c>
      <c r="H39" t="s">
        <v>19</v>
      </c>
    </row>
    <row r="40" spans="1:8" x14ac:dyDescent="0.3">
      <c r="A40" t="s">
        <v>149</v>
      </c>
      <c r="B40" t="s">
        <v>150</v>
      </c>
      <c r="C40">
        <v>35</v>
      </c>
      <c r="D40" t="s">
        <v>16</v>
      </c>
      <c r="E40" t="s">
        <v>151</v>
      </c>
      <c r="F40" t="s">
        <v>18</v>
      </c>
      <c r="G40" t="s">
        <v>12</v>
      </c>
      <c r="H40" t="s">
        <v>26</v>
      </c>
    </row>
    <row r="41" spans="1:8" x14ac:dyDescent="0.3">
      <c r="A41" t="s">
        <v>152</v>
      </c>
      <c r="B41" t="s">
        <v>153</v>
      </c>
      <c r="C41">
        <v>55</v>
      </c>
      <c r="D41" t="s">
        <v>16</v>
      </c>
      <c r="E41" t="s">
        <v>154</v>
      </c>
      <c r="F41" t="s">
        <v>155</v>
      </c>
      <c r="G41" t="s">
        <v>12</v>
      </c>
      <c r="H41" t="s">
        <v>13</v>
      </c>
    </row>
    <row r="42" spans="1:8" x14ac:dyDescent="0.3">
      <c r="A42" t="s">
        <v>156</v>
      </c>
      <c r="B42" t="s">
        <v>157</v>
      </c>
      <c r="C42">
        <v>50</v>
      </c>
      <c r="D42" t="s">
        <v>9</v>
      </c>
      <c r="E42" t="s">
        <v>158</v>
      </c>
      <c r="F42" t="s">
        <v>62</v>
      </c>
      <c r="G42" t="s">
        <v>12</v>
      </c>
      <c r="H42" t="s">
        <v>13</v>
      </c>
    </row>
    <row r="43" spans="1:8" x14ac:dyDescent="0.3">
      <c r="A43" t="s">
        <v>159</v>
      </c>
      <c r="B43" t="s">
        <v>160</v>
      </c>
      <c r="C43">
        <v>21</v>
      </c>
      <c r="D43" t="s">
        <v>9</v>
      </c>
      <c r="E43" t="s">
        <v>161</v>
      </c>
      <c r="F43" t="s">
        <v>162</v>
      </c>
      <c r="G43" t="s">
        <v>12</v>
      </c>
      <c r="H43" t="s">
        <v>19</v>
      </c>
    </row>
    <row r="44" spans="1:8" x14ac:dyDescent="0.3">
      <c r="A44" t="s">
        <v>163</v>
      </c>
      <c r="B44" t="s">
        <v>164</v>
      </c>
      <c r="C44">
        <v>19</v>
      </c>
      <c r="D44" t="s">
        <v>9</v>
      </c>
      <c r="E44" t="s">
        <v>165</v>
      </c>
      <c r="F44" t="s">
        <v>166</v>
      </c>
      <c r="G44" t="s">
        <v>12</v>
      </c>
      <c r="H44" t="s">
        <v>19</v>
      </c>
    </row>
    <row r="45" spans="1:8" x14ac:dyDescent="0.3">
      <c r="A45" t="s">
        <v>167</v>
      </c>
      <c r="B45" t="s">
        <v>168</v>
      </c>
      <c r="C45">
        <v>45</v>
      </c>
      <c r="D45" t="s">
        <v>9</v>
      </c>
      <c r="E45" t="s">
        <v>169</v>
      </c>
      <c r="F45" t="s">
        <v>170</v>
      </c>
      <c r="G45" t="s">
        <v>12</v>
      </c>
      <c r="H45" t="s">
        <v>13</v>
      </c>
    </row>
    <row r="46" spans="1:8" x14ac:dyDescent="0.3">
      <c r="A46" t="s">
        <v>171</v>
      </c>
      <c r="B46" t="s">
        <v>172</v>
      </c>
      <c r="C46">
        <v>34</v>
      </c>
      <c r="D46" t="s">
        <v>9</v>
      </c>
      <c r="E46" t="s">
        <v>173</v>
      </c>
      <c r="F46" t="s">
        <v>99</v>
      </c>
      <c r="G46" t="s">
        <v>12</v>
      </c>
      <c r="H46" t="s">
        <v>26</v>
      </c>
    </row>
    <row r="47" spans="1:8" x14ac:dyDescent="0.3">
      <c r="A47" t="s">
        <v>174</v>
      </c>
      <c r="B47" t="s">
        <v>3945</v>
      </c>
      <c r="C47">
        <v>54</v>
      </c>
      <c r="D47" t="s">
        <v>9</v>
      </c>
      <c r="E47" t="s">
        <v>175</v>
      </c>
      <c r="F47" t="s">
        <v>133</v>
      </c>
      <c r="G47" t="s">
        <v>12</v>
      </c>
      <c r="H47" t="s">
        <v>13</v>
      </c>
    </row>
    <row r="48" spans="1:8" x14ac:dyDescent="0.3">
      <c r="A48" t="s">
        <v>176</v>
      </c>
      <c r="B48" t="s">
        <v>3946</v>
      </c>
      <c r="C48">
        <v>55</v>
      </c>
      <c r="D48" t="s">
        <v>16</v>
      </c>
      <c r="E48" t="s">
        <v>177</v>
      </c>
      <c r="F48" t="s">
        <v>25</v>
      </c>
      <c r="G48" t="s">
        <v>12</v>
      </c>
      <c r="H48" t="s">
        <v>19</v>
      </c>
    </row>
    <row r="49" spans="1:8" x14ac:dyDescent="0.3">
      <c r="A49" t="s">
        <v>178</v>
      </c>
      <c r="B49" t="s">
        <v>179</v>
      </c>
      <c r="C49">
        <v>54</v>
      </c>
      <c r="D49" t="s">
        <v>16</v>
      </c>
      <c r="E49" t="s">
        <v>180</v>
      </c>
      <c r="F49" t="s">
        <v>181</v>
      </c>
      <c r="G49" t="s">
        <v>12</v>
      </c>
      <c r="H49" t="s">
        <v>31</v>
      </c>
    </row>
    <row r="50" spans="1:8" x14ac:dyDescent="0.3">
      <c r="A50" t="s">
        <v>182</v>
      </c>
      <c r="B50" t="s">
        <v>183</v>
      </c>
      <c r="C50">
        <v>54</v>
      </c>
      <c r="D50" t="s">
        <v>9</v>
      </c>
      <c r="E50" t="s">
        <v>184</v>
      </c>
      <c r="F50" t="s">
        <v>11</v>
      </c>
      <c r="G50" t="s">
        <v>12</v>
      </c>
      <c r="H50" t="s">
        <v>19</v>
      </c>
    </row>
    <row r="51" spans="1:8" x14ac:dyDescent="0.3">
      <c r="A51" t="s">
        <v>185</v>
      </c>
      <c r="B51" t="s">
        <v>186</v>
      </c>
      <c r="C51">
        <v>45</v>
      </c>
      <c r="D51" t="s">
        <v>16</v>
      </c>
      <c r="E51" t="s">
        <v>187</v>
      </c>
      <c r="F51" t="s">
        <v>25</v>
      </c>
      <c r="G51" t="s">
        <v>12</v>
      </c>
      <c r="H51" t="s">
        <v>13</v>
      </c>
    </row>
    <row r="52" spans="1:8" x14ac:dyDescent="0.3">
      <c r="A52" t="s">
        <v>188</v>
      </c>
      <c r="B52" t="s">
        <v>189</v>
      </c>
      <c r="C52">
        <v>61</v>
      </c>
      <c r="D52" t="s">
        <v>16</v>
      </c>
      <c r="E52" t="s">
        <v>190</v>
      </c>
      <c r="F52" t="s">
        <v>191</v>
      </c>
      <c r="G52" t="s">
        <v>12</v>
      </c>
      <c r="H52" t="s">
        <v>13</v>
      </c>
    </row>
    <row r="53" spans="1:8" x14ac:dyDescent="0.3">
      <c r="A53" t="s">
        <v>192</v>
      </c>
      <c r="B53" t="s">
        <v>193</v>
      </c>
      <c r="C53">
        <v>23</v>
      </c>
      <c r="D53" t="s">
        <v>16</v>
      </c>
      <c r="E53" t="s">
        <v>194</v>
      </c>
      <c r="F53" t="s">
        <v>43</v>
      </c>
      <c r="G53" t="s">
        <v>12</v>
      </c>
      <c r="H53" t="s">
        <v>13</v>
      </c>
    </row>
    <row r="54" spans="1:8" x14ac:dyDescent="0.3">
      <c r="A54" t="s">
        <v>195</v>
      </c>
      <c r="B54" t="s">
        <v>196</v>
      </c>
      <c r="C54">
        <v>55</v>
      </c>
      <c r="D54" t="s">
        <v>9</v>
      </c>
      <c r="E54" t="s">
        <v>197</v>
      </c>
      <c r="F54" t="s">
        <v>198</v>
      </c>
      <c r="G54" t="s">
        <v>12</v>
      </c>
      <c r="H54" t="s">
        <v>26</v>
      </c>
    </row>
    <row r="55" spans="1:8" x14ac:dyDescent="0.3">
      <c r="A55" t="s">
        <v>199</v>
      </c>
      <c r="B55" t="s">
        <v>200</v>
      </c>
      <c r="C55">
        <v>37</v>
      </c>
      <c r="D55" t="s">
        <v>16</v>
      </c>
      <c r="E55" t="s">
        <v>201</v>
      </c>
      <c r="F55" t="s">
        <v>155</v>
      </c>
      <c r="G55" t="s">
        <v>12</v>
      </c>
      <c r="H55" t="s">
        <v>13</v>
      </c>
    </row>
    <row r="56" spans="1:8" x14ac:dyDescent="0.3">
      <c r="A56" t="s">
        <v>202</v>
      </c>
      <c r="B56" t="s">
        <v>203</v>
      </c>
      <c r="C56">
        <v>24</v>
      </c>
      <c r="D56" t="s">
        <v>9</v>
      </c>
      <c r="E56" t="s">
        <v>204</v>
      </c>
      <c r="F56" t="s">
        <v>96</v>
      </c>
      <c r="G56" t="s">
        <v>12</v>
      </c>
      <c r="H56" t="s">
        <v>19</v>
      </c>
    </row>
    <row r="57" spans="1:8" x14ac:dyDescent="0.3">
      <c r="A57" t="s">
        <v>205</v>
      </c>
      <c r="B57" t="s">
        <v>206</v>
      </c>
      <c r="C57">
        <v>56</v>
      </c>
      <c r="D57" t="s">
        <v>16</v>
      </c>
      <c r="E57" t="s">
        <v>207</v>
      </c>
      <c r="F57" t="s">
        <v>198</v>
      </c>
      <c r="G57" t="s">
        <v>12</v>
      </c>
      <c r="H57" t="s">
        <v>26</v>
      </c>
    </row>
    <row r="58" spans="1:8" x14ac:dyDescent="0.3">
      <c r="A58" t="s">
        <v>208</v>
      </c>
      <c r="B58" t="s">
        <v>209</v>
      </c>
      <c r="C58">
        <v>49</v>
      </c>
      <c r="D58" t="s">
        <v>16</v>
      </c>
      <c r="E58" t="s">
        <v>210</v>
      </c>
      <c r="F58" t="s">
        <v>51</v>
      </c>
      <c r="G58" t="s">
        <v>12</v>
      </c>
      <c r="H58" t="s">
        <v>13</v>
      </c>
    </row>
    <row r="59" spans="1:8" x14ac:dyDescent="0.3">
      <c r="A59" t="s">
        <v>211</v>
      </c>
      <c r="B59" t="s">
        <v>212</v>
      </c>
      <c r="C59">
        <v>43</v>
      </c>
      <c r="D59" t="s">
        <v>16</v>
      </c>
      <c r="E59" t="s">
        <v>213</v>
      </c>
      <c r="F59" t="s">
        <v>214</v>
      </c>
      <c r="G59" t="s">
        <v>12</v>
      </c>
      <c r="H59" t="s">
        <v>19</v>
      </c>
    </row>
    <row r="60" spans="1:8" x14ac:dyDescent="0.3">
      <c r="A60" t="s">
        <v>215</v>
      </c>
      <c r="B60" t="s">
        <v>216</v>
      </c>
      <c r="C60">
        <v>51</v>
      </c>
      <c r="D60" t="s">
        <v>9</v>
      </c>
      <c r="E60" t="s">
        <v>217</v>
      </c>
      <c r="F60" t="s">
        <v>139</v>
      </c>
      <c r="G60" t="s">
        <v>12</v>
      </c>
      <c r="H60" t="s">
        <v>19</v>
      </c>
    </row>
    <row r="61" spans="1:8" x14ac:dyDescent="0.3">
      <c r="A61" t="s">
        <v>218</v>
      </c>
      <c r="B61" t="s">
        <v>219</v>
      </c>
      <c r="C61">
        <v>53</v>
      </c>
      <c r="D61" t="s">
        <v>9</v>
      </c>
      <c r="E61" t="s">
        <v>220</v>
      </c>
      <c r="F61" t="s">
        <v>66</v>
      </c>
      <c r="G61" t="s">
        <v>12</v>
      </c>
      <c r="H61" t="s">
        <v>19</v>
      </c>
    </row>
    <row r="62" spans="1:8" x14ac:dyDescent="0.3">
      <c r="A62" t="s">
        <v>221</v>
      </c>
      <c r="B62" t="s">
        <v>222</v>
      </c>
      <c r="C62">
        <v>22</v>
      </c>
      <c r="D62" t="s">
        <v>16</v>
      </c>
      <c r="E62" t="s">
        <v>223</v>
      </c>
      <c r="F62" t="s">
        <v>162</v>
      </c>
      <c r="G62" t="s">
        <v>12</v>
      </c>
      <c r="H62" t="s">
        <v>31</v>
      </c>
    </row>
    <row r="63" spans="1:8" x14ac:dyDescent="0.3">
      <c r="A63" t="s">
        <v>224</v>
      </c>
      <c r="B63" t="s">
        <v>225</v>
      </c>
      <c r="C63">
        <v>23</v>
      </c>
      <c r="D63" t="s">
        <v>9</v>
      </c>
      <c r="E63" t="s">
        <v>226</v>
      </c>
      <c r="F63" t="s">
        <v>113</v>
      </c>
      <c r="G63" t="s">
        <v>12</v>
      </c>
      <c r="H63" t="s">
        <v>31</v>
      </c>
    </row>
    <row r="64" spans="1:8" x14ac:dyDescent="0.3">
      <c r="A64" t="s">
        <v>227</v>
      </c>
      <c r="B64" t="s">
        <v>228</v>
      </c>
      <c r="C64">
        <v>50</v>
      </c>
      <c r="D64" t="s">
        <v>9</v>
      </c>
      <c r="E64" t="s">
        <v>229</v>
      </c>
      <c r="F64" t="s">
        <v>230</v>
      </c>
      <c r="G64" t="s">
        <v>12</v>
      </c>
      <c r="H64" t="s">
        <v>26</v>
      </c>
    </row>
    <row r="65" spans="1:8" x14ac:dyDescent="0.3">
      <c r="A65" t="s">
        <v>231</v>
      </c>
      <c r="B65" t="s">
        <v>232</v>
      </c>
      <c r="C65">
        <v>51</v>
      </c>
      <c r="D65" t="s">
        <v>9</v>
      </c>
      <c r="E65" t="s">
        <v>233</v>
      </c>
      <c r="F65" t="s">
        <v>234</v>
      </c>
      <c r="G65" t="s">
        <v>12</v>
      </c>
      <c r="H65" t="s">
        <v>19</v>
      </c>
    </row>
    <row r="66" spans="1:8" x14ac:dyDescent="0.3">
      <c r="A66" t="s">
        <v>235</v>
      </c>
      <c r="B66" t="s">
        <v>236</v>
      </c>
      <c r="C66">
        <v>33</v>
      </c>
      <c r="D66" t="s">
        <v>9</v>
      </c>
      <c r="E66" t="s">
        <v>237</v>
      </c>
      <c r="F66" t="s">
        <v>133</v>
      </c>
      <c r="G66" t="s">
        <v>12</v>
      </c>
      <c r="H66" t="s">
        <v>13</v>
      </c>
    </row>
    <row r="67" spans="1:8" x14ac:dyDescent="0.3">
      <c r="A67" t="s">
        <v>238</v>
      </c>
      <c r="B67" t="s">
        <v>239</v>
      </c>
      <c r="C67">
        <v>21</v>
      </c>
      <c r="D67" t="s">
        <v>16</v>
      </c>
      <c r="E67" t="s">
        <v>240</v>
      </c>
      <c r="F67" t="s">
        <v>181</v>
      </c>
      <c r="G67" t="s">
        <v>12</v>
      </c>
      <c r="H67" t="s">
        <v>31</v>
      </c>
    </row>
    <row r="68" spans="1:8" x14ac:dyDescent="0.3">
      <c r="A68" t="s">
        <v>241</v>
      </c>
      <c r="B68" t="s">
        <v>242</v>
      </c>
      <c r="C68">
        <v>27</v>
      </c>
      <c r="D68" t="s">
        <v>16</v>
      </c>
      <c r="E68" t="s">
        <v>243</v>
      </c>
      <c r="F68" t="s">
        <v>47</v>
      </c>
      <c r="G68" t="s">
        <v>12</v>
      </c>
      <c r="H68" t="s">
        <v>31</v>
      </c>
    </row>
    <row r="69" spans="1:8" x14ac:dyDescent="0.3">
      <c r="A69" t="s">
        <v>244</v>
      </c>
      <c r="B69" t="s">
        <v>245</v>
      </c>
      <c r="C69">
        <v>58</v>
      </c>
      <c r="D69" t="s">
        <v>9</v>
      </c>
      <c r="E69" t="s">
        <v>246</v>
      </c>
      <c r="F69" t="s">
        <v>247</v>
      </c>
      <c r="G69" t="s">
        <v>12</v>
      </c>
      <c r="H69" t="s">
        <v>31</v>
      </c>
    </row>
    <row r="70" spans="1:8" x14ac:dyDescent="0.3">
      <c r="A70" t="s">
        <v>248</v>
      </c>
      <c r="B70" t="s">
        <v>249</v>
      </c>
      <c r="C70">
        <v>24</v>
      </c>
      <c r="D70" t="s">
        <v>16</v>
      </c>
      <c r="E70" t="s">
        <v>250</v>
      </c>
      <c r="F70" t="s">
        <v>251</v>
      </c>
      <c r="G70" t="s">
        <v>12</v>
      </c>
      <c r="H70" t="s">
        <v>31</v>
      </c>
    </row>
    <row r="71" spans="1:8" x14ac:dyDescent="0.3">
      <c r="A71" t="s">
        <v>252</v>
      </c>
      <c r="B71" t="s">
        <v>253</v>
      </c>
      <c r="C71">
        <v>24</v>
      </c>
      <c r="D71" t="s">
        <v>16</v>
      </c>
      <c r="E71" t="s">
        <v>254</v>
      </c>
      <c r="F71" t="s">
        <v>88</v>
      </c>
      <c r="G71" t="s">
        <v>12</v>
      </c>
      <c r="H71" t="s">
        <v>19</v>
      </c>
    </row>
    <row r="72" spans="1:8" x14ac:dyDescent="0.3">
      <c r="A72" t="s">
        <v>255</v>
      </c>
      <c r="B72" t="s">
        <v>256</v>
      </c>
      <c r="C72">
        <v>29</v>
      </c>
      <c r="D72" t="s">
        <v>16</v>
      </c>
      <c r="E72" t="s">
        <v>257</v>
      </c>
      <c r="F72" t="s">
        <v>230</v>
      </c>
      <c r="G72" t="s">
        <v>12</v>
      </c>
      <c r="H72" t="s">
        <v>13</v>
      </c>
    </row>
    <row r="73" spans="1:8" x14ac:dyDescent="0.3">
      <c r="A73" t="s">
        <v>258</v>
      </c>
      <c r="B73" t="s">
        <v>259</v>
      </c>
      <c r="C73">
        <v>61</v>
      </c>
      <c r="D73" t="s">
        <v>16</v>
      </c>
      <c r="E73" t="s">
        <v>260</v>
      </c>
      <c r="F73" t="s">
        <v>230</v>
      </c>
      <c r="G73" t="s">
        <v>12</v>
      </c>
      <c r="H73" t="s">
        <v>13</v>
      </c>
    </row>
    <row r="74" spans="1:8" x14ac:dyDescent="0.3">
      <c r="A74" t="s">
        <v>261</v>
      </c>
      <c r="B74" t="s">
        <v>262</v>
      </c>
      <c r="C74">
        <v>39</v>
      </c>
      <c r="D74" t="s">
        <v>16</v>
      </c>
      <c r="E74" t="s">
        <v>263</v>
      </c>
      <c r="F74" t="s">
        <v>264</v>
      </c>
      <c r="G74" t="s">
        <v>12</v>
      </c>
      <c r="H74" t="s">
        <v>13</v>
      </c>
    </row>
    <row r="75" spans="1:8" x14ac:dyDescent="0.3">
      <c r="A75" t="s">
        <v>265</v>
      </c>
      <c r="B75" t="s">
        <v>266</v>
      </c>
      <c r="C75">
        <v>56</v>
      </c>
      <c r="D75" t="s">
        <v>16</v>
      </c>
      <c r="E75" t="s">
        <v>267</v>
      </c>
      <c r="F75" t="s">
        <v>43</v>
      </c>
      <c r="G75" t="s">
        <v>12</v>
      </c>
      <c r="H75" t="s">
        <v>31</v>
      </c>
    </row>
    <row r="76" spans="1:8" x14ac:dyDescent="0.3">
      <c r="A76" t="s">
        <v>268</v>
      </c>
      <c r="B76" t="s">
        <v>269</v>
      </c>
      <c r="C76">
        <v>58</v>
      </c>
      <c r="D76" t="s">
        <v>9</v>
      </c>
      <c r="E76" t="s">
        <v>270</v>
      </c>
      <c r="F76" t="s">
        <v>271</v>
      </c>
      <c r="G76" t="s">
        <v>12</v>
      </c>
      <c r="H76" t="s">
        <v>26</v>
      </c>
    </row>
    <row r="77" spans="1:8" x14ac:dyDescent="0.3">
      <c r="A77" t="s">
        <v>272</v>
      </c>
      <c r="B77" t="s">
        <v>273</v>
      </c>
      <c r="C77">
        <v>61</v>
      </c>
      <c r="D77" t="s">
        <v>16</v>
      </c>
      <c r="E77" t="s">
        <v>274</v>
      </c>
      <c r="F77" t="s">
        <v>30</v>
      </c>
      <c r="G77" t="s">
        <v>12</v>
      </c>
      <c r="H77" t="s">
        <v>13</v>
      </c>
    </row>
    <row r="78" spans="1:8" x14ac:dyDescent="0.3">
      <c r="A78" t="s">
        <v>275</v>
      </c>
      <c r="B78" t="s">
        <v>276</v>
      </c>
      <c r="C78">
        <v>37</v>
      </c>
      <c r="D78" t="s">
        <v>9</v>
      </c>
      <c r="E78" t="s">
        <v>277</v>
      </c>
      <c r="F78" t="s">
        <v>96</v>
      </c>
      <c r="G78" t="s">
        <v>12</v>
      </c>
      <c r="H78" t="s">
        <v>13</v>
      </c>
    </row>
    <row r="79" spans="1:8" x14ac:dyDescent="0.3">
      <c r="A79" t="s">
        <v>278</v>
      </c>
      <c r="B79" t="s">
        <v>279</v>
      </c>
      <c r="C79">
        <v>29</v>
      </c>
      <c r="D79" t="s">
        <v>9</v>
      </c>
      <c r="E79" t="s">
        <v>280</v>
      </c>
      <c r="F79" t="s">
        <v>170</v>
      </c>
      <c r="G79" t="s">
        <v>12</v>
      </c>
      <c r="H79" t="s">
        <v>13</v>
      </c>
    </row>
    <row r="80" spans="1:8" x14ac:dyDescent="0.3">
      <c r="A80" t="s">
        <v>281</v>
      </c>
      <c r="B80" t="s">
        <v>282</v>
      </c>
      <c r="C80">
        <v>21</v>
      </c>
      <c r="D80" t="s">
        <v>9</v>
      </c>
      <c r="E80" t="s">
        <v>283</v>
      </c>
      <c r="F80" t="s">
        <v>284</v>
      </c>
      <c r="G80" t="s">
        <v>12</v>
      </c>
      <c r="H80" t="s">
        <v>13</v>
      </c>
    </row>
    <row r="81" spans="1:8" x14ac:dyDescent="0.3">
      <c r="A81" t="s">
        <v>285</v>
      </c>
      <c r="B81" t="s">
        <v>286</v>
      </c>
      <c r="C81">
        <v>22</v>
      </c>
      <c r="D81" t="s">
        <v>16</v>
      </c>
      <c r="E81" t="s">
        <v>287</v>
      </c>
      <c r="F81" t="s">
        <v>288</v>
      </c>
      <c r="G81" t="s">
        <v>12</v>
      </c>
      <c r="H81" t="s">
        <v>19</v>
      </c>
    </row>
    <row r="82" spans="1:8" x14ac:dyDescent="0.3">
      <c r="A82" t="s">
        <v>289</v>
      </c>
      <c r="B82" t="s">
        <v>290</v>
      </c>
      <c r="C82">
        <v>61</v>
      </c>
      <c r="D82" t="s">
        <v>16</v>
      </c>
      <c r="E82" t="s">
        <v>291</v>
      </c>
      <c r="F82" t="s">
        <v>230</v>
      </c>
      <c r="G82" t="s">
        <v>12</v>
      </c>
      <c r="H82" t="s">
        <v>26</v>
      </c>
    </row>
    <row r="83" spans="1:8" x14ac:dyDescent="0.3">
      <c r="A83" t="s">
        <v>292</v>
      </c>
      <c r="B83" t="s">
        <v>293</v>
      </c>
      <c r="C83">
        <v>34</v>
      </c>
      <c r="D83" t="s">
        <v>16</v>
      </c>
      <c r="E83" t="s">
        <v>294</v>
      </c>
      <c r="F83" t="s">
        <v>133</v>
      </c>
      <c r="G83" t="s">
        <v>12</v>
      </c>
      <c r="H83" t="s">
        <v>19</v>
      </c>
    </row>
    <row r="84" spans="1:8" x14ac:dyDescent="0.3">
      <c r="A84" t="s">
        <v>295</v>
      </c>
      <c r="B84" t="s">
        <v>296</v>
      </c>
      <c r="C84">
        <v>53</v>
      </c>
      <c r="D84" t="s">
        <v>9</v>
      </c>
      <c r="E84" t="s">
        <v>297</v>
      </c>
      <c r="F84" t="s">
        <v>247</v>
      </c>
      <c r="G84" t="s">
        <v>12</v>
      </c>
      <c r="H84" t="s">
        <v>26</v>
      </c>
    </row>
    <row r="85" spans="1:8" x14ac:dyDescent="0.3">
      <c r="A85" t="s">
        <v>298</v>
      </c>
      <c r="B85" t="s">
        <v>299</v>
      </c>
      <c r="C85">
        <v>48</v>
      </c>
      <c r="D85" t="s">
        <v>16</v>
      </c>
      <c r="E85" t="s">
        <v>300</v>
      </c>
      <c r="F85" t="s">
        <v>81</v>
      </c>
      <c r="G85" t="s">
        <v>12</v>
      </c>
      <c r="H85" t="s">
        <v>26</v>
      </c>
    </row>
    <row r="86" spans="1:8" x14ac:dyDescent="0.3">
      <c r="A86" t="s">
        <v>301</v>
      </c>
      <c r="B86" t="s">
        <v>302</v>
      </c>
      <c r="C86">
        <v>26</v>
      </c>
      <c r="D86" t="s">
        <v>16</v>
      </c>
      <c r="E86" t="s">
        <v>303</v>
      </c>
      <c r="F86" t="s">
        <v>251</v>
      </c>
      <c r="G86" t="s">
        <v>12</v>
      </c>
      <c r="H86" t="s">
        <v>19</v>
      </c>
    </row>
    <row r="87" spans="1:8" x14ac:dyDescent="0.3">
      <c r="A87" t="s">
        <v>304</v>
      </c>
      <c r="B87" t="s">
        <v>305</v>
      </c>
      <c r="C87">
        <v>36</v>
      </c>
      <c r="D87" t="s">
        <v>9</v>
      </c>
      <c r="E87" t="s">
        <v>306</v>
      </c>
      <c r="F87" t="s">
        <v>51</v>
      </c>
      <c r="G87" t="s">
        <v>12</v>
      </c>
      <c r="H87" t="s">
        <v>31</v>
      </c>
    </row>
    <row r="88" spans="1:8" x14ac:dyDescent="0.3">
      <c r="A88" t="s">
        <v>307</v>
      </c>
      <c r="B88" t="s">
        <v>3947</v>
      </c>
      <c r="C88">
        <v>19</v>
      </c>
      <c r="D88" t="s">
        <v>16</v>
      </c>
      <c r="E88" t="s">
        <v>308</v>
      </c>
      <c r="F88" t="s">
        <v>309</v>
      </c>
      <c r="G88" t="s">
        <v>12</v>
      </c>
      <c r="H88" t="s">
        <v>13</v>
      </c>
    </row>
    <row r="89" spans="1:8" x14ac:dyDescent="0.3">
      <c r="A89" t="s">
        <v>310</v>
      </c>
      <c r="B89" t="s">
        <v>3948</v>
      </c>
      <c r="C89">
        <v>58</v>
      </c>
      <c r="D89" t="s">
        <v>16</v>
      </c>
      <c r="E89" t="s">
        <v>311</v>
      </c>
      <c r="F89" t="s">
        <v>312</v>
      </c>
      <c r="G89" t="s">
        <v>12</v>
      </c>
      <c r="H89" t="s">
        <v>26</v>
      </c>
    </row>
    <row r="90" spans="1:8" x14ac:dyDescent="0.3">
      <c r="A90" t="s">
        <v>313</v>
      </c>
      <c r="B90" t="s">
        <v>314</v>
      </c>
      <c r="C90">
        <v>58</v>
      </c>
      <c r="D90" t="s">
        <v>9</v>
      </c>
      <c r="E90" t="s">
        <v>315</v>
      </c>
      <c r="F90" t="s">
        <v>288</v>
      </c>
      <c r="G90" t="s">
        <v>12</v>
      </c>
      <c r="H90" t="s">
        <v>31</v>
      </c>
    </row>
    <row r="91" spans="1:8" x14ac:dyDescent="0.3">
      <c r="A91" t="s">
        <v>316</v>
      </c>
      <c r="B91" t="s">
        <v>317</v>
      </c>
      <c r="C91">
        <v>43</v>
      </c>
      <c r="D91" t="s">
        <v>9</v>
      </c>
      <c r="E91" t="s">
        <v>318</v>
      </c>
      <c r="F91" t="s">
        <v>319</v>
      </c>
      <c r="G91" t="s">
        <v>12</v>
      </c>
      <c r="H91" t="s">
        <v>19</v>
      </c>
    </row>
    <row r="92" spans="1:8" x14ac:dyDescent="0.3">
      <c r="A92" t="s">
        <v>320</v>
      </c>
      <c r="B92" t="s">
        <v>321</v>
      </c>
      <c r="C92">
        <v>58</v>
      </c>
      <c r="D92" t="s">
        <v>16</v>
      </c>
      <c r="E92" t="s">
        <v>322</v>
      </c>
      <c r="F92" t="s">
        <v>323</v>
      </c>
      <c r="G92" t="s">
        <v>12</v>
      </c>
      <c r="H92" t="s">
        <v>19</v>
      </c>
    </row>
    <row r="93" spans="1:8" x14ac:dyDescent="0.3">
      <c r="A93" t="s">
        <v>324</v>
      </c>
      <c r="B93" t="s">
        <v>325</v>
      </c>
      <c r="C93">
        <v>29</v>
      </c>
      <c r="D93" t="s">
        <v>16</v>
      </c>
      <c r="E93" t="s">
        <v>326</v>
      </c>
      <c r="F93" t="s">
        <v>133</v>
      </c>
      <c r="G93" t="s">
        <v>12</v>
      </c>
      <c r="H93" t="s">
        <v>31</v>
      </c>
    </row>
    <row r="94" spans="1:8" x14ac:dyDescent="0.3">
      <c r="A94" t="s">
        <v>327</v>
      </c>
      <c r="B94" t="s">
        <v>328</v>
      </c>
      <c r="C94">
        <v>44</v>
      </c>
      <c r="D94" t="s">
        <v>16</v>
      </c>
      <c r="E94" t="s">
        <v>329</v>
      </c>
      <c r="F94" t="s">
        <v>234</v>
      </c>
      <c r="G94" t="s">
        <v>12</v>
      </c>
      <c r="H94" t="s">
        <v>19</v>
      </c>
    </row>
    <row r="95" spans="1:8" x14ac:dyDescent="0.3">
      <c r="A95" t="s">
        <v>330</v>
      </c>
      <c r="B95" t="s">
        <v>331</v>
      </c>
      <c r="C95">
        <v>28</v>
      </c>
      <c r="D95" t="s">
        <v>16</v>
      </c>
      <c r="E95" t="s">
        <v>332</v>
      </c>
      <c r="F95" t="s">
        <v>312</v>
      </c>
      <c r="G95" t="s">
        <v>12</v>
      </c>
      <c r="H95" t="s">
        <v>13</v>
      </c>
    </row>
    <row r="96" spans="1:8" x14ac:dyDescent="0.3">
      <c r="A96" t="s">
        <v>333</v>
      </c>
      <c r="B96" t="s">
        <v>334</v>
      </c>
      <c r="C96">
        <v>43</v>
      </c>
      <c r="D96" t="s">
        <v>16</v>
      </c>
      <c r="E96" t="s">
        <v>335</v>
      </c>
      <c r="F96" t="s">
        <v>181</v>
      </c>
      <c r="G96" t="s">
        <v>12</v>
      </c>
      <c r="H96" t="s">
        <v>13</v>
      </c>
    </row>
    <row r="97" spans="1:8" x14ac:dyDescent="0.3">
      <c r="A97" t="s">
        <v>336</v>
      </c>
      <c r="B97" t="s">
        <v>337</v>
      </c>
      <c r="C97">
        <v>62</v>
      </c>
      <c r="D97" t="s">
        <v>16</v>
      </c>
      <c r="E97" t="s">
        <v>338</v>
      </c>
      <c r="F97" t="s">
        <v>58</v>
      </c>
      <c r="G97" t="s">
        <v>12</v>
      </c>
      <c r="H97" t="s">
        <v>19</v>
      </c>
    </row>
    <row r="98" spans="1:8" x14ac:dyDescent="0.3">
      <c r="A98" t="s">
        <v>339</v>
      </c>
      <c r="B98" t="s">
        <v>340</v>
      </c>
      <c r="C98">
        <v>30</v>
      </c>
      <c r="D98" t="s">
        <v>16</v>
      </c>
      <c r="E98" t="s">
        <v>341</v>
      </c>
      <c r="F98" t="s">
        <v>323</v>
      </c>
      <c r="G98" t="s">
        <v>12</v>
      </c>
      <c r="H98" t="s">
        <v>19</v>
      </c>
    </row>
    <row r="99" spans="1:8" x14ac:dyDescent="0.3">
      <c r="A99" t="s">
        <v>342</v>
      </c>
      <c r="B99" t="s">
        <v>343</v>
      </c>
      <c r="C99">
        <v>36</v>
      </c>
      <c r="D99" t="s">
        <v>9</v>
      </c>
      <c r="E99" t="s">
        <v>344</v>
      </c>
      <c r="F99" t="s">
        <v>39</v>
      </c>
      <c r="G99" t="s">
        <v>12</v>
      </c>
      <c r="H99" t="s">
        <v>31</v>
      </c>
    </row>
    <row r="100" spans="1:8" x14ac:dyDescent="0.3">
      <c r="A100" t="s">
        <v>345</v>
      </c>
      <c r="B100" t="s">
        <v>346</v>
      </c>
      <c r="C100">
        <v>24</v>
      </c>
      <c r="D100" t="s">
        <v>9</v>
      </c>
      <c r="E100" t="s">
        <v>347</v>
      </c>
      <c r="F100" t="s">
        <v>162</v>
      </c>
      <c r="G100" t="s">
        <v>12</v>
      </c>
      <c r="H100" t="s">
        <v>13</v>
      </c>
    </row>
    <row r="101" spans="1:8" x14ac:dyDescent="0.3">
      <c r="A101" t="s">
        <v>348</v>
      </c>
      <c r="B101" t="s">
        <v>349</v>
      </c>
      <c r="C101">
        <v>35</v>
      </c>
      <c r="D101" t="s">
        <v>9</v>
      </c>
      <c r="E101" t="s">
        <v>350</v>
      </c>
      <c r="F101" t="s">
        <v>234</v>
      </c>
      <c r="G101" t="s">
        <v>12</v>
      </c>
      <c r="H101" t="s">
        <v>31</v>
      </c>
    </row>
    <row r="102" spans="1:8" x14ac:dyDescent="0.3">
      <c r="A102" t="s">
        <v>351</v>
      </c>
      <c r="B102" t="s">
        <v>352</v>
      </c>
      <c r="C102">
        <v>53</v>
      </c>
      <c r="D102" t="s">
        <v>16</v>
      </c>
      <c r="E102" t="s">
        <v>353</v>
      </c>
      <c r="F102" t="s">
        <v>354</v>
      </c>
      <c r="G102" t="s">
        <v>12</v>
      </c>
      <c r="H102" t="s">
        <v>19</v>
      </c>
    </row>
    <row r="103" spans="1:8" x14ac:dyDescent="0.3">
      <c r="A103" t="s">
        <v>355</v>
      </c>
      <c r="B103" t="s">
        <v>356</v>
      </c>
      <c r="C103">
        <v>29</v>
      </c>
      <c r="D103" t="s">
        <v>9</v>
      </c>
      <c r="E103" t="s">
        <v>357</v>
      </c>
      <c r="F103" t="s">
        <v>117</v>
      </c>
      <c r="G103" t="s">
        <v>12</v>
      </c>
      <c r="H103" t="s">
        <v>13</v>
      </c>
    </row>
    <row r="104" spans="1:8" x14ac:dyDescent="0.3">
      <c r="A104" t="s">
        <v>358</v>
      </c>
      <c r="B104" t="s">
        <v>359</v>
      </c>
      <c r="C104">
        <v>34</v>
      </c>
      <c r="D104" t="s">
        <v>16</v>
      </c>
      <c r="E104" t="s">
        <v>360</v>
      </c>
      <c r="F104" t="s">
        <v>51</v>
      </c>
      <c r="G104" t="s">
        <v>12</v>
      </c>
      <c r="H104" t="s">
        <v>26</v>
      </c>
    </row>
    <row r="105" spans="1:8" x14ac:dyDescent="0.3">
      <c r="A105" t="s">
        <v>361</v>
      </c>
      <c r="B105" t="s">
        <v>362</v>
      </c>
      <c r="C105">
        <v>21</v>
      </c>
      <c r="D105" t="s">
        <v>9</v>
      </c>
      <c r="E105" t="s">
        <v>363</v>
      </c>
      <c r="F105" t="s">
        <v>166</v>
      </c>
      <c r="G105" t="s">
        <v>12</v>
      </c>
      <c r="H105" t="s">
        <v>26</v>
      </c>
    </row>
    <row r="106" spans="1:8" x14ac:dyDescent="0.3">
      <c r="A106" t="s">
        <v>364</v>
      </c>
      <c r="B106" t="s">
        <v>365</v>
      </c>
      <c r="C106">
        <v>64</v>
      </c>
      <c r="D106" t="s">
        <v>9</v>
      </c>
      <c r="E106" t="s">
        <v>366</v>
      </c>
      <c r="F106" t="s">
        <v>81</v>
      </c>
      <c r="G106" t="s">
        <v>12</v>
      </c>
      <c r="H106" t="s">
        <v>31</v>
      </c>
    </row>
    <row r="107" spans="1:8" x14ac:dyDescent="0.3">
      <c r="A107" t="s">
        <v>367</v>
      </c>
      <c r="B107" t="s">
        <v>368</v>
      </c>
      <c r="C107">
        <v>50</v>
      </c>
      <c r="D107" t="s">
        <v>16</v>
      </c>
      <c r="E107" t="s">
        <v>369</v>
      </c>
      <c r="F107" t="s">
        <v>247</v>
      </c>
      <c r="G107" t="s">
        <v>12</v>
      </c>
      <c r="H107" t="s">
        <v>13</v>
      </c>
    </row>
    <row r="108" spans="1:8" x14ac:dyDescent="0.3">
      <c r="A108" t="s">
        <v>370</v>
      </c>
      <c r="B108" t="s">
        <v>371</v>
      </c>
      <c r="C108">
        <v>53</v>
      </c>
      <c r="D108" t="s">
        <v>16</v>
      </c>
      <c r="E108" t="s">
        <v>372</v>
      </c>
      <c r="F108" t="s">
        <v>214</v>
      </c>
      <c r="G108" t="s">
        <v>12</v>
      </c>
      <c r="H108" t="s">
        <v>26</v>
      </c>
    </row>
    <row r="109" spans="1:8" x14ac:dyDescent="0.3">
      <c r="A109" t="s">
        <v>373</v>
      </c>
      <c r="B109" t="s">
        <v>374</v>
      </c>
      <c r="C109">
        <v>62</v>
      </c>
      <c r="D109" t="s">
        <v>16</v>
      </c>
      <c r="E109" t="s">
        <v>375</v>
      </c>
      <c r="F109" t="s">
        <v>18</v>
      </c>
      <c r="G109" t="s">
        <v>12</v>
      </c>
      <c r="H109" t="s">
        <v>19</v>
      </c>
    </row>
    <row r="110" spans="1:8" x14ac:dyDescent="0.3">
      <c r="A110" t="s">
        <v>376</v>
      </c>
      <c r="B110" t="s">
        <v>377</v>
      </c>
      <c r="C110">
        <v>38</v>
      </c>
      <c r="D110" t="s">
        <v>9</v>
      </c>
      <c r="E110" t="s">
        <v>378</v>
      </c>
      <c r="F110" t="s">
        <v>47</v>
      </c>
      <c r="G110" t="s">
        <v>12</v>
      </c>
      <c r="H110" t="s">
        <v>26</v>
      </c>
    </row>
    <row r="111" spans="1:8" x14ac:dyDescent="0.3">
      <c r="A111" t="s">
        <v>379</v>
      </c>
      <c r="B111" t="s">
        <v>380</v>
      </c>
      <c r="C111">
        <v>27</v>
      </c>
      <c r="D111" t="s">
        <v>9</v>
      </c>
      <c r="E111" t="s">
        <v>381</v>
      </c>
      <c r="F111" t="s">
        <v>43</v>
      </c>
      <c r="G111" t="s">
        <v>12</v>
      </c>
      <c r="H111" t="s">
        <v>31</v>
      </c>
    </row>
    <row r="112" spans="1:8" x14ac:dyDescent="0.3">
      <c r="A112" t="s">
        <v>382</v>
      </c>
      <c r="B112" t="s">
        <v>383</v>
      </c>
      <c r="C112">
        <v>40</v>
      </c>
      <c r="D112" t="s">
        <v>16</v>
      </c>
      <c r="E112" t="s">
        <v>384</v>
      </c>
      <c r="F112" t="s">
        <v>139</v>
      </c>
      <c r="G112" t="s">
        <v>12</v>
      </c>
      <c r="H112" t="s">
        <v>13</v>
      </c>
    </row>
    <row r="113" spans="1:8" x14ac:dyDescent="0.3">
      <c r="A113" t="s">
        <v>385</v>
      </c>
      <c r="B113" t="s">
        <v>386</v>
      </c>
      <c r="C113">
        <v>18</v>
      </c>
      <c r="D113" t="s">
        <v>16</v>
      </c>
      <c r="E113" t="s">
        <v>387</v>
      </c>
      <c r="F113" t="s">
        <v>133</v>
      </c>
      <c r="G113" t="s">
        <v>12</v>
      </c>
      <c r="H113" t="s">
        <v>19</v>
      </c>
    </row>
    <row r="114" spans="1:8" x14ac:dyDescent="0.3">
      <c r="A114" t="s">
        <v>388</v>
      </c>
      <c r="B114" t="s">
        <v>389</v>
      </c>
      <c r="C114">
        <v>27</v>
      </c>
      <c r="D114" t="s">
        <v>16</v>
      </c>
      <c r="E114" t="s">
        <v>390</v>
      </c>
      <c r="F114" t="s">
        <v>155</v>
      </c>
      <c r="G114" t="s">
        <v>12</v>
      </c>
      <c r="H114" t="s">
        <v>31</v>
      </c>
    </row>
    <row r="115" spans="1:8" x14ac:dyDescent="0.3">
      <c r="A115" t="s">
        <v>391</v>
      </c>
      <c r="B115" t="s">
        <v>392</v>
      </c>
      <c r="C115">
        <v>51</v>
      </c>
      <c r="D115" t="s">
        <v>9</v>
      </c>
      <c r="E115" t="s">
        <v>393</v>
      </c>
      <c r="F115" t="s">
        <v>230</v>
      </c>
      <c r="G115" t="s">
        <v>12</v>
      </c>
      <c r="H115" t="s">
        <v>13</v>
      </c>
    </row>
    <row r="116" spans="1:8" x14ac:dyDescent="0.3">
      <c r="A116" t="s">
        <v>394</v>
      </c>
      <c r="B116" t="s">
        <v>395</v>
      </c>
      <c r="C116">
        <v>30</v>
      </c>
      <c r="D116" t="s">
        <v>9</v>
      </c>
      <c r="E116" t="s">
        <v>396</v>
      </c>
      <c r="F116" t="s">
        <v>181</v>
      </c>
      <c r="G116" t="s">
        <v>12</v>
      </c>
      <c r="H116" t="s">
        <v>26</v>
      </c>
    </row>
    <row r="117" spans="1:8" x14ac:dyDescent="0.3">
      <c r="A117" t="s">
        <v>397</v>
      </c>
      <c r="B117" t="s">
        <v>398</v>
      </c>
      <c r="C117">
        <v>53</v>
      </c>
      <c r="D117" t="s">
        <v>16</v>
      </c>
      <c r="E117" t="s">
        <v>399</v>
      </c>
      <c r="F117" t="s">
        <v>18</v>
      </c>
      <c r="G117" t="s">
        <v>12</v>
      </c>
      <c r="H117" t="s">
        <v>19</v>
      </c>
    </row>
    <row r="118" spans="1:8" x14ac:dyDescent="0.3">
      <c r="A118" t="s">
        <v>400</v>
      </c>
      <c r="B118" t="s">
        <v>401</v>
      </c>
      <c r="C118">
        <v>18</v>
      </c>
      <c r="D118" t="s">
        <v>16</v>
      </c>
      <c r="E118" t="s">
        <v>402</v>
      </c>
      <c r="F118" t="s">
        <v>214</v>
      </c>
      <c r="G118" t="s">
        <v>12</v>
      </c>
      <c r="H118" t="s">
        <v>19</v>
      </c>
    </row>
    <row r="119" spans="1:8" x14ac:dyDescent="0.3">
      <c r="A119" t="s">
        <v>403</v>
      </c>
      <c r="B119" t="s">
        <v>404</v>
      </c>
      <c r="C119">
        <v>21</v>
      </c>
      <c r="D119" t="s">
        <v>16</v>
      </c>
      <c r="E119" t="s">
        <v>405</v>
      </c>
      <c r="F119" t="s">
        <v>74</v>
      </c>
      <c r="G119" t="s">
        <v>12</v>
      </c>
      <c r="H119" t="s">
        <v>19</v>
      </c>
    </row>
    <row r="120" spans="1:8" x14ac:dyDescent="0.3">
      <c r="A120" t="s">
        <v>406</v>
      </c>
      <c r="B120" t="s">
        <v>407</v>
      </c>
      <c r="C120">
        <v>36</v>
      </c>
      <c r="D120" t="s">
        <v>9</v>
      </c>
      <c r="E120" t="s">
        <v>408</v>
      </c>
      <c r="F120" t="s">
        <v>70</v>
      </c>
      <c r="G120" t="s">
        <v>12</v>
      </c>
      <c r="H120" t="s">
        <v>19</v>
      </c>
    </row>
    <row r="121" spans="1:8" x14ac:dyDescent="0.3">
      <c r="A121" t="s">
        <v>409</v>
      </c>
      <c r="B121" t="s">
        <v>410</v>
      </c>
      <c r="C121">
        <v>40</v>
      </c>
      <c r="D121" t="s">
        <v>9</v>
      </c>
      <c r="E121" t="s">
        <v>411</v>
      </c>
      <c r="F121" t="s">
        <v>234</v>
      </c>
      <c r="G121" t="s">
        <v>12</v>
      </c>
      <c r="H121" t="s">
        <v>26</v>
      </c>
    </row>
    <row r="122" spans="1:8" x14ac:dyDescent="0.3">
      <c r="A122" t="s">
        <v>412</v>
      </c>
      <c r="B122" t="s">
        <v>413</v>
      </c>
      <c r="C122">
        <v>44</v>
      </c>
      <c r="D122" t="s">
        <v>16</v>
      </c>
      <c r="E122" t="s">
        <v>3809</v>
      </c>
      <c r="F122" t="s">
        <v>51</v>
      </c>
      <c r="G122" t="s">
        <v>12</v>
      </c>
      <c r="H122" t="s">
        <v>19</v>
      </c>
    </row>
    <row r="123" spans="1:8" x14ac:dyDescent="0.3">
      <c r="A123" t="s">
        <v>414</v>
      </c>
      <c r="B123" t="s">
        <v>415</v>
      </c>
      <c r="C123">
        <v>62</v>
      </c>
      <c r="D123" t="s">
        <v>9</v>
      </c>
      <c r="E123" t="s">
        <v>416</v>
      </c>
      <c r="F123" t="s">
        <v>99</v>
      </c>
      <c r="G123" t="s">
        <v>12</v>
      </c>
      <c r="H123" t="s">
        <v>19</v>
      </c>
    </row>
    <row r="124" spans="1:8" x14ac:dyDescent="0.3">
      <c r="A124" t="s">
        <v>417</v>
      </c>
      <c r="B124" t="s">
        <v>418</v>
      </c>
      <c r="C124">
        <v>50</v>
      </c>
      <c r="D124" t="s">
        <v>9</v>
      </c>
      <c r="E124" t="s">
        <v>419</v>
      </c>
      <c r="F124" t="s">
        <v>11</v>
      </c>
      <c r="G124" t="s">
        <v>12</v>
      </c>
      <c r="H124" t="s">
        <v>19</v>
      </c>
    </row>
    <row r="125" spans="1:8" x14ac:dyDescent="0.3">
      <c r="A125" t="s">
        <v>420</v>
      </c>
      <c r="B125" t="s">
        <v>421</v>
      </c>
      <c r="C125">
        <v>40</v>
      </c>
      <c r="D125" t="s">
        <v>9</v>
      </c>
      <c r="E125" t="s">
        <v>422</v>
      </c>
      <c r="F125" t="s">
        <v>264</v>
      </c>
      <c r="G125" t="s">
        <v>12</v>
      </c>
      <c r="H125" t="s">
        <v>31</v>
      </c>
    </row>
    <row r="126" spans="1:8" x14ac:dyDescent="0.3">
      <c r="A126" t="s">
        <v>423</v>
      </c>
      <c r="B126" t="s">
        <v>424</v>
      </c>
      <c r="C126">
        <v>26</v>
      </c>
      <c r="D126" t="s">
        <v>9</v>
      </c>
      <c r="E126" t="s">
        <v>425</v>
      </c>
      <c r="F126" t="s">
        <v>191</v>
      </c>
      <c r="G126" t="s">
        <v>12</v>
      </c>
      <c r="H126" t="s">
        <v>26</v>
      </c>
    </row>
    <row r="127" spans="1:8" x14ac:dyDescent="0.3">
      <c r="A127" t="s">
        <v>426</v>
      </c>
      <c r="B127" t="s">
        <v>427</v>
      </c>
      <c r="C127">
        <v>64</v>
      </c>
      <c r="D127" t="s">
        <v>16</v>
      </c>
      <c r="E127" t="s">
        <v>428</v>
      </c>
      <c r="F127" t="s">
        <v>429</v>
      </c>
      <c r="G127" t="s">
        <v>12</v>
      </c>
      <c r="H127" t="s">
        <v>19</v>
      </c>
    </row>
    <row r="128" spans="1:8" x14ac:dyDescent="0.3">
      <c r="A128" t="s">
        <v>430</v>
      </c>
      <c r="B128" t="s">
        <v>431</v>
      </c>
      <c r="C128">
        <v>62</v>
      </c>
      <c r="D128" t="s">
        <v>16</v>
      </c>
      <c r="E128" t="s">
        <v>432</v>
      </c>
      <c r="F128" t="s">
        <v>133</v>
      </c>
      <c r="G128" t="s">
        <v>12</v>
      </c>
      <c r="H128" t="s">
        <v>13</v>
      </c>
    </row>
    <row r="129" spans="1:8" x14ac:dyDescent="0.3">
      <c r="A129" t="s">
        <v>433</v>
      </c>
      <c r="B129" t="s">
        <v>434</v>
      </c>
      <c r="C129">
        <v>39</v>
      </c>
      <c r="D129" t="s">
        <v>9</v>
      </c>
      <c r="E129" t="s">
        <v>435</v>
      </c>
      <c r="F129" t="s">
        <v>170</v>
      </c>
      <c r="G129" t="s">
        <v>12</v>
      </c>
      <c r="H129" t="s">
        <v>19</v>
      </c>
    </row>
    <row r="130" spans="1:8" x14ac:dyDescent="0.3">
      <c r="A130" t="s">
        <v>436</v>
      </c>
      <c r="B130" t="s">
        <v>437</v>
      </c>
      <c r="C130">
        <v>45</v>
      </c>
      <c r="D130" t="s">
        <v>9</v>
      </c>
      <c r="E130" t="s">
        <v>438</v>
      </c>
      <c r="F130" t="s">
        <v>288</v>
      </c>
      <c r="G130" t="s">
        <v>12</v>
      </c>
      <c r="H130" t="s">
        <v>31</v>
      </c>
    </row>
    <row r="131" spans="1:8" x14ac:dyDescent="0.3">
      <c r="A131" t="s">
        <v>439</v>
      </c>
      <c r="B131" t="s">
        <v>440</v>
      </c>
      <c r="C131">
        <v>43</v>
      </c>
      <c r="D131" t="s">
        <v>16</v>
      </c>
      <c r="E131" t="s">
        <v>441</v>
      </c>
      <c r="F131" t="s">
        <v>39</v>
      </c>
      <c r="G131" t="s">
        <v>12</v>
      </c>
      <c r="H131" t="s">
        <v>31</v>
      </c>
    </row>
    <row r="132" spans="1:8" x14ac:dyDescent="0.3">
      <c r="A132" t="s">
        <v>442</v>
      </c>
      <c r="B132" t="s">
        <v>443</v>
      </c>
      <c r="C132">
        <v>29</v>
      </c>
      <c r="D132" t="s">
        <v>9</v>
      </c>
      <c r="E132" t="s">
        <v>3810</v>
      </c>
      <c r="F132" t="s">
        <v>166</v>
      </c>
      <c r="G132" t="s">
        <v>12</v>
      </c>
      <c r="H132" t="s">
        <v>19</v>
      </c>
    </row>
    <row r="133" spans="1:8" x14ac:dyDescent="0.3">
      <c r="A133" t="s">
        <v>444</v>
      </c>
      <c r="B133" t="s">
        <v>445</v>
      </c>
      <c r="C133">
        <v>34</v>
      </c>
      <c r="D133" t="s">
        <v>16</v>
      </c>
      <c r="E133" t="s">
        <v>446</v>
      </c>
      <c r="F133" t="s">
        <v>22</v>
      </c>
      <c r="G133" t="s">
        <v>12</v>
      </c>
      <c r="H133" t="s">
        <v>26</v>
      </c>
    </row>
    <row r="134" spans="1:8" x14ac:dyDescent="0.3">
      <c r="A134" t="s">
        <v>447</v>
      </c>
      <c r="B134" t="s">
        <v>448</v>
      </c>
      <c r="C134">
        <v>57</v>
      </c>
      <c r="D134" t="s">
        <v>16</v>
      </c>
      <c r="E134" t="s">
        <v>449</v>
      </c>
      <c r="F134" t="s">
        <v>25</v>
      </c>
      <c r="G134" t="s">
        <v>12</v>
      </c>
      <c r="H134" t="s">
        <v>13</v>
      </c>
    </row>
    <row r="135" spans="1:8" x14ac:dyDescent="0.3">
      <c r="A135" t="s">
        <v>450</v>
      </c>
      <c r="B135" t="s">
        <v>451</v>
      </c>
      <c r="C135">
        <v>62</v>
      </c>
      <c r="D135" t="s">
        <v>16</v>
      </c>
      <c r="E135" t="s">
        <v>452</v>
      </c>
      <c r="F135" t="s">
        <v>247</v>
      </c>
      <c r="G135" t="s">
        <v>12</v>
      </c>
      <c r="H135" t="s">
        <v>26</v>
      </c>
    </row>
    <row r="136" spans="1:8" x14ac:dyDescent="0.3">
      <c r="A136" t="s">
        <v>453</v>
      </c>
      <c r="B136" t="s">
        <v>454</v>
      </c>
      <c r="C136">
        <v>54</v>
      </c>
      <c r="D136" t="s">
        <v>9</v>
      </c>
      <c r="E136" t="s">
        <v>455</v>
      </c>
      <c r="F136" t="s">
        <v>74</v>
      </c>
      <c r="G136" t="s">
        <v>12</v>
      </c>
      <c r="H136" t="s">
        <v>13</v>
      </c>
    </row>
    <row r="137" spans="1:8" x14ac:dyDescent="0.3">
      <c r="A137" t="s">
        <v>456</v>
      </c>
      <c r="B137" t="s">
        <v>457</v>
      </c>
      <c r="C137">
        <v>33</v>
      </c>
      <c r="D137" t="s">
        <v>16</v>
      </c>
      <c r="E137" t="s">
        <v>458</v>
      </c>
      <c r="F137" t="s">
        <v>155</v>
      </c>
      <c r="G137" t="s">
        <v>12</v>
      </c>
      <c r="H137" t="s">
        <v>19</v>
      </c>
    </row>
    <row r="138" spans="1:8" x14ac:dyDescent="0.3">
      <c r="A138" t="s">
        <v>459</v>
      </c>
      <c r="B138" t="s">
        <v>460</v>
      </c>
      <c r="C138">
        <v>29</v>
      </c>
      <c r="D138" t="s">
        <v>9</v>
      </c>
      <c r="E138" t="s">
        <v>461</v>
      </c>
      <c r="F138" t="s">
        <v>70</v>
      </c>
      <c r="G138" t="s">
        <v>12</v>
      </c>
      <c r="H138" t="s">
        <v>31</v>
      </c>
    </row>
    <row r="139" spans="1:8" x14ac:dyDescent="0.3">
      <c r="A139" t="s">
        <v>462</v>
      </c>
      <c r="B139" t="s">
        <v>463</v>
      </c>
      <c r="C139">
        <v>55</v>
      </c>
      <c r="D139" t="s">
        <v>16</v>
      </c>
      <c r="E139" t="s">
        <v>464</v>
      </c>
      <c r="F139" t="s">
        <v>25</v>
      </c>
      <c r="G139" t="s">
        <v>12</v>
      </c>
      <c r="H139" t="s">
        <v>19</v>
      </c>
    </row>
    <row r="140" spans="1:8" x14ac:dyDescent="0.3">
      <c r="A140" t="s">
        <v>465</v>
      </c>
      <c r="B140" t="s">
        <v>466</v>
      </c>
      <c r="C140">
        <v>43</v>
      </c>
      <c r="D140" t="s">
        <v>9</v>
      </c>
      <c r="E140" t="s">
        <v>390</v>
      </c>
      <c r="F140" t="s">
        <v>284</v>
      </c>
      <c r="G140" t="s">
        <v>12</v>
      </c>
      <c r="H140" t="s">
        <v>13</v>
      </c>
    </row>
    <row r="141" spans="1:8" x14ac:dyDescent="0.3">
      <c r="A141" t="s">
        <v>467</v>
      </c>
      <c r="B141" t="s">
        <v>468</v>
      </c>
      <c r="C141">
        <v>32</v>
      </c>
      <c r="D141" t="s">
        <v>9</v>
      </c>
      <c r="E141" t="s">
        <v>469</v>
      </c>
      <c r="F141" t="s">
        <v>117</v>
      </c>
      <c r="G141" t="s">
        <v>12</v>
      </c>
      <c r="H141" t="s">
        <v>26</v>
      </c>
    </row>
    <row r="142" spans="1:8" x14ac:dyDescent="0.3">
      <c r="A142" t="s">
        <v>470</v>
      </c>
      <c r="B142" t="s">
        <v>471</v>
      </c>
      <c r="C142">
        <v>63</v>
      </c>
      <c r="D142" t="s">
        <v>16</v>
      </c>
      <c r="E142" t="s">
        <v>472</v>
      </c>
      <c r="F142" t="s">
        <v>51</v>
      </c>
      <c r="G142" t="s">
        <v>12</v>
      </c>
      <c r="H142" t="s">
        <v>13</v>
      </c>
    </row>
    <row r="143" spans="1:8" x14ac:dyDescent="0.3">
      <c r="A143" t="s">
        <v>473</v>
      </c>
      <c r="B143" t="s">
        <v>474</v>
      </c>
      <c r="C143">
        <v>30</v>
      </c>
      <c r="D143" t="s">
        <v>9</v>
      </c>
      <c r="E143" t="s">
        <v>475</v>
      </c>
      <c r="F143" t="s">
        <v>30</v>
      </c>
      <c r="G143" t="s">
        <v>12</v>
      </c>
      <c r="H143" t="s">
        <v>26</v>
      </c>
    </row>
    <row r="144" spans="1:8" x14ac:dyDescent="0.3">
      <c r="A144" t="s">
        <v>476</v>
      </c>
      <c r="B144" t="s">
        <v>477</v>
      </c>
      <c r="C144">
        <v>37</v>
      </c>
      <c r="D144" t="s">
        <v>9</v>
      </c>
      <c r="E144" t="s">
        <v>478</v>
      </c>
      <c r="F144" t="s">
        <v>66</v>
      </c>
      <c r="G144" t="s">
        <v>12</v>
      </c>
      <c r="H144" t="s">
        <v>26</v>
      </c>
    </row>
    <row r="145" spans="1:8" x14ac:dyDescent="0.3">
      <c r="A145" t="s">
        <v>479</v>
      </c>
      <c r="B145" t="s">
        <v>480</v>
      </c>
      <c r="C145">
        <v>46</v>
      </c>
      <c r="D145" t="s">
        <v>9</v>
      </c>
      <c r="E145" t="s">
        <v>481</v>
      </c>
      <c r="F145" t="s">
        <v>22</v>
      </c>
      <c r="G145" t="s">
        <v>12</v>
      </c>
      <c r="H145" t="s">
        <v>26</v>
      </c>
    </row>
    <row r="146" spans="1:8" x14ac:dyDescent="0.3">
      <c r="A146" t="s">
        <v>482</v>
      </c>
      <c r="B146" t="s">
        <v>483</v>
      </c>
      <c r="C146">
        <v>62</v>
      </c>
      <c r="D146" t="s">
        <v>16</v>
      </c>
      <c r="E146" t="s">
        <v>484</v>
      </c>
      <c r="F146" t="s">
        <v>181</v>
      </c>
      <c r="G146" t="s">
        <v>12</v>
      </c>
      <c r="H146" t="s">
        <v>26</v>
      </c>
    </row>
    <row r="147" spans="1:8" x14ac:dyDescent="0.3">
      <c r="A147" t="s">
        <v>485</v>
      </c>
      <c r="B147" t="s">
        <v>486</v>
      </c>
      <c r="C147">
        <v>46</v>
      </c>
      <c r="D147" t="s">
        <v>9</v>
      </c>
      <c r="E147" t="s">
        <v>487</v>
      </c>
      <c r="F147" t="s">
        <v>251</v>
      </c>
      <c r="G147" t="s">
        <v>12</v>
      </c>
      <c r="H147" t="s">
        <v>19</v>
      </c>
    </row>
    <row r="148" spans="1:8" x14ac:dyDescent="0.3">
      <c r="A148" t="s">
        <v>488</v>
      </c>
      <c r="B148" t="s">
        <v>489</v>
      </c>
      <c r="C148">
        <v>32</v>
      </c>
      <c r="D148" t="s">
        <v>16</v>
      </c>
      <c r="E148" t="s">
        <v>490</v>
      </c>
      <c r="F148" t="s">
        <v>312</v>
      </c>
      <c r="G148" t="s">
        <v>12</v>
      </c>
      <c r="H148" t="s">
        <v>13</v>
      </c>
    </row>
    <row r="149" spans="1:8" x14ac:dyDescent="0.3">
      <c r="A149" t="s">
        <v>491</v>
      </c>
      <c r="B149" t="s">
        <v>492</v>
      </c>
      <c r="C149">
        <v>49</v>
      </c>
      <c r="D149" t="s">
        <v>16</v>
      </c>
      <c r="E149" t="s">
        <v>493</v>
      </c>
      <c r="F149" t="s">
        <v>162</v>
      </c>
      <c r="G149" t="s">
        <v>12</v>
      </c>
      <c r="H149" t="s">
        <v>19</v>
      </c>
    </row>
    <row r="150" spans="1:8" x14ac:dyDescent="0.3">
      <c r="A150" t="s">
        <v>494</v>
      </c>
      <c r="B150" t="s">
        <v>495</v>
      </c>
      <c r="C150">
        <v>42</v>
      </c>
      <c r="D150" t="s">
        <v>16</v>
      </c>
      <c r="E150" t="s">
        <v>496</v>
      </c>
      <c r="F150" t="s">
        <v>319</v>
      </c>
      <c r="G150" t="s">
        <v>12</v>
      </c>
      <c r="H150" t="s">
        <v>26</v>
      </c>
    </row>
    <row r="151" spans="1:8" x14ac:dyDescent="0.3">
      <c r="A151" t="s">
        <v>497</v>
      </c>
      <c r="B151" t="s">
        <v>498</v>
      </c>
      <c r="C151">
        <v>33</v>
      </c>
      <c r="D151" t="s">
        <v>9</v>
      </c>
      <c r="E151" t="s">
        <v>499</v>
      </c>
      <c r="F151" t="s">
        <v>247</v>
      </c>
      <c r="G151" t="s">
        <v>12</v>
      </c>
      <c r="H151" t="s">
        <v>19</v>
      </c>
    </row>
    <row r="152" spans="1:8" x14ac:dyDescent="0.3">
      <c r="A152" t="s">
        <v>500</v>
      </c>
      <c r="B152" t="s">
        <v>501</v>
      </c>
      <c r="C152">
        <v>24</v>
      </c>
      <c r="D152" t="s">
        <v>9</v>
      </c>
      <c r="E152" t="s">
        <v>502</v>
      </c>
      <c r="F152" t="s">
        <v>309</v>
      </c>
      <c r="G152" t="s">
        <v>12</v>
      </c>
      <c r="H152" t="s">
        <v>13</v>
      </c>
    </row>
    <row r="153" spans="1:8" x14ac:dyDescent="0.3">
      <c r="A153" t="s">
        <v>503</v>
      </c>
      <c r="B153" t="s">
        <v>504</v>
      </c>
      <c r="C153">
        <v>25</v>
      </c>
      <c r="D153" t="s">
        <v>16</v>
      </c>
      <c r="E153" t="s">
        <v>505</v>
      </c>
      <c r="F153" t="s">
        <v>35</v>
      </c>
      <c r="G153" t="s">
        <v>12</v>
      </c>
      <c r="H153" t="s">
        <v>13</v>
      </c>
    </row>
    <row r="154" spans="1:8" x14ac:dyDescent="0.3">
      <c r="A154" t="s">
        <v>506</v>
      </c>
      <c r="B154" t="s">
        <v>507</v>
      </c>
      <c r="C154">
        <v>41</v>
      </c>
      <c r="D154" t="s">
        <v>16</v>
      </c>
      <c r="E154" t="s">
        <v>508</v>
      </c>
      <c r="F154" t="s">
        <v>113</v>
      </c>
      <c r="G154" t="s">
        <v>12</v>
      </c>
      <c r="H154" t="s">
        <v>19</v>
      </c>
    </row>
    <row r="155" spans="1:8" x14ac:dyDescent="0.3">
      <c r="A155" t="s">
        <v>509</v>
      </c>
      <c r="B155" t="s">
        <v>510</v>
      </c>
      <c r="C155">
        <v>31</v>
      </c>
      <c r="D155" t="s">
        <v>9</v>
      </c>
      <c r="E155" t="s">
        <v>511</v>
      </c>
      <c r="F155" t="s">
        <v>18</v>
      </c>
      <c r="G155" t="s">
        <v>12</v>
      </c>
      <c r="H155" t="s">
        <v>26</v>
      </c>
    </row>
    <row r="156" spans="1:8" x14ac:dyDescent="0.3">
      <c r="A156" t="s">
        <v>512</v>
      </c>
      <c r="B156" t="s">
        <v>513</v>
      </c>
      <c r="C156">
        <v>35</v>
      </c>
      <c r="D156" t="s">
        <v>16</v>
      </c>
      <c r="E156" t="s">
        <v>514</v>
      </c>
      <c r="F156" t="s">
        <v>170</v>
      </c>
      <c r="G156" t="s">
        <v>12</v>
      </c>
      <c r="H156" t="s">
        <v>13</v>
      </c>
    </row>
    <row r="157" spans="1:8" x14ac:dyDescent="0.3">
      <c r="A157" t="s">
        <v>515</v>
      </c>
      <c r="B157" t="s">
        <v>516</v>
      </c>
      <c r="C157">
        <v>60</v>
      </c>
      <c r="D157" t="s">
        <v>16</v>
      </c>
      <c r="E157" t="s">
        <v>517</v>
      </c>
      <c r="F157" t="s">
        <v>264</v>
      </c>
      <c r="G157" t="s">
        <v>12</v>
      </c>
      <c r="H157" t="s">
        <v>13</v>
      </c>
    </row>
    <row r="158" spans="1:8" x14ac:dyDescent="0.3">
      <c r="A158" t="s">
        <v>518</v>
      </c>
      <c r="B158" t="s">
        <v>519</v>
      </c>
      <c r="C158">
        <v>46</v>
      </c>
      <c r="D158" t="s">
        <v>9</v>
      </c>
      <c r="E158" t="s">
        <v>520</v>
      </c>
      <c r="F158" t="s">
        <v>18</v>
      </c>
      <c r="G158" t="s">
        <v>12</v>
      </c>
      <c r="H158" t="s">
        <v>26</v>
      </c>
    </row>
    <row r="159" spans="1:8" x14ac:dyDescent="0.3">
      <c r="A159" t="s">
        <v>521</v>
      </c>
      <c r="B159" t="s">
        <v>522</v>
      </c>
      <c r="C159">
        <v>59</v>
      </c>
      <c r="D159" t="s">
        <v>9</v>
      </c>
      <c r="E159" t="s">
        <v>523</v>
      </c>
      <c r="F159" t="s">
        <v>18</v>
      </c>
      <c r="G159" t="s">
        <v>12</v>
      </c>
      <c r="H159" t="s">
        <v>19</v>
      </c>
    </row>
    <row r="160" spans="1:8" x14ac:dyDescent="0.3">
      <c r="A160" t="s">
        <v>524</v>
      </c>
      <c r="B160" t="s">
        <v>525</v>
      </c>
      <c r="C160">
        <v>43</v>
      </c>
      <c r="D160" t="s">
        <v>9</v>
      </c>
      <c r="E160" t="s">
        <v>526</v>
      </c>
      <c r="F160" t="s">
        <v>170</v>
      </c>
      <c r="G160" t="s">
        <v>12</v>
      </c>
      <c r="H160" t="s">
        <v>26</v>
      </c>
    </row>
    <row r="161" spans="1:8" x14ac:dyDescent="0.3">
      <c r="A161" t="s">
        <v>527</v>
      </c>
      <c r="B161" t="s">
        <v>528</v>
      </c>
      <c r="C161">
        <v>46</v>
      </c>
      <c r="D161" t="s">
        <v>16</v>
      </c>
      <c r="E161" t="s">
        <v>529</v>
      </c>
      <c r="F161" t="s">
        <v>88</v>
      </c>
      <c r="G161" t="s">
        <v>12</v>
      </c>
      <c r="H161" t="s">
        <v>13</v>
      </c>
    </row>
    <row r="162" spans="1:8" x14ac:dyDescent="0.3">
      <c r="A162" t="s">
        <v>530</v>
      </c>
      <c r="B162" t="s">
        <v>531</v>
      </c>
      <c r="C162">
        <v>41</v>
      </c>
      <c r="D162" t="s">
        <v>16</v>
      </c>
      <c r="E162" t="s">
        <v>532</v>
      </c>
      <c r="F162" t="s">
        <v>11</v>
      </c>
      <c r="G162" t="s">
        <v>12</v>
      </c>
      <c r="H162" t="s">
        <v>19</v>
      </c>
    </row>
    <row r="163" spans="1:8" x14ac:dyDescent="0.3">
      <c r="A163" t="s">
        <v>533</v>
      </c>
      <c r="B163" t="s">
        <v>534</v>
      </c>
      <c r="C163">
        <v>18</v>
      </c>
      <c r="D163" t="s">
        <v>16</v>
      </c>
      <c r="E163" t="s">
        <v>535</v>
      </c>
      <c r="F163" t="s">
        <v>133</v>
      </c>
      <c r="G163" t="s">
        <v>12</v>
      </c>
      <c r="H163" t="s">
        <v>31</v>
      </c>
    </row>
    <row r="164" spans="1:8" x14ac:dyDescent="0.3">
      <c r="A164" t="s">
        <v>536</v>
      </c>
      <c r="B164" t="s">
        <v>537</v>
      </c>
      <c r="C164">
        <v>37</v>
      </c>
      <c r="D164" t="s">
        <v>9</v>
      </c>
      <c r="E164" t="s">
        <v>538</v>
      </c>
      <c r="F164" t="s">
        <v>234</v>
      </c>
      <c r="G164" t="s">
        <v>12</v>
      </c>
      <c r="H164" t="s">
        <v>31</v>
      </c>
    </row>
    <row r="165" spans="1:8" x14ac:dyDescent="0.3">
      <c r="A165" t="s">
        <v>539</v>
      </c>
      <c r="B165" t="s">
        <v>540</v>
      </c>
      <c r="C165">
        <v>21</v>
      </c>
      <c r="D165" t="s">
        <v>9</v>
      </c>
      <c r="E165" t="s">
        <v>541</v>
      </c>
      <c r="F165" t="s">
        <v>191</v>
      </c>
      <c r="G165" t="s">
        <v>12</v>
      </c>
      <c r="H165" t="s">
        <v>26</v>
      </c>
    </row>
    <row r="166" spans="1:8" x14ac:dyDescent="0.3">
      <c r="A166" t="s">
        <v>542</v>
      </c>
      <c r="B166" t="s">
        <v>543</v>
      </c>
      <c r="C166">
        <v>39</v>
      </c>
      <c r="D166" t="s">
        <v>16</v>
      </c>
      <c r="E166" t="s">
        <v>544</v>
      </c>
      <c r="F166" t="s">
        <v>81</v>
      </c>
      <c r="G166" t="s">
        <v>12</v>
      </c>
      <c r="H166" t="s">
        <v>31</v>
      </c>
    </row>
    <row r="167" spans="1:8" x14ac:dyDescent="0.3">
      <c r="A167" t="s">
        <v>545</v>
      </c>
      <c r="B167" t="s">
        <v>546</v>
      </c>
      <c r="C167">
        <v>47</v>
      </c>
      <c r="D167" t="s">
        <v>16</v>
      </c>
      <c r="E167" t="s">
        <v>547</v>
      </c>
      <c r="F167" t="s">
        <v>191</v>
      </c>
      <c r="G167" t="s">
        <v>12</v>
      </c>
      <c r="H167" t="s">
        <v>19</v>
      </c>
    </row>
    <row r="168" spans="1:8" x14ac:dyDescent="0.3">
      <c r="A168" t="s">
        <v>548</v>
      </c>
      <c r="B168" t="s">
        <v>549</v>
      </c>
      <c r="C168">
        <v>25</v>
      </c>
      <c r="D168" t="s">
        <v>16</v>
      </c>
      <c r="E168" t="s">
        <v>550</v>
      </c>
      <c r="F168" t="s">
        <v>155</v>
      </c>
      <c r="G168" t="s">
        <v>12</v>
      </c>
      <c r="H168" t="s">
        <v>31</v>
      </c>
    </row>
    <row r="169" spans="1:8" x14ac:dyDescent="0.3">
      <c r="A169" t="s">
        <v>551</v>
      </c>
      <c r="B169" t="s">
        <v>552</v>
      </c>
      <c r="C169">
        <v>36</v>
      </c>
      <c r="D169" t="s">
        <v>16</v>
      </c>
      <c r="E169" t="s">
        <v>553</v>
      </c>
      <c r="F169" t="s">
        <v>234</v>
      </c>
      <c r="G169" t="s">
        <v>12</v>
      </c>
      <c r="H169" t="s">
        <v>13</v>
      </c>
    </row>
    <row r="170" spans="1:8" x14ac:dyDescent="0.3">
      <c r="A170" t="s">
        <v>554</v>
      </c>
      <c r="B170" t="s">
        <v>555</v>
      </c>
      <c r="C170">
        <v>36</v>
      </c>
      <c r="D170" t="s">
        <v>16</v>
      </c>
      <c r="E170" t="s">
        <v>556</v>
      </c>
      <c r="F170" t="s">
        <v>247</v>
      </c>
      <c r="G170" t="s">
        <v>12</v>
      </c>
      <c r="H170" t="s">
        <v>19</v>
      </c>
    </row>
    <row r="171" spans="1:8" x14ac:dyDescent="0.3">
      <c r="A171" t="s">
        <v>557</v>
      </c>
      <c r="B171" t="s">
        <v>558</v>
      </c>
      <c r="C171">
        <v>64</v>
      </c>
      <c r="D171" t="s">
        <v>9</v>
      </c>
      <c r="E171" t="s">
        <v>559</v>
      </c>
      <c r="F171" t="s">
        <v>47</v>
      </c>
      <c r="G171" t="s">
        <v>12</v>
      </c>
      <c r="H171" t="s">
        <v>26</v>
      </c>
    </row>
    <row r="172" spans="1:8" x14ac:dyDescent="0.3">
      <c r="A172" t="s">
        <v>560</v>
      </c>
      <c r="B172" t="s">
        <v>3949</v>
      </c>
      <c r="C172">
        <v>18</v>
      </c>
      <c r="D172" t="s">
        <v>9</v>
      </c>
      <c r="E172" t="s">
        <v>561</v>
      </c>
      <c r="F172" t="s">
        <v>113</v>
      </c>
      <c r="G172" t="s">
        <v>12</v>
      </c>
      <c r="H172" t="s">
        <v>13</v>
      </c>
    </row>
    <row r="173" spans="1:8" x14ac:dyDescent="0.3">
      <c r="A173" t="s">
        <v>562</v>
      </c>
      <c r="B173" t="s">
        <v>563</v>
      </c>
      <c r="C173">
        <v>44</v>
      </c>
      <c r="D173" t="s">
        <v>16</v>
      </c>
      <c r="E173" t="s">
        <v>564</v>
      </c>
      <c r="F173" t="s">
        <v>251</v>
      </c>
      <c r="G173" t="s">
        <v>12</v>
      </c>
      <c r="H173" t="s">
        <v>19</v>
      </c>
    </row>
    <row r="174" spans="1:8" x14ac:dyDescent="0.3">
      <c r="A174" t="s">
        <v>565</v>
      </c>
      <c r="B174" t="s">
        <v>566</v>
      </c>
      <c r="C174">
        <v>41</v>
      </c>
      <c r="D174" t="s">
        <v>16</v>
      </c>
      <c r="E174" t="s">
        <v>567</v>
      </c>
      <c r="F174" t="s">
        <v>43</v>
      </c>
      <c r="G174" t="s">
        <v>12</v>
      </c>
      <c r="H174" t="s">
        <v>26</v>
      </c>
    </row>
    <row r="175" spans="1:8" x14ac:dyDescent="0.3">
      <c r="A175" t="s">
        <v>568</v>
      </c>
      <c r="B175" t="s">
        <v>569</v>
      </c>
      <c r="C175">
        <v>41</v>
      </c>
      <c r="D175" t="s">
        <v>16</v>
      </c>
      <c r="E175" t="s">
        <v>393</v>
      </c>
      <c r="F175" t="s">
        <v>264</v>
      </c>
      <c r="G175" t="s">
        <v>3811</v>
      </c>
      <c r="H175" t="s">
        <v>19</v>
      </c>
    </row>
    <row r="176" spans="1:8" x14ac:dyDescent="0.3">
      <c r="A176" t="s">
        <v>570</v>
      </c>
      <c r="B176" t="s">
        <v>571</v>
      </c>
      <c r="C176">
        <v>26</v>
      </c>
      <c r="D176" t="s">
        <v>16</v>
      </c>
      <c r="E176" t="s">
        <v>572</v>
      </c>
      <c r="F176" t="s">
        <v>170</v>
      </c>
      <c r="G176" t="s">
        <v>12</v>
      </c>
      <c r="H176" t="s">
        <v>13</v>
      </c>
    </row>
    <row r="177" spans="1:8" x14ac:dyDescent="0.3">
      <c r="A177" t="s">
        <v>573</v>
      </c>
      <c r="B177" t="s">
        <v>574</v>
      </c>
      <c r="C177">
        <v>56</v>
      </c>
      <c r="D177" t="s">
        <v>9</v>
      </c>
      <c r="E177" t="s">
        <v>575</v>
      </c>
      <c r="F177" t="s">
        <v>99</v>
      </c>
      <c r="G177" t="s">
        <v>12</v>
      </c>
      <c r="H177" t="s">
        <v>19</v>
      </c>
    </row>
    <row r="178" spans="1:8" x14ac:dyDescent="0.3">
      <c r="A178" t="s">
        <v>576</v>
      </c>
      <c r="B178" t="s">
        <v>577</v>
      </c>
      <c r="C178">
        <v>48</v>
      </c>
      <c r="D178" t="s">
        <v>9</v>
      </c>
      <c r="E178" t="s">
        <v>578</v>
      </c>
      <c r="F178" t="s">
        <v>170</v>
      </c>
      <c r="G178" t="s">
        <v>12</v>
      </c>
      <c r="H178" t="s">
        <v>31</v>
      </c>
    </row>
    <row r="179" spans="1:8" x14ac:dyDescent="0.3">
      <c r="A179" t="s">
        <v>579</v>
      </c>
      <c r="B179" t="s">
        <v>580</v>
      </c>
      <c r="C179">
        <v>55</v>
      </c>
      <c r="D179" t="s">
        <v>9</v>
      </c>
      <c r="E179" t="s">
        <v>581</v>
      </c>
      <c r="F179" t="s">
        <v>582</v>
      </c>
      <c r="G179" t="s">
        <v>12</v>
      </c>
      <c r="H179" t="s">
        <v>19</v>
      </c>
    </row>
    <row r="180" spans="1:8" x14ac:dyDescent="0.3">
      <c r="A180" t="s">
        <v>583</v>
      </c>
      <c r="B180" t="s">
        <v>584</v>
      </c>
      <c r="C180">
        <v>33</v>
      </c>
      <c r="D180" t="s">
        <v>16</v>
      </c>
      <c r="E180" t="s">
        <v>585</v>
      </c>
      <c r="F180" t="s">
        <v>312</v>
      </c>
      <c r="G180" t="s">
        <v>12</v>
      </c>
      <c r="H180" t="s">
        <v>26</v>
      </c>
    </row>
    <row r="181" spans="1:8" x14ac:dyDescent="0.3">
      <c r="A181" t="s">
        <v>586</v>
      </c>
      <c r="B181" t="s">
        <v>587</v>
      </c>
      <c r="C181">
        <v>43</v>
      </c>
      <c r="D181" t="s">
        <v>16</v>
      </c>
      <c r="E181" t="s">
        <v>588</v>
      </c>
      <c r="F181" t="s">
        <v>117</v>
      </c>
      <c r="G181" t="s">
        <v>12</v>
      </c>
      <c r="H181" t="s">
        <v>31</v>
      </c>
    </row>
    <row r="182" spans="1:8" x14ac:dyDescent="0.3">
      <c r="A182" t="s">
        <v>589</v>
      </c>
      <c r="B182" t="s">
        <v>590</v>
      </c>
      <c r="C182">
        <v>38</v>
      </c>
      <c r="D182" t="s">
        <v>9</v>
      </c>
      <c r="E182" t="s">
        <v>591</v>
      </c>
      <c r="F182" t="s">
        <v>429</v>
      </c>
      <c r="G182" t="s">
        <v>12</v>
      </c>
      <c r="H182" t="s">
        <v>26</v>
      </c>
    </row>
    <row r="183" spans="1:8" x14ac:dyDescent="0.3">
      <c r="A183" t="s">
        <v>592</v>
      </c>
      <c r="B183" t="s">
        <v>593</v>
      </c>
      <c r="C183">
        <v>60</v>
      </c>
      <c r="D183" t="s">
        <v>9</v>
      </c>
      <c r="E183" t="s">
        <v>594</v>
      </c>
      <c r="F183" t="s">
        <v>58</v>
      </c>
      <c r="G183" t="s">
        <v>12</v>
      </c>
      <c r="H183" t="s">
        <v>26</v>
      </c>
    </row>
    <row r="184" spans="1:8" x14ac:dyDescent="0.3">
      <c r="A184" t="s">
        <v>595</v>
      </c>
      <c r="B184" t="s">
        <v>596</v>
      </c>
      <c r="C184">
        <v>23</v>
      </c>
      <c r="D184" t="s">
        <v>16</v>
      </c>
      <c r="E184" t="s">
        <v>597</v>
      </c>
      <c r="F184" t="s">
        <v>96</v>
      </c>
      <c r="G184" t="s">
        <v>12</v>
      </c>
      <c r="H184" t="s">
        <v>31</v>
      </c>
    </row>
    <row r="185" spans="1:8" x14ac:dyDescent="0.3">
      <c r="A185" t="s">
        <v>598</v>
      </c>
      <c r="B185" t="s">
        <v>599</v>
      </c>
      <c r="C185">
        <v>18</v>
      </c>
      <c r="D185" t="s">
        <v>9</v>
      </c>
      <c r="E185" t="s">
        <v>600</v>
      </c>
      <c r="F185" t="s">
        <v>58</v>
      </c>
      <c r="G185" t="s">
        <v>12</v>
      </c>
      <c r="H185" t="s">
        <v>19</v>
      </c>
    </row>
    <row r="186" spans="1:8" x14ac:dyDescent="0.3">
      <c r="A186" t="s">
        <v>601</v>
      </c>
      <c r="B186" t="s">
        <v>602</v>
      </c>
      <c r="C186">
        <v>46</v>
      </c>
      <c r="D186" t="s">
        <v>16</v>
      </c>
      <c r="E186" t="s">
        <v>603</v>
      </c>
      <c r="F186" t="s">
        <v>18</v>
      </c>
      <c r="G186" t="s">
        <v>12</v>
      </c>
      <c r="H186" t="s">
        <v>31</v>
      </c>
    </row>
    <row r="187" spans="1:8" x14ac:dyDescent="0.3">
      <c r="A187" t="s">
        <v>604</v>
      </c>
      <c r="B187" t="s">
        <v>605</v>
      </c>
      <c r="C187">
        <v>54</v>
      </c>
      <c r="D187" t="s">
        <v>16</v>
      </c>
      <c r="E187" t="s">
        <v>606</v>
      </c>
      <c r="F187" t="s">
        <v>88</v>
      </c>
      <c r="G187" t="s">
        <v>12</v>
      </c>
      <c r="H187" t="s">
        <v>19</v>
      </c>
    </row>
    <row r="188" spans="1:8" x14ac:dyDescent="0.3">
      <c r="A188" t="s">
        <v>607</v>
      </c>
      <c r="B188" t="s">
        <v>608</v>
      </c>
      <c r="C188">
        <v>53</v>
      </c>
      <c r="D188" t="s">
        <v>9</v>
      </c>
      <c r="E188" t="s">
        <v>609</v>
      </c>
      <c r="F188" t="s">
        <v>113</v>
      </c>
      <c r="G188" t="s">
        <v>12</v>
      </c>
      <c r="H188" t="s">
        <v>31</v>
      </c>
    </row>
    <row r="189" spans="1:8" x14ac:dyDescent="0.3">
      <c r="A189" t="s">
        <v>610</v>
      </c>
      <c r="B189" t="s">
        <v>611</v>
      </c>
      <c r="C189">
        <v>60</v>
      </c>
      <c r="D189" t="s">
        <v>16</v>
      </c>
      <c r="E189" t="s">
        <v>612</v>
      </c>
      <c r="F189" t="s">
        <v>22</v>
      </c>
      <c r="G189" t="s">
        <v>12</v>
      </c>
      <c r="H189" t="s">
        <v>19</v>
      </c>
    </row>
    <row r="190" spans="1:8" x14ac:dyDescent="0.3">
      <c r="A190" t="s">
        <v>613</v>
      </c>
      <c r="B190" t="s">
        <v>614</v>
      </c>
      <c r="C190">
        <v>42</v>
      </c>
      <c r="D190" t="s">
        <v>9</v>
      </c>
      <c r="E190" t="s">
        <v>615</v>
      </c>
      <c r="F190" t="s">
        <v>230</v>
      </c>
      <c r="G190" t="s">
        <v>12</v>
      </c>
      <c r="H190" t="s">
        <v>31</v>
      </c>
    </row>
    <row r="191" spans="1:8" x14ac:dyDescent="0.3">
      <c r="A191" t="s">
        <v>616</v>
      </c>
      <c r="B191" t="s">
        <v>617</v>
      </c>
      <c r="C191">
        <v>29</v>
      </c>
      <c r="D191" t="s">
        <v>9</v>
      </c>
      <c r="E191" t="s">
        <v>618</v>
      </c>
      <c r="F191" t="s">
        <v>582</v>
      </c>
      <c r="G191" t="s">
        <v>12</v>
      </c>
      <c r="H191" t="s">
        <v>13</v>
      </c>
    </row>
    <row r="192" spans="1:8" x14ac:dyDescent="0.3">
      <c r="A192" t="s">
        <v>619</v>
      </c>
      <c r="B192" t="s">
        <v>620</v>
      </c>
      <c r="C192">
        <v>21</v>
      </c>
      <c r="D192" t="s">
        <v>9</v>
      </c>
      <c r="E192" t="s">
        <v>621</v>
      </c>
      <c r="F192" t="s">
        <v>58</v>
      </c>
      <c r="G192" t="s">
        <v>12</v>
      </c>
      <c r="H192" t="s">
        <v>26</v>
      </c>
    </row>
    <row r="193" spans="1:8" x14ac:dyDescent="0.3">
      <c r="A193" t="s">
        <v>622</v>
      </c>
      <c r="B193" t="s">
        <v>623</v>
      </c>
      <c r="C193">
        <v>29</v>
      </c>
      <c r="D193" t="s">
        <v>16</v>
      </c>
      <c r="E193" t="s">
        <v>624</v>
      </c>
      <c r="F193" t="s">
        <v>25</v>
      </c>
      <c r="G193" t="s">
        <v>12</v>
      </c>
      <c r="H193" t="s">
        <v>26</v>
      </c>
    </row>
    <row r="194" spans="1:8" x14ac:dyDescent="0.3">
      <c r="A194" t="s">
        <v>625</v>
      </c>
      <c r="B194" t="s">
        <v>626</v>
      </c>
      <c r="C194">
        <v>26</v>
      </c>
      <c r="D194" t="s">
        <v>9</v>
      </c>
      <c r="E194" t="s">
        <v>627</v>
      </c>
      <c r="F194" t="s">
        <v>106</v>
      </c>
      <c r="G194" t="s">
        <v>12</v>
      </c>
      <c r="H194" t="s">
        <v>13</v>
      </c>
    </row>
    <row r="195" spans="1:8" x14ac:dyDescent="0.3">
      <c r="A195" t="s">
        <v>628</v>
      </c>
      <c r="B195" t="s">
        <v>629</v>
      </c>
      <c r="C195">
        <v>38</v>
      </c>
      <c r="D195" t="s">
        <v>9</v>
      </c>
      <c r="E195" t="s">
        <v>630</v>
      </c>
      <c r="F195" t="s">
        <v>81</v>
      </c>
      <c r="G195" t="s">
        <v>12</v>
      </c>
      <c r="H195" t="s">
        <v>13</v>
      </c>
    </row>
    <row r="196" spans="1:8" x14ac:dyDescent="0.3">
      <c r="A196" t="s">
        <v>631</v>
      </c>
      <c r="B196" t="s">
        <v>632</v>
      </c>
      <c r="C196">
        <v>46</v>
      </c>
      <c r="D196" t="s">
        <v>9</v>
      </c>
      <c r="E196" t="s">
        <v>633</v>
      </c>
      <c r="F196" t="s">
        <v>51</v>
      </c>
      <c r="G196" t="s">
        <v>12</v>
      </c>
      <c r="H196" t="s">
        <v>13</v>
      </c>
    </row>
    <row r="197" spans="1:8" x14ac:dyDescent="0.3">
      <c r="A197" t="s">
        <v>634</v>
      </c>
      <c r="B197" t="s">
        <v>635</v>
      </c>
      <c r="C197">
        <v>60</v>
      </c>
      <c r="D197" t="s">
        <v>9</v>
      </c>
      <c r="E197" t="s">
        <v>636</v>
      </c>
      <c r="F197" t="s">
        <v>133</v>
      </c>
      <c r="G197" t="s">
        <v>12</v>
      </c>
      <c r="H197" t="s">
        <v>31</v>
      </c>
    </row>
    <row r="198" spans="1:8" x14ac:dyDescent="0.3">
      <c r="A198" t="s">
        <v>637</v>
      </c>
      <c r="B198" t="s">
        <v>638</v>
      </c>
      <c r="C198">
        <v>18</v>
      </c>
      <c r="D198" t="s">
        <v>16</v>
      </c>
      <c r="E198" t="s">
        <v>639</v>
      </c>
      <c r="F198" t="s">
        <v>162</v>
      </c>
      <c r="G198" t="s">
        <v>12</v>
      </c>
      <c r="H198" t="s">
        <v>19</v>
      </c>
    </row>
    <row r="199" spans="1:8" x14ac:dyDescent="0.3">
      <c r="A199" t="s">
        <v>640</v>
      </c>
      <c r="B199" t="s">
        <v>641</v>
      </c>
      <c r="C199">
        <v>45</v>
      </c>
      <c r="D199" t="s">
        <v>16</v>
      </c>
      <c r="E199" t="s">
        <v>204</v>
      </c>
      <c r="F199" t="s">
        <v>198</v>
      </c>
      <c r="G199" t="s">
        <v>12</v>
      </c>
      <c r="H199" t="s">
        <v>19</v>
      </c>
    </row>
    <row r="200" spans="1:8" x14ac:dyDescent="0.3">
      <c r="A200" t="s">
        <v>642</v>
      </c>
      <c r="B200" t="s">
        <v>643</v>
      </c>
      <c r="C200">
        <v>54</v>
      </c>
      <c r="D200" t="s">
        <v>9</v>
      </c>
      <c r="E200" t="s">
        <v>644</v>
      </c>
      <c r="F200" t="s">
        <v>170</v>
      </c>
      <c r="G200" t="s">
        <v>12</v>
      </c>
      <c r="H200" t="s">
        <v>26</v>
      </c>
    </row>
    <row r="201" spans="1:8" x14ac:dyDescent="0.3">
      <c r="A201" t="s">
        <v>645</v>
      </c>
      <c r="B201" t="s">
        <v>646</v>
      </c>
      <c r="C201">
        <v>46</v>
      </c>
      <c r="D201" t="s">
        <v>9</v>
      </c>
      <c r="E201" t="s">
        <v>647</v>
      </c>
      <c r="F201" t="s">
        <v>234</v>
      </c>
      <c r="G201" t="s">
        <v>12</v>
      </c>
      <c r="H201" t="s">
        <v>26</v>
      </c>
    </row>
    <row r="202" spans="1:8" x14ac:dyDescent="0.3">
      <c r="A202" t="s">
        <v>648</v>
      </c>
      <c r="B202" t="s">
        <v>649</v>
      </c>
      <c r="C202">
        <v>30</v>
      </c>
      <c r="D202" t="s">
        <v>9</v>
      </c>
      <c r="E202" t="s">
        <v>650</v>
      </c>
      <c r="F202" t="s">
        <v>429</v>
      </c>
      <c r="G202" t="s">
        <v>12</v>
      </c>
      <c r="H202" t="s">
        <v>19</v>
      </c>
    </row>
    <row r="203" spans="1:8" x14ac:dyDescent="0.3">
      <c r="A203" t="s">
        <v>651</v>
      </c>
      <c r="B203" t="s">
        <v>652</v>
      </c>
      <c r="C203">
        <v>25</v>
      </c>
      <c r="D203" t="s">
        <v>16</v>
      </c>
      <c r="E203" t="s">
        <v>653</v>
      </c>
      <c r="F203" t="s">
        <v>155</v>
      </c>
      <c r="G203" t="s">
        <v>12</v>
      </c>
      <c r="H203" t="s">
        <v>26</v>
      </c>
    </row>
    <row r="204" spans="1:8" x14ac:dyDescent="0.3">
      <c r="A204" t="s">
        <v>654</v>
      </c>
      <c r="B204" t="s">
        <v>655</v>
      </c>
      <c r="C204">
        <v>37</v>
      </c>
      <c r="D204" t="s">
        <v>16</v>
      </c>
      <c r="E204" t="s">
        <v>656</v>
      </c>
      <c r="F204" t="s">
        <v>62</v>
      </c>
      <c r="G204" t="s">
        <v>12</v>
      </c>
      <c r="H204" t="s">
        <v>19</v>
      </c>
    </row>
    <row r="205" spans="1:8" x14ac:dyDescent="0.3">
      <c r="A205" t="s">
        <v>657</v>
      </c>
      <c r="B205" t="s">
        <v>658</v>
      </c>
      <c r="C205">
        <v>47</v>
      </c>
      <c r="D205" t="s">
        <v>9</v>
      </c>
      <c r="E205" t="s">
        <v>659</v>
      </c>
      <c r="F205" t="s">
        <v>264</v>
      </c>
      <c r="G205" t="s">
        <v>12</v>
      </c>
      <c r="H205" t="s">
        <v>19</v>
      </c>
    </row>
    <row r="206" spans="1:8" x14ac:dyDescent="0.3">
      <c r="A206" t="s">
        <v>660</v>
      </c>
      <c r="B206" t="s">
        <v>661</v>
      </c>
      <c r="C206">
        <v>52</v>
      </c>
      <c r="D206" t="s">
        <v>9</v>
      </c>
      <c r="E206" t="s">
        <v>662</v>
      </c>
      <c r="F206" t="s">
        <v>284</v>
      </c>
      <c r="G206" t="s">
        <v>12</v>
      </c>
      <c r="H206" t="s">
        <v>19</v>
      </c>
    </row>
    <row r="207" spans="1:8" x14ac:dyDescent="0.3">
      <c r="A207" t="s">
        <v>663</v>
      </c>
      <c r="B207" t="s">
        <v>664</v>
      </c>
      <c r="C207">
        <v>44</v>
      </c>
      <c r="D207" t="s">
        <v>16</v>
      </c>
      <c r="E207" t="s">
        <v>665</v>
      </c>
      <c r="F207" t="s">
        <v>88</v>
      </c>
      <c r="G207" t="s">
        <v>12</v>
      </c>
      <c r="H207" t="s">
        <v>13</v>
      </c>
    </row>
    <row r="208" spans="1:8" x14ac:dyDescent="0.3">
      <c r="A208" t="s">
        <v>666</v>
      </c>
      <c r="B208" t="s">
        <v>667</v>
      </c>
      <c r="C208">
        <v>26</v>
      </c>
      <c r="D208" t="s">
        <v>16</v>
      </c>
      <c r="E208" t="s">
        <v>668</v>
      </c>
      <c r="F208" t="s">
        <v>234</v>
      </c>
      <c r="G208" t="s">
        <v>12</v>
      </c>
      <c r="H208" t="s">
        <v>31</v>
      </c>
    </row>
    <row r="209" spans="1:8" x14ac:dyDescent="0.3">
      <c r="A209" t="s">
        <v>669</v>
      </c>
      <c r="B209" t="s">
        <v>670</v>
      </c>
      <c r="C209">
        <v>28</v>
      </c>
      <c r="D209" t="s">
        <v>16</v>
      </c>
      <c r="E209" t="s">
        <v>671</v>
      </c>
      <c r="F209" t="s">
        <v>88</v>
      </c>
      <c r="G209" t="s">
        <v>12</v>
      </c>
      <c r="H209" t="s">
        <v>26</v>
      </c>
    </row>
    <row r="210" spans="1:8" x14ac:dyDescent="0.3">
      <c r="A210" t="s">
        <v>672</v>
      </c>
      <c r="B210" t="s">
        <v>673</v>
      </c>
      <c r="C210">
        <v>54</v>
      </c>
      <c r="D210" t="s">
        <v>9</v>
      </c>
      <c r="E210" t="s">
        <v>674</v>
      </c>
      <c r="F210" t="s">
        <v>323</v>
      </c>
      <c r="G210" t="s">
        <v>12</v>
      </c>
      <c r="H210" t="s">
        <v>19</v>
      </c>
    </row>
    <row r="211" spans="1:8" x14ac:dyDescent="0.3">
      <c r="A211" t="s">
        <v>675</v>
      </c>
      <c r="B211" t="s">
        <v>676</v>
      </c>
      <c r="C211">
        <v>50</v>
      </c>
      <c r="D211" t="s">
        <v>16</v>
      </c>
      <c r="E211" t="s">
        <v>677</v>
      </c>
      <c r="F211" t="s">
        <v>429</v>
      </c>
      <c r="G211" t="s">
        <v>12</v>
      </c>
      <c r="H211" t="s">
        <v>19</v>
      </c>
    </row>
    <row r="212" spans="1:8" x14ac:dyDescent="0.3">
      <c r="A212" t="s">
        <v>678</v>
      </c>
      <c r="B212" t="s">
        <v>679</v>
      </c>
      <c r="C212">
        <v>48</v>
      </c>
      <c r="D212" t="s">
        <v>9</v>
      </c>
      <c r="E212" t="s">
        <v>680</v>
      </c>
      <c r="F212" t="s">
        <v>81</v>
      </c>
      <c r="G212" t="s">
        <v>12</v>
      </c>
      <c r="H212" t="s">
        <v>31</v>
      </c>
    </row>
    <row r="213" spans="1:8" x14ac:dyDescent="0.3">
      <c r="A213" t="s">
        <v>681</v>
      </c>
      <c r="B213" t="s">
        <v>682</v>
      </c>
      <c r="C213">
        <v>20</v>
      </c>
      <c r="D213" t="s">
        <v>16</v>
      </c>
      <c r="E213" t="s">
        <v>683</v>
      </c>
      <c r="F213" t="s">
        <v>92</v>
      </c>
      <c r="G213" t="s">
        <v>12</v>
      </c>
      <c r="H213" t="s">
        <v>31</v>
      </c>
    </row>
    <row r="214" spans="1:8" x14ac:dyDescent="0.3">
      <c r="A214" t="s">
        <v>684</v>
      </c>
      <c r="B214" t="s">
        <v>685</v>
      </c>
      <c r="C214">
        <v>63</v>
      </c>
      <c r="D214" t="s">
        <v>16</v>
      </c>
      <c r="E214" t="s">
        <v>686</v>
      </c>
      <c r="F214" t="s">
        <v>74</v>
      </c>
      <c r="G214" t="s">
        <v>12</v>
      </c>
      <c r="H214" t="s">
        <v>19</v>
      </c>
    </row>
    <row r="215" spans="1:8" x14ac:dyDescent="0.3">
      <c r="A215" t="s">
        <v>687</v>
      </c>
      <c r="B215" t="s">
        <v>688</v>
      </c>
      <c r="C215">
        <v>42</v>
      </c>
      <c r="D215" t="s">
        <v>16</v>
      </c>
      <c r="E215" t="s">
        <v>689</v>
      </c>
      <c r="F215" t="s">
        <v>18</v>
      </c>
      <c r="G215" t="s">
        <v>12</v>
      </c>
      <c r="H215" t="s">
        <v>19</v>
      </c>
    </row>
    <row r="216" spans="1:8" x14ac:dyDescent="0.3">
      <c r="A216" t="s">
        <v>690</v>
      </c>
      <c r="B216" t="s">
        <v>691</v>
      </c>
      <c r="C216">
        <v>61</v>
      </c>
      <c r="D216" t="s">
        <v>9</v>
      </c>
      <c r="E216" t="s">
        <v>692</v>
      </c>
      <c r="F216" t="s">
        <v>66</v>
      </c>
      <c r="G216" t="s">
        <v>12</v>
      </c>
      <c r="H216" t="s">
        <v>13</v>
      </c>
    </row>
    <row r="217" spans="1:8" x14ac:dyDescent="0.3">
      <c r="A217" t="s">
        <v>693</v>
      </c>
      <c r="B217" t="s">
        <v>694</v>
      </c>
      <c r="C217">
        <v>50</v>
      </c>
      <c r="D217" t="s">
        <v>16</v>
      </c>
      <c r="E217" t="s">
        <v>695</v>
      </c>
      <c r="F217" t="s">
        <v>35</v>
      </c>
      <c r="G217" t="s">
        <v>12</v>
      </c>
      <c r="H217" t="s">
        <v>13</v>
      </c>
    </row>
    <row r="218" spans="1:8" x14ac:dyDescent="0.3">
      <c r="A218" t="s">
        <v>696</v>
      </c>
      <c r="B218" t="s">
        <v>697</v>
      </c>
      <c r="C218">
        <v>44</v>
      </c>
      <c r="D218" t="s">
        <v>9</v>
      </c>
      <c r="E218" t="s">
        <v>698</v>
      </c>
      <c r="F218" t="s">
        <v>30</v>
      </c>
      <c r="G218" t="s">
        <v>12</v>
      </c>
      <c r="H218" t="s">
        <v>19</v>
      </c>
    </row>
    <row r="219" spans="1:8" x14ac:dyDescent="0.3">
      <c r="A219" t="s">
        <v>699</v>
      </c>
      <c r="B219" t="s">
        <v>700</v>
      </c>
      <c r="C219">
        <v>42</v>
      </c>
      <c r="D219" t="s">
        <v>9</v>
      </c>
      <c r="E219" t="s">
        <v>701</v>
      </c>
      <c r="F219" t="s">
        <v>113</v>
      </c>
      <c r="G219" t="s">
        <v>12</v>
      </c>
      <c r="H219" t="s">
        <v>31</v>
      </c>
    </row>
    <row r="220" spans="1:8" x14ac:dyDescent="0.3">
      <c r="A220" t="s">
        <v>702</v>
      </c>
      <c r="B220" t="s">
        <v>703</v>
      </c>
      <c r="C220">
        <v>46</v>
      </c>
      <c r="D220" t="s">
        <v>9</v>
      </c>
      <c r="E220" t="s">
        <v>704</v>
      </c>
      <c r="F220" t="s">
        <v>30</v>
      </c>
      <c r="G220" t="s">
        <v>12</v>
      </c>
      <c r="H220" t="s">
        <v>19</v>
      </c>
    </row>
    <row r="221" spans="1:8" x14ac:dyDescent="0.3">
      <c r="A221" t="s">
        <v>705</v>
      </c>
      <c r="B221" t="s">
        <v>706</v>
      </c>
      <c r="C221">
        <v>47</v>
      </c>
      <c r="D221" t="s">
        <v>16</v>
      </c>
      <c r="E221" t="s">
        <v>3813</v>
      </c>
      <c r="F221" t="s">
        <v>88</v>
      </c>
      <c r="G221" t="s">
        <v>12</v>
      </c>
      <c r="H221" t="s">
        <v>13</v>
      </c>
    </row>
    <row r="222" spans="1:8" x14ac:dyDescent="0.3">
      <c r="A222" t="s">
        <v>707</v>
      </c>
      <c r="B222" t="s">
        <v>708</v>
      </c>
      <c r="C222">
        <v>50</v>
      </c>
      <c r="D222" t="s">
        <v>16</v>
      </c>
      <c r="E222" t="s">
        <v>3812</v>
      </c>
      <c r="F222" t="s">
        <v>709</v>
      </c>
      <c r="G222" t="s">
        <v>3811</v>
      </c>
      <c r="H222" t="s">
        <v>26</v>
      </c>
    </row>
    <row r="223" spans="1:8" x14ac:dyDescent="0.3">
      <c r="A223" t="s">
        <v>710</v>
      </c>
      <c r="B223" t="s">
        <v>711</v>
      </c>
      <c r="C223">
        <v>38</v>
      </c>
      <c r="D223" t="s">
        <v>9</v>
      </c>
      <c r="E223" t="s">
        <v>712</v>
      </c>
      <c r="F223" t="s">
        <v>81</v>
      </c>
      <c r="G223" t="s">
        <v>12</v>
      </c>
      <c r="H223" t="s">
        <v>19</v>
      </c>
    </row>
    <row r="224" spans="1:8" x14ac:dyDescent="0.3">
      <c r="A224" t="s">
        <v>713</v>
      </c>
      <c r="B224" t="s">
        <v>714</v>
      </c>
      <c r="C224">
        <v>35</v>
      </c>
      <c r="D224" t="s">
        <v>9</v>
      </c>
      <c r="E224" t="s">
        <v>715</v>
      </c>
      <c r="F224" t="s">
        <v>230</v>
      </c>
      <c r="G224" t="s">
        <v>12</v>
      </c>
      <c r="H224" t="s">
        <v>19</v>
      </c>
    </row>
    <row r="225" spans="1:8" x14ac:dyDescent="0.3">
      <c r="A225" t="s">
        <v>716</v>
      </c>
      <c r="B225" t="s">
        <v>717</v>
      </c>
      <c r="C225">
        <v>50</v>
      </c>
      <c r="D225" t="s">
        <v>9</v>
      </c>
      <c r="E225" t="s">
        <v>3814</v>
      </c>
      <c r="F225" t="s">
        <v>264</v>
      </c>
      <c r="G225" t="s">
        <v>12</v>
      </c>
      <c r="H225" t="s">
        <v>19</v>
      </c>
    </row>
    <row r="226" spans="1:8" x14ac:dyDescent="0.3">
      <c r="A226" t="s">
        <v>718</v>
      </c>
      <c r="B226" t="s">
        <v>719</v>
      </c>
      <c r="C226">
        <v>29</v>
      </c>
      <c r="D226" t="s">
        <v>9</v>
      </c>
      <c r="E226" t="s">
        <v>720</v>
      </c>
      <c r="F226" t="s">
        <v>113</v>
      </c>
      <c r="G226" t="s">
        <v>12</v>
      </c>
      <c r="H226" t="s">
        <v>31</v>
      </c>
    </row>
    <row r="227" spans="1:8" x14ac:dyDescent="0.3">
      <c r="A227" t="s">
        <v>721</v>
      </c>
      <c r="B227" t="s">
        <v>722</v>
      </c>
      <c r="C227">
        <v>46</v>
      </c>
      <c r="D227" t="s">
        <v>16</v>
      </c>
      <c r="E227" t="s">
        <v>723</v>
      </c>
      <c r="F227" t="s">
        <v>117</v>
      </c>
      <c r="G227" t="s">
        <v>12</v>
      </c>
      <c r="H227" t="s">
        <v>19</v>
      </c>
    </row>
    <row r="228" spans="1:8" x14ac:dyDescent="0.3">
      <c r="A228" t="s">
        <v>724</v>
      </c>
      <c r="B228" t="s">
        <v>725</v>
      </c>
      <c r="C228">
        <v>54</v>
      </c>
      <c r="D228" t="s">
        <v>9</v>
      </c>
      <c r="E228" t="s">
        <v>213</v>
      </c>
      <c r="F228" t="s">
        <v>162</v>
      </c>
      <c r="G228" t="s">
        <v>12</v>
      </c>
      <c r="H228" t="s">
        <v>13</v>
      </c>
    </row>
    <row r="229" spans="1:8" x14ac:dyDescent="0.3">
      <c r="A229" t="s">
        <v>726</v>
      </c>
      <c r="B229" t="s">
        <v>727</v>
      </c>
      <c r="C229">
        <v>63</v>
      </c>
      <c r="D229" t="s">
        <v>16</v>
      </c>
      <c r="E229" t="s">
        <v>728</v>
      </c>
      <c r="F229" t="s">
        <v>62</v>
      </c>
      <c r="G229" t="s">
        <v>12</v>
      </c>
      <c r="H229" t="s">
        <v>13</v>
      </c>
    </row>
    <row r="230" spans="1:8" x14ac:dyDescent="0.3">
      <c r="A230" t="s">
        <v>729</v>
      </c>
      <c r="B230" t="s">
        <v>730</v>
      </c>
      <c r="C230">
        <v>52</v>
      </c>
      <c r="D230" t="s">
        <v>16</v>
      </c>
      <c r="E230" t="s">
        <v>390</v>
      </c>
      <c r="F230" t="s">
        <v>117</v>
      </c>
      <c r="G230" t="s">
        <v>12</v>
      </c>
      <c r="H230" t="s">
        <v>13</v>
      </c>
    </row>
    <row r="231" spans="1:8" x14ac:dyDescent="0.3">
      <c r="A231" t="s">
        <v>731</v>
      </c>
      <c r="B231" t="s">
        <v>732</v>
      </c>
      <c r="C231">
        <v>32</v>
      </c>
      <c r="D231" t="s">
        <v>16</v>
      </c>
      <c r="E231" t="s">
        <v>733</v>
      </c>
      <c r="F231" t="s">
        <v>139</v>
      </c>
      <c r="G231" t="s">
        <v>12</v>
      </c>
      <c r="H231" t="s">
        <v>26</v>
      </c>
    </row>
    <row r="232" spans="1:8" x14ac:dyDescent="0.3">
      <c r="A232" t="s">
        <v>734</v>
      </c>
      <c r="B232" t="s">
        <v>735</v>
      </c>
      <c r="C232">
        <v>29</v>
      </c>
      <c r="D232" t="s">
        <v>9</v>
      </c>
      <c r="E232" t="s">
        <v>736</v>
      </c>
      <c r="F232" t="s">
        <v>247</v>
      </c>
      <c r="G232" t="s">
        <v>12</v>
      </c>
      <c r="H232" t="s">
        <v>26</v>
      </c>
    </row>
    <row r="233" spans="1:8" x14ac:dyDescent="0.3">
      <c r="A233" t="s">
        <v>737</v>
      </c>
      <c r="B233" t="s">
        <v>738</v>
      </c>
      <c r="C233">
        <v>22</v>
      </c>
      <c r="D233" t="s">
        <v>16</v>
      </c>
      <c r="E233" t="s">
        <v>739</v>
      </c>
      <c r="F233" t="s">
        <v>312</v>
      </c>
      <c r="G233" t="s">
        <v>12</v>
      </c>
      <c r="H233" t="s">
        <v>26</v>
      </c>
    </row>
    <row r="234" spans="1:8" x14ac:dyDescent="0.3">
      <c r="A234" t="s">
        <v>740</v>
      </c>
      <c r="B234" t="s">
        <v>741</v>
      </c>
      <c r="C234">
        <v>27</v>
      </c>
      <c r="D234" t="s">
        <v>16</v>
      </c>
      <c r="E234" t="s">
        <v>742</v>
      </c>
      <c r="F234" t="s">
        <v>88</v>
      </c>
      <c r="G234" t="s">
        <v>12</v>
      </c>
      <c r="H234" t="s">
        <v>19</v>
      </c>
    </row>
    <row r="235" spans="1:8" x14ac:dyDescent="0.3">
      <c r="A235" t="s">
        <v>743</v>
      </c>
      <c r="B235" t="s">
        <v>744</v>
      </c>
      <c r="C235">
        <v>59</v>
      </c>
      <c r="D235" t="s">
        <v>9</v>
      </c>
      <c r="E235" t="s">
        <v>745</v>
      </c>
      <c r="F235" t="s">
        <v>43</v>
      </c>
      <c r="G235" t="s">
        <v>12</v>
      </c>
      <c r="H235" t="s">
        <v>31</v>
      </c>
    </row>
    <row r="236" spans="1:8" x14ac:dyDescent="0.3">
      <c r="A236" t="s">
        <v>746</v>
      </c>
      <c r="B236" t="s">
        <v>747</v>
      </c>
      <c r="C236">
        <v>43</v>
      </c>
      <c r="D236" t="s">
        <v>16</v>
      </c>
      <c r="E236" t="s">
        <v>748</v>
      </c>
      <c r="F236" t="s">
        <v>62</v>
      </c>
      <c r="G236" t="s">
        <v>12</v>
      </c>
      <c r="H236" t="s">
        <v>13</v>
      </c>
    </row>
    <row r="237" spans="1:8" x14ac:dyDescent="0.3">
      <c r="A237" t="s">
        <v>749</v>
      </c>
      <c r="B237" t="s">
        <v>750</v>
      </c>
      <c r="C237">
        <v>28</v>
      </c>
      <c r="D237" t="s">
        <v>16</v>
      </c>
      <c r="E237" t="s">
        <v>751</v>
      </c>
      <c r="F237" t="s">
        <v>92</v>
      </c>
      <c r="G237" t="s">
        <v>12</v>
      </c>
      <c r="H237" t="s">
        <v>26</v>
      </c>
    </row>
    <row r="238" spans="1:8" x14ac:dyDescent="0.3">
      <c r="A238" t="s">
        <v>752</v>
      </c>
      <c r="B238" t="s">
        <v>753</v>
      </c>
      <c r="C238">
        <v>42</v>
      </c>
      <c r="D238" t="s">
        <v>16</v>
      </c>
      <c r="E238" t="s">
        <v>754</v>
      </c>
      <c r="F238" t="s">
        <v>284</v>
      </c>
      <c r="G238" t="s">
        <v>12</v>
      </c>
      <c r="H238" t="s">
        <v>26</v>
      </c>
    </row>
    <row r="239" spans="1:8" x14ac:dyDescent="0.3">
      <c r="A239" t="s">
        <v>755</v>
      </c>
      <c r="B239" t="s">
        <v>756</v>
      </c>
      <c r="C239">
        <v>41</v>
      </c>
      <c r="D239" t="s">
        <v>16</v>
      </c>
      <c r="E239" t="s">
        <v>757</v>
      </c>
      <c r="F239" t="s">
        <v>66</v>
      </c>
      <c r="G239" t="s">
        <v>12</v>
      </c>
      <c r="H239" t="s">
        <v>13</v>
      </c>
    </row>
    <row r="240" spans="1:8" x14ac:dyDescent="0.3">
      <c r="A240" t="s">
        <v>758</v>
      </c>
      <c r="B240" t="s">
        <v>759</v>
      </c>
      <c r="C240">
        <v>40</v>
      </c>
      <c r="D240" t="s">
        <v>9</v>
      </c>
      <c r="E240" t="s">
        <v>760</v>
      </c>
      <c r="F240" t="s">
        <v>43</v>
      </c>
      <c r="G240" t="s">
        <v>12</v>
      </c>
      <c r="H240" t="s">
        <v>19</v>
      </c>
    </row>
    <row r="241" spans="1:8" x14ac:dyDescent="0.3">
      <c r="A241" t="s">
        <v>761</v>
      </c>
      <c r="B241" t="s">
        <v>762</v>
      </c>
      <c r="C241">
        <v>58</v>
      </c>
      <c r="D241" t="s">
        <v>16</v>
      </c>
      <c r="E241" t="s">
        <v>763</v>
      </c>
      <c r="F241" t="s">
        <v>181</v>
      </c>
      <c r="G241" t="s">
        <v>12</v>
      </c>
      <c r="H241" t="s">
        <v>19</v>
      </c>
    </row>
    <row r="242" spans="1:8" x14ac:dyDescent="0.3">
      <c r="A242" t="s">
        <v>764</v>
      </c>
      <c r="B242" t="s">
        <v>765</v>
      </c>
      <c r="C242">
        <v>59</v>
      </c>
      <c r="D242" t="s">
        <v>16</v>
      </c>
      <c r="E242" t="s">
        <v>766</v>
      </c>
      <c r="F242" t="s">
        <v>155</v>
      </c>
      <c r="G242" t="s">
        <v>12</v>
      </c>
      <c r="H242" t="s">
        <v>19</v>
      </c>
    </row>
    <row r="243" spans="1:8" x14ac:dyDescent="0.3">
      <c r="A243" t="s">
        <v>767</v>
      </c>
      <c r="B243" t="s">
        <v>768</v>
      </c>
      <c r="C243">
        <v>31</v>
      </c>
      <c r="D243" t="s">
        <v>9</v>
      </c>
      <c r="E243" t="s">
        <v>769</v>
      </c>
      <c r="F243" t="s">
        <v>284</v>
      </c>
      <c r="G243" t="s">
        <v>12</v>
      </c>
      <c r="H243" t="s">
        <v>19</v>
      </c>
    </row>
    <row r="244" spans="1:8" x14ac:dyDescent="0.3">
      <c r="A244" t="s">
        <v>770</v>
      </c>
      <c r="B244" t="s">
        <v>771</v>
      </c>
      <c r="C244">
        <v>58</v>
      </c>
      <c r="D244" t="s">
        <v>16</v>
      </c>
      <c r="E244" t="s">
        <v>772</v>
      </c>
      <c r="F244" t="s">
        <v>166</v>
      </c>
      <c r="G244" t="s">
        <v>12</v>
      </c>
      <c r="H244" t="s">
        <v>31</v>
      </c>
    </row>
    <row r="245" spans="1:8" x14ac:dyDescent="0.3">
      <c r="A245" t="s">
        <v>773</v>
      </c>
      <c r="B245" t="s">
        <v>774</v>
      </c>
      <c r="C245">
        <v>56</v>
      </c>
      <c r="D245" t="s">
        <v>16</v>
      </c>
      <c r="E245" t="s">
        <v>775</v>
      </c>
      <c r="F245" t="s">
        <v>354</v>
      </c>
      <c r="G245" t="s">
        <v>12</v>
      </c>
      <c r="H245" t="s">
        <v>13</v>
      </c>
    </row>
    <row r="246" spans="1:8" x14ac:dyDescent="0.3">
      <c r="A246" t="s">
        <v>776</v>
      </c>
      <c r="B246" t="s">
        <v>777</v>
      </c>
      <c r="C246">
        <v>19</v>
      </c>
      <c r="D246" t="s">
        <v>9</v>
      </c>
      <c r="E246" t="s">
        <v>778</v>
      </c>
      <c r="F246" t="s">
        <v>117</v>
      </c>
      <c r="G246" t="s">
        <v>12</v>
      </c>
      <c r="H246" t="s">
        <v>26</v>
      </c>
    </row>
    <row r="247" spans="1:8" x14ac:dyDescent="0.3">
      <c r="A247" t="s">
        <v>779</v>
      </c>
      <c r="B247" t="s">
        <v>780</v>
      </c>
      <c r="C247">
        <v>57</v>
      </c>
      <c r="D247" t="s">
        <v>16</v>
      </c>
      <c r="E247" t="s">
        <v>781</v>
      </c>
      <c r="F247" t="s">
        <v>155</v>
      </c>
      <c r="G247" t="s">
        <v>12</v>
      </c>
      <c r="H247" t="s">
        <v>19</v>
      </c>
    </row>
    <row r="248" spans="1:8" x14ac:dyDescent="0.3">
      <c r="A248" t="s">
        <v>782</v>
      </c>
      <c r="B248" t="s">
        <v>783</v>
      </c>
      <c r="C248">
        <v>58</v>
      </c>
      <c r="D248" t="s">
        <v>9</v>
      </c>
      <c r="E248" t="s">
        <v>784</v>
      </c>
      <c r="F248" t="s">
        <v>288</v>
      </c>
      <c r="G248" t="s">
        <v>12</v>
      </c>
      <c r="H248" t="s">
        <v>26</v>
      </c>
    </row>
    <row r="249" spans="1:8" x14ac:dyDescent="0.3">
      <c r="A249" t="s">
        <v>785</v>
      </c>
      <c r="B249" t="s">
        <v>786</v>
      </c>
      <c r="C249">
        <v>32</v>
      </c>
      <c r="D249" t="s">
        <v>9</v>
      </c>
      <c r="E249" t="s">
        <v>787</v>
      </c>
      <c r="F249" t="s">
        <v>47</v>
      </c>
      <c r="G249" t="s">
        <v>12</v>
      </c>
      <c r="H249" t="s">
        <v>19</v>
      </c>
    </row>
    <row r="250" spans="1:8" x14ac:dyDescent="0.3">
      <c r="A250" t="s">
        <v>788</v>
      </c>
      <c r="B250" t="s">
        <v>789</v>
      </c>
      <c r="C250">
        <v>19</v>
      </c>
      <c r="D250" t="s">
        <v>9</v>
      </c>
      <c r="E250" t="s">
        <v>790</v>
      </c>
      <c r="F250" t="s">
        <v>181</v>
      </c>
      <c r="G250" t="s">
        <v>12</v>
      </c>
      <c r="H250" t="s">
        <v>13</v>
      </c>
    </row>
    <row r="251" spans="1:8" x14ac:dyDescent="0.3">
      <c r="A251" t="s">
        <v>791</v>
      </c>
      <c r="B251" t="s">
        <v>792</v>
      </c>
      <c r="C251">
        <v>41</v>
      </c>
      <c r="D251" t="s">
        <v>16</v>
      </c>
      <c r="E251" t="s">
        <v>793</v>
      </c>
      <c r="F251" t="s">
        <v>58</v>
      </c>
      <c r="G251" t="s">
        <v>12</v>
      </c>
      <c r="H251" t="s">
        <v>13</v>
      </c>
    </row>
    <row r="252" spans="1:8" x14ac:dyDescent="0.3">
      <c r="A252" t="s">
        <v>794</v>
      </c>
      <c r="B252" t="s">
        <v>795</v>
      </c>
      <c r="C252">
        <v>48</v>
      </c>
      <c r="D252" t="s">
        <v>9</v>
      </c>
      <c r="E252" t="s">
        <v>796</v>
      </c>
      <c r="F252" t="s">
        <v>92</v>
      </c>
      <c r="G252" t="s">
        <v>12</v>
      </c>
      <c r="H252" t="s">
        <v>19</v>
      </c>
    </row>
    <row r="253" spans="1:8" x14ac:dyDescent="0.3">
      <c r="A253" t="s">
        <v>797</v>
      </c>
      <c r="B253" t="s">
        <v>798</v>
      </c>
      <c r="C253">
        <v>64</v>
      </c>
      <c r="D253" t="s">
        <v>9</v>
      </c>
      <c r="E253" t="s">
        <v>799</v>
      </c>
      <c r="F253" t="s">
        <v>22</v>
      </c>
      <c r="G253" t="s">
        <v>12</v>
      </c>
      <c r="H253" t="s">
        <v>31</v>
      </c>
    </row>
    <row r="254" spans="1:8" x14ac:dyDescent="0.3">
      <c r="A254" t="s">
        <v>800</v>
      </c>
      <c r="B254" t="s">
        <v>801</v>
      </c>
      <c r="C254">
        <v>26</v>
      </c>
      <c r="D254" t="s">
        <v>9</v>
      </c>
      <c r="E254" t="s">
        <v>802</v>
      </c>
      <c r="F254" t="s">
        <v>39</v>
      </c>
      <c r="G254" t="s">
        <v>12</v>
      </c>
      <c r="H254" t="s">
        <v>31</v>
      </c>
    </row>
    <row r="255" spans="1:8" x14ac:dyDescent="0.3">
      <c r="A255" t="s">
        <v>803</v>
      </c>
      <c r="B255" t="s">
        <v>3950</v>
      </c>
      <c r="C255">
        <v>32</v>
      </c>
      <c r="D255" t="s">
        <v>9</v>
      </c>
      <c r="E255" t="s">
        <v>804</v>
      </c>
      <c r="F255" t="s">
        <v>319</v>
      </c>
      <c r="G255" t="s">
        <v>12</v>
      </c>
      <c r="H255" t="s">
        <v>26</v>
      </c>
    </row>
    <row r="256" spans="1:8" x14ac:dyDescent="0.3">
      <c r="A256" t="s">
        <v>805</v>
      </c>
      <c r="B256" t="s">
        <v>806</v>
      </c>
      <c r="C256">
        <v>34</v>
      </c>
      <c r="D256" t="s">
        <v>9</v>
      </c>
      <c r="E256" t="s">
        <v>807</v>
      </c>
      <c r="F256" t="s">
        <v>162</v>
      </c>
      <c r="G256" t="s">
        <v>12</v>
      </c>
      <c r="H256" t="s">
        <v>31</v>
      </c>
    </row>
    <row r="257" spans="1:8" x14ac:dyDescent="0.3">
      <c r="A257" t="s">
        <v>808</v>
      </c>
      <c r="B257" t="s">
        <v>809</v>
      </c>
      <c r="C257">
        <v>21</v>
      </c>
      <c r="D257" t="s">
        <v>9</v>
      </c>
      <c r="E257" t="s">
        <v>810</v>
      </c>
      <c r="F257" t="s">
        <v>25</v>
      </c>
      <c r="G257" t="s">
        <v>12</v>
      </c>
      <c r="H257" t="s">
        <v>13</v>
      </c>
    </row>
    <row r="258" spans="1:8" x14ac:dyDescent="0.3">
      <c r="A258" t="s">
        <v>811</v>
      </c>
      <c r="B258" t="s">
        <v>812</v>
      </c>
      <c r="C258">
        <v>57</v>
      </c>
      <c r="D258" t="s">
        <v>9</v>
      </c>
      <c r="E258" t="s">
        <v>813</v>
      </c>
      <c r="F258" t="s">
        <v>288</v>
      </c>
      <c r="G258" t="s">
        <v>12</v>
      </c>
      <c r="H258" t="s">
        <v>19</v>
      </c>
    </row>
    <row r="259" spans="1:8" x14ac:dyDescent="0.3">
      <c r="A259" t="s">
        <v>814</v>
      </c>
      <c r="B259" t="s">
        <v>815</v>
      </c>
      <c r="C259">
        <v>42</v>
      </c>
      <c r="D259" t="s">
        <v>9</v>
      </c>
      <c r="E259" t="s">
        <v>816</v>
      </c>
      <c r="F259" t="s">
        <v>709</v>
      </c>
      <c r="G259" t="s">
        <v>12</v>
      </c>
      <c r="H259" t="s">
        <v>31</v>
      </c>
    </row>
    <row r="260" spans="1:8" x14ac:dyDescent="0.3">
      <c r="A260" t="s">
        <v>817</v>
      </c>
      <c r="B260" t="s">
        <v>818</v>
      </c>
      <c r="C260">
        <v>24</v>
      </c>
      <c r="D260" t="s">
        <v>16</v>
      </c>
      <c r="E260" t="s">
        <v>819</v>
      </c>
      <c r="F260" t="s">
        <v>354</v>
      </c>
      <c r="G260" t="s">
        <v>12</v>
      </c>
      <c r="H260" t="s">
        <v>19</v>
      </c>
    </row>
    <row r="261" spans="1:8" x14ac:dyDescent="0.3">
      <c r="A261" t="s">
        <v>820</v>
      </c>
      <c r="B261" t="s">
        <v>821</v>
      </c>
      <c r="C261">
        <v>32</v>
      </c>
      <c r="D261" t="s">
        <v>16</v>
      </c>
      <c r="E261" t="s">
        <v>822</v>
      </c>
      <c r="F261" t="s">
        <v>96</v>
      </c>
      <c r="G261" t="s">
        <v>12</v>
      </c>
      <c r="H261" t="s">
        <v>31</v>
      </c>
    </row>
    <row r="262" spans="1:8" x14ac:dyDescent="0.3">
      <c r="A262" t="s">
        <v>823</v>
      </c>
      <c r="B262" t="s">
        <v>824</v>
      </c>
      <c r="C262">
        <v>63</v>
      </c>
      <c r="D262" t="s">
        <v>16</v>
      </c>
      <c r="E262" t="s">
        <v>825</v>
      </c>
      <c r="F262" t="s">
        <v>133</v>
      </c>
      <c r="G262" t="s">
        <v>12</v>
      </c>
      <c r="H262" t="s">
        <v>19</v>
      </c>
    </row>
    <row r="263" spans="1:8" x14ac:dyDescent="0.3">
      <c r="A263" t="s">
        <v>826</v>
      </c>
      <c r="B263" t="s">
        <v>827</v>
      </c>
      <c r="C263">
        <v>27</v>
      </c>
      <c r="D263" t="s">
        <v>16</v>
      </c>
      <c r="E263" t="s">
        <v>828</v>
      </c>
      <c r="F263" t="s">
        <v>35</v>
      </c>
      <c r="G263" t="s">
        <v>12</v>
      </c>
      <c r="H263" t="s">
        <v>31</v>
      </c>
    </row>
    <row r="264" spans="1:8" x14ac:dyDescent="0.3">
      <c r="A264" t="s">
        <v>829</v>
      </c>
      <c r="B264" t="s">
        <v>830</v>
      </c>
      <c r="C264">
        <v>60</v>
      </c>
      <c r="D264" t="s">
        <v>16</v>
      </c>
      <c r="E264" t="s">
        <v>831</v>
      </c>
      <c r="F264" t="s">
        <v>66</v>
      </c>
      <c r="G264" t="s">
        <v>12</v>
      </c>
      <c r="H264" t="s">
        <v>31</v>
      </c>
    </row>
    <row r="265" spans="1:8" x14ac:dyDescent="0.3">
      <c r="A265" t="s">
        <v>832</v>
      </c>
      <c r="B265" t="s">
        <v>833</v>
      </c>
      <c r="C265">
        <v>50</v>
      </c>
      <c r="D265" t="s">
        <v>9</v>
      </c>
      <c r="E265" t="s">
        <v>834</v>
      </c>
      <c r="F265" t="s">
        <v>323</v>
      </c>
      <c r="G265" t="s">
        <v>12</v>
      </c>
      <c r="H265" t="s">
        <v>26</v>
      </c>
    </row>
    <row r="266" spans="1:8" x14ac:dyDescent="0.3">
      <c r="A266" t="s">
        <v>835</v>
      </c>
      <c r="B266" t="s">
        <v>836</v>
      </c>
      <c r="C266">
        <v>25</v>
      </c>
      <c r="D266" t="s">
        <v>9</v>
      </c>
      <c r="E266" t="s">
        <v>837</v>
      </c>
      <c r="F266" t="s">
        <v>838</v>
      </c>
      <c r="G266" t="s">
        <v>12</v>
      </c>
      <c r="H266" t="s">
        <v>13</v>
      </c>
    </row>
    <row r="267" spans="1:8" x14ac:dyDescent="0.3">
      <c r="A267" t="s">
        <v>839</v>
      </c>
      <c r="B267" t="s">
        <v>840</v>
      </c>
      <c r="C267">
        <v>38</v>
      </c>
      <c r="D267" t="s">
        <v>9</v>
      </c>
      <c r="E267" t="s">
        <v>841</v>
      </c>
      <c r="F267" t="s">
        <v>234</v>
      </c>
      <c r="G267" t="s">
        <v>12</v>
      </c>
      <c r="H267" t="s">
        <v>31</v>
      </c>
    </row>
    <row r="268" spans="1:8" x14ac:dyDescent="0.3">
      <c r="A268" t="s">
        <v>842</v>
      </c>
      <c r="B268" t="s">
        <v>843</v>
      </c>
      <c r="C268">
        <v>32</v>
      </c>
      <c r="D268" t="s">
        <v>16</v>
      </c>
      <c r="E268" t="s">
        <v>844</v>
      </c>
      <c r="F268" t="s">
        <v>582</v>
      </c>
      <c r="G268" t="s">
        <v>12</v>
      </c>
      <c r="H268" t="s">
        <v>26</v>
      </c>
    </row>
    <row r="269" spans="1:8" x14ac:dyDescent="0.3">
      <c r="A269" t="s">
        <v>845</v>
      </c>
      <c r="B269" t="s">
        <v>846</v>
      </c>
      <c r="C269">
        <v>18</v>
      </c>
      <c r="D269" t="s">
        <v>9</v>
      </c>
      <c r="E269" t="s">
        <v>775</v>
      </c>
      <c r="F269" t="s">
        <v>66</v>
      </c>
      <c r="G269" t="s">
        <v>12</v>
      </c>
      <c r="H269" t="s">
        <v>26</v>
      </c>
    </row>
    <row r="270" spans="1:8" x14ac:dyDescent="0.3">
      <c r="A270" t="s">
        <v>847</v>
      </c>
      <c r="B270" t="s">
        <v>848</v>
      </c>
      <c r="C270">
        <v>53</v>
      </c>
      <c r="D270" t="s">
        <v>16</v>
      </c>
      <c r="E270" t="s">
        <v>849</v>
      </c>
      <c r="F270" t="s">
        <v>198</v>
      </c>
      <c r="G270" t="s">
        <v>12</v>
      </c>
      <c r="H270" t="s">
        <v>26</v>
      </c>
    </row>
    <row r="271" spans="1:8" x14ac:dyDescent="0.3">
      <c r="A271" t="s">
        <v>850</v>
      </c>
      <c r="B271" t="s">
        <v>851</v>
      </c>
      <c r="C271">
        <v>45</v>
      </c>
      <c r="D271" t="s">
        <v>16</v>
      </c>
      <c r="E271" t="s">
        <v>852</v>
      </c>
      <c r="F271" t="s">
        <v>30</v>
      </c>
      <c r="G271" t="s">
        <v>12</v>
      </c>
      <c r="H271" t="s">
        <v>31</v>
      </c>
    </row>
    <row r="272" spans="1:8" x14ac:dyDescent="0.3">
      <c r="A272" t="s">
        <v>853</v>
      </c>
      <c r="B272" t="s">
        <v>854</v>
      </c>
      <c r="C272">
        <v>31</v>
      </c>
      <c r="D272" t="s">
        <v>16</v>
      </c>
      <c r="E272" t="s">
        <v>855</v>
      </c>
      <c r="F272" t="s">
        <v>323</v>
      </c>
      <c r="G272" t="s">
        <v>12</v>
      </c>
      <c r="H272" t="s">
        <v>13</v>
      </c>
    </row>
    <row r="273" spans="1:8" x14ac:dyDescent="0.3">
      <c r="A273" t="s">
        <v>856</v>
      </c>
      <c r="B273" t="s">
        <v>3951</v>
      </c>
      <c r="C273">
        <v>64</v>
      </c>
      <c r="D273" t="s">
        <v>9</v>
      </c>
      <c r="E273" t="s">
        <v>857</v>
      </c>
      <c r="F273" t="s">
        <v>70</v>
      </c>
      <c r="G273" t="s">
        <v>12</v>
      </c>
      <c r="H273" t="s">
        <v>19</v>
      </c>
    </row>
    <row r="274" spans="1:8" x14ac:dyDescent="0.3">
      <c r="A274" t="s">
        <v>858</v>
      </c>
      <c r="B274" t="s">
        <v>859</v>
      </c>
      <c r="C274">
        <v>48</v>
      </c>
      <c r="D274" t="s">
        <v>16</v>
      </c>
      <c r="E274" t="s">
        <v>860</v>
      </c>
      <c r="F274" t="s">
        <v>30</v>
      </c>
      <c r="G274" t="s">
        <v>12</v>
      </c>
      <c r="H274" t="s">
        <v>13</v>
      </c>
    </row>
    <row r="275" spans="1:8" x14ac:dyDescent="0.3">
      <c r="A275" t="s">
        <v>861</v>
      </c>
      <c r="B275" t="s">
        <v>862</v>
      </c>
      <c r="C275">
        <v>23</v>
      </c>
      <c r="D275" t="s">
        <v>9</v>
      </c>
      <c r="E275" t="s">
        <v>863</v>
      </c>
      <c r="F275" t="s">
        <v>309</v>
      </c>
      <c r="G275" t="s">
        <v>12</v>
      </c>
      <c r="H275" t="s">
        <v>26</v>
      </c>
    </row>
    <row r="276" spans="1:8" x14ac:dyDescent="0.3">
      <c r="A276" t="s">
        <v>864</v>
      </c>
      <c r="B276" t="s">
        <v>865</v>
      </c>
      <c r="C276">
        <v>38</v>
      </c>
      <c r="D276" t="s">
        <v>9</v>
      </c>
      <c r="E276" t="s">
        <v>866</v>
      </c>
      <c r="F276" t="s">
        <v>170</v>
      </c>
      <c r="G276" t="s">
        <v>12</v>
      </c>
      <c r="H276" t="s">
        <v>31</v>
      </c>
    </row>
    <row r="277" spans="1:8" x14ac:dyDescent="0.3">
      <c r="A277" t="s">
        <v>867</v>
      </c>
      <c r="B277" t="s">
        <v>868</v>
      </c>
      <c r="C277">
        <v>22</v>
      </c>
      <c r="D277" t="s">
        <v>9</v>
      </c>
      <c r="E277" t="s">
        <v>869</v>
      </c>
      <c r="F277" t="s">
        <v>582</v>
      </c>
      <c r="G277" t="s">
        <v>12</v>
      </c>
      <c r="H277" t="s">
        <v>13</v>
      </c>
    </row>
    <row r="278" spans="1:8" x14ac:dyDescent="0.3">
      <c r="A278" t="s">
        <v>870</v>
      </c>
      <c r="B278" t="s">
        <v>871</v>
      </c>
      <c r="C278">
        <v>38</v>
      </c>
      <c r="D278" t="s">
        <v>9</v>
      </c>
      <c r="E278" t="s">
        <v>872</v>
      </c>
      <c r="F278" t="s">
        <v>181</v>
      </c>
      <c r="G278" t="s">
        <v>12</v>
      </c>
      <c r="H278" t="s">
        <v>13</v>
      </c>
    </row>
    <row r="279" spans="1:8" x14ac:dyDescent="0.3">
      <c r="A279" t="s">
        <v>873</v>
      </c>
      <c r="B279" t="s">
        <v>874</v>
      </c>
      <c r="C279">
        <v>22</v>
      </c>
      <c r="D279" t="s">
        <v>16</v>
      </c>
      <c r="E279" t="s">
        <v>875</v>
      </c>
      <c r="F279" t="s">
        <v>271</v>
      </c>
      <c r="G279" t="s">
        <v>12</v>
      </c>
      <c r="H279" t="s">
        <v>19</v>
      </c>
    </row>
    <row r="280" spans="1:8" x14ac:dyDescent="0.3">
      <c r="A280" t="s">
        <v>876</v>
      </c>
      <c r="B280" t="s">
        <v>877</v>
      </c>
      <c r="C280">
        <v>42</v>
      </c>
      <c r="D280" t="s">
        <v>16</v>
      </c>
      <c r="E280" t="s">
        <v>878</v>
      </c>
      <c r="F280" t="s">
        <v>214</v>
      </c>
      <c r="G280" t="s">
        <v>12</v>
      </c>
      <c r="H280" t="s">
        <v>19</v>
      </c>
    </row>
    <row r="281" spans="1:8" x14ac:dyDescent="0.3">
      <c r="A281" t="s">
        <v>879</v>
      </c>
      <c r="B281" t="s">
        <v>880</v>
      </c>
      <c r="C281">
        <v>21</v>
      </c>
      <c r="D281" t="s">
        <v>16</v>
      </c>
      <c r="E281" t="s">
        <v>881</v>
      </c>
      <c r="F281" t="s">
        <v>25</v>
      </c>
      <c r="G281" t="s">
        <v>12</v>
      </c>
      <c r="H281" t="s">
        <v>26</v>
      </c>
    </row>
    <row r="282" spans="1:8" x14ac:dyDescent="0.3">
      <c r="A282" t="s">
        <v>882</v>
      </c>
      <c r="B282" t="s">
        <v>883</v>
      </c>
      <c r="C282">
        <v>48</v>
      </c>
      <c r="D282" t="s">
        <v>9</v>
      </c>
      <c r="E282" t="s">
        <v>884</v>
      </c>
      <c r="F282" t="s">
        <v>99</v>
      </c>
      <c r="G282" t="s">
        <v>12</v>
      </c>
      <c r="H282" t="s">
        <v>26</v>
      </c>
    </row>
    <row r="283" spans="1:8" x14ac:dyDescent="0.3">
      <c r="A283" t="s">
        <v>885</v>
      </c>
      <c r="B283" t="s">
        <v>886</v>
      </c>
      <c r="C283">
        <v>59</v>
      </c>
      <c r="D283" t="s">
        <v>9</v>
      </c>
      <c r="E283" t="s">
        <v>887</v>
      </c>
      <c r="F283" t="s">
        <v>166</v>
      </c>
      <c r="G283" t="s">
        <v>12</v>
      </c>
      <c r="H283" t="s">
        <v>19</v>
      </c>
    </row>
    <row r="284" spans="1:8" x14ac:dyDescent="0.3">
      <c r="A284" t="s">
        <v>888</v>
      </c>
      <c r="B284" t="s">
        <v>889</v>
      </c>
      <c r="C284">
        <v>46</v>
      </c>
      <c r="D284" t="s">
        <v>16</v>
      </c>
      <c r="E284" t="s">
        <v>890</v>
      </c>
      <c r="F284" t="s">
        <v>88</v>
      </c>
      <c r="G284" t="s">
        <v>12</v>
      </c>
      <c r="H284" t="s">
        <v>13</v>
      </c>
    </row>
    <row r="285" spans="1:8" x14ac:dyDescent="0.3">
      <c r="A285" t="s">
        <v>891</v>
      </c>
      <c r="B285" t="s">
        <v>892</v>
      </c>
      <c r="C285">
        <v>54</v>
      </c>
      <c r="D285" t="s">
        <v>16</v>
      </c>
      <c r="E285" t="s">
        <v>893</v>
      </c>
      <c r="F285" t="s">
        <v>838</v>
      </c>
      <c r="G285" t="s">
        <v>12</v>
      </c>
      <c r="H285" t="s">
        <v>31</v>
      </c>
    </row>
    <row r="286" spans="1:8" x14ac:dyDescent="0.3">
      <c r="A286" t="s">
        <v>894</v>
      </c>
      <c r="B286" t="s">
        <v>895</v>
      </c>
      <c r="C286">
        <v>54</v>
      </c>
      <c r="D286" t="s">
        <v>9</v>
      </c>
      <c r="E286" t="s">
        <v>896</v>
      </c>
      <c r="F286" t="s">
        <v>166</v>
      </c>
      <c r="G286" t="s">
        <v>12</v>
      </c>
      <c r="H286" t="s">
        <v>13</v>
      </c>
    </row>
    <row r="287" spans="1:8" x14ac:dyDescent="0.3">
      <c r="A287" t="s">
        <v>897</v>
      </c>
      <c r="B287" t="s">
        <v>898</v>
      </c>
      <c r="C287">
        <v>46</v>
      </c>
      <c r="D287" t="s">
        <v>16</v>
      </c>
      <c r="E287" t="s">
        <v>899</v>
      </c>
      <c r="F287" t="s">
        <v>709</v>
      </c>
      <c r="G287" t="s">
        <v>12</v>
      </c>
      <c r="H287" t="s">
        <v>31</v>
      </c>
    </row>
    <row r="288" spans="1:8" x14ac:dyDescent="0.3">
      <c r="A288" t="s">
        <v>900</v>
      </c>
      <c r="B288" t="s">
        <v>901</v>
      </c>
      <c r="C288">
        <v>22</v>
      </c>
      <c r="D288" t="s">
        <v>9</v>
      </c>
      <c r="E288" t="s">
        <v>902</v>
      </c>
      <c r="F288" t="s">
        <v>39</v>
      </c>
      <c r="G288" t="s">
        <v>12</v>
      </c>
      <c r="H288" t="s">
        <v>31</v>
      </c>
    </row>
    <row r="289" spans="1:8" x14ac:dyDescent="0.3">
      <c r="A289" t="s">
        <v>903</v>
      </c>
      <c r="B289" t="s">
        <v>904</v>
      </c>
      <c r="C289">
        <v>22</v>
      </c>
      <c r="D289" t="s">
        <v>16</v>
      </c>
      <c r="E289" t="s">
        <v>905</v>
      </c>
      <c r="F289" t="s">
        <v>170</v>
      </c>
      <c r="G289" t="s">
        <v>12</v>
      </c>
      <c r="H289" t="s">
        <v>13</v>
      </c>
    </row>
    <row r="290" spans="1:8" x14ac:dyDescent="0.3">
      <c r="A290" t="s">
        <v>906</v>
      </c>
      <c r="B290" t="s">
        <v>907</v>
      </c>
      <c r="C290">
        <v>58</v>
      </c>
      <c r="D290" t="s">
        <v>9</v>
      </c>
      <c r="E290" t="s">
        <v>908</v>
      </c>
      <c r="F290" t="s">
        <v>166</v>
      </c>
      <c r="G290" t="s">
        <v>12</v>
      </c>
      <c r="H290" t="s">
        <v>13</v>
      </c>
    </row>
    <row r="291" spans="1:8" x14ac:dyDescent="0.3">
      <c r="A291" t="s">
        <v>909</v>
      </c>
      <c r="B291" t="s">
        <v>910</v>
      </c>
      <c r="C291">
        <v>45</v>
      </c>
      <c r="D291" t="s">
        <v>9</v>
      </c>
      <c r="E291" t="s">
        <v>911</v>
      </c>
      <c r="F291" t="s">
        <v>25</v>
      </c>
      <c r="G291" t="s">
        <v>12</v>
      </c>
      <c r="H291" t="s">
        <v>26</v>
      </c>
    </row>
    <row r="292" spans="1:8" x14ac:dyDescent="0.3">
      <c r="A292" t="s">
        <v>912</v>
      </c>
      <c r="B292" t="s">
        <v>3952</v>
      </c>
      <c r="C292">
        <v>52</v>
      </c>
      <c r="D292" t="s">
        <v>16</v>
      </c>
      <c r="E292" t="s">
        <v>913</v>
      </c>
      <c r="F292" t="s">
        <v>284</v>
      </c>
      <c r="G292" t="s">
        <v>12</v>
      </c>
      <c r="H292" t="s">
        <v>31</v>
      </c>
    </row>
    <row r="293" spans="1:8" x14ac:dyDescent="0.3">
      <c r="A293" t="s">
        <v>914</v>
      </c>
      <c r="B293" t="s">
        <v>915</v>
      </c>
      <c r="C293">
        <v>40</v>
      </c>
      <c r="D293" t="s">
        <v>16</v>
      </c>
      <c r="E293" t="s">
        <v>916</v>
      </c>
      <c r="F293" t="s">
        <v>113</v>
      </c>
      <c r="G293" t="s">
        <v>12</v>
      </c>
      <c r="H293" t="s">
        <v>26</v>
      </c>
    </row>
    <row r="294" spans="1:8" x14ac:dyDescent="0.3">
      <c r="A294" t="s">
        <v>917</v>
      </c>
      <c r="B294" t="s">
        <v>918</v>
      </c>
      <c r="C294">
        <v>30</v>
      </c>
      <c r="D294" t="s">
        <v>9</v>
      </c>
      <c r="E294" t="s">
        <v>919</v>
      </c>
      <c r="F294" t="s">
        <v>198</v>
      </c>
      <c r="G294" t="s">
        <v>12</v>
      </c>
      <c r="H294" t="s">
        <v>31</v>
      </c>
    </row>
    <row r="295" spans="1:8" x14ac:dyDescent="0.3">
      <c r="A295" t="s">
        <v>920</v>
      </c>
      <c r="B295" t="s">
        <v>921</v>
      </c>
      <c r="C295">
        <v>56</v>
      </c>
      <c r="D295" t="s">
        <v>16</v>
      </c>
      <c r="E295" t="s">
        <v>922</v>
      </c>
      <c r="F295" t="s">
        <v>323</v>
      </c>
      <c r="G295" t="s">
        <v>12</v>
      </c>
      <c r="H295" t="s">
        <v>19</v>
      </c>
    </row>
    <row r="296" spans="1:8" x14ac:dyDescent="0.3">
      <c r="A296" t="s">
        <v>923</v>
      </c>
      <c r="B296" t="s">
        <v>924</v>
      </c>
      <c r="C296">
        <v>29</v>
      </c>
      <c r="D296" t="s">
        <v>9</v>
      </c>
      <c r="E296" t="s">
        <v>567</v>
      </c>
      <c r="F296" t="s">
        <v>66</v>
      </c>
      <c r="G296" t="s">
        <v>12</v>
      </c>
      <c r="H296" t="s">
        <v>19</v>
      </c>
    </row>
    <row r="297" spans="1:8" x14ac:dyDescent="0.3">
      <c r="A297" t="s">
        <v>925</v>
      </c>
      <c r="B297" t="s">
        <v>926</v>
      </c>
      <c r="C297">
        <v>19</v>
      </c>
      <c r="D297" t="s">
        <v>16</v>
      </c>
      <c r="E297" t="s">
        <v>927</v>
      </c>
      <c r="F297" t="s">
        <v>62</v>
      </c>
      <c r="G297" t="s">
        <v>12</v>
      </c>
      <c r="H297" t="s">
        <v>26</v>
      </c>
    </row>
    <row r="298" spans="1:8" x14ac:dyDescent="0.3">
      <c r="A298" t="s">
        <v>928</v>
      </c>
      <c r="B298" t="s">
        <v>929</v>
      </c>
      <c r="C298">
        <v>28</v>
      </c>
      <c r="D298" t="s">
        <v>16</v>
      </c>
      <c r="E298" t="s">
        <v>294</v>
      </c>
      <c r="F298" t="s">
        <v>43</v>
      </c>
      <c r="G298" t="s">
        <v>12</v>
      </c>
      <c r="H298" t="s">
        <v>26</v>
      </c>
    </row>
    <row r="299" spans="1:8" x14ac:dyDescent="0.3">
      <c r="A299" t="s">
        <v>930</v>
      </c>
      <c r="B299" t="s">
        <v>931</v>
      </c>
      <c r="C299">
        <v>47</v>
      </c>
      <c r="D299" t="s">
        <v>16</v>
      </c>
      <c r="E299" t="s">
        <v>932</v>
      </c>
      <c r="F299" t="s">
        <v>113</v>
      </c>
      <c r="G299" t="s">
        <v>12</v>
      </c>
      <c r="H299" t="s">
        <v>31</v>
      </c>
    </row>
    <row r="300" spans="1:8" x14ac:dyDescent="0.3">
      <c r="A300" t="s">
        <v>933</v>
      </c>
      <c r="B300" t="s">
        <v>934</v>
      </c>
      <c r="C300">
        <v>64</v>
      </c>
      <c r="D300" t="s">
        <v>9</v>
      </c>
      <c r="E300" t="s">
        <v>935</v>
      </c>
      <c r="F300" t="s">
        <v>429</v>
      </c>
      <c r="G300" t="s">
        <v>12</v>
      </c>
      <c r="H300" t="s">
        <v>19</v>
      </c>
    </row>
    <row r="301" spans="1:8" x14ac:dyDescent="0.3">
      <c r="A301" t="s">
        <v>936</v>
      </c>
      <c r="B301" t="s">
        <v>937</v>
      </c>
      <c r="C301">
        <v>48</v>
      </c>
      <c r="D301" t="s">
        <v>16</v>
      </c>
      <c r="E301" t="s">
        <v>938</v>
      </c>
      <c r="F301" t="s">
        <v>323</v>
      </c>
      <c r="G301" t="s">
        <v>12</v>
      </c>
      <c r="H301" t="s">
        <v>19</v>
      </c>
    </row>
    <row r="302" spans="1:8" x14ac:dyDescent="0.3">
      <c r="A302" t="s">
        <v>939</v>
      </c>
      <c r="B302" t="s">
        <v>940</v>
      </c>
      <c r="C302">
        <v>29</v>
      </c>
      <c r="D302" t="s">
        <v>9</v>
      </c>
      <c r="E302" t="s">
        <v>941</v>
      </c>
      <c r="F302" t="s">
        <v>35</v>
      </c>
      <c r="G302" t="s">
        <v>12</v>
      </c>
      <c r="H302" t="s">
        <v>31</v>
      </c>
    </row>
    <row r="303" spans="1:8" x14ac:dyDescent="0.3">
      <c r="A303" t="s">
        <v>942</v>
      </c>
      <c r="B303" t="s">
        <v>943</v>
      </c>
      <c r="C303">
        <v>50</v>
      </c>
      <c r="D303" t="s">
        <v>9</v>
      </c>
      <c r="E303" t="s">
        <v>944</v>
      </c>
      <c r="F303" t="s">
        <v>284</v>
      </c>
      <c r="G303" t="s">
        <v>12</v>
      </c>
      <c r="H303" t="s">
        <v>13</v>
      </c>
    </row>
    <row r="304" spans="1:8" x14ac:dyDescent="0.3">
      <c r="A304" t="s">
        <v>945</v>
      </c>
      <c r="B304" t="s">
        <v>946</v>
      </c>
      <c r="C304">
        <v>36</v>
      </c>
      <c r="D304" t="s">
        <v>9</v>
      </c>
      <c r="E304" t="s">
        <v>947</v>
      </c>
      <c r="F304" t="s">
        <v>133</v>
      </c>
      <c r="G304" t="s">
        <v>12</v>
      </c>
      <c r="H304" t="s">
        <v>13</v>
      </c>
    </row>
    <row r="305" spans="1:8" x14ac:dyDescent="0.3">
      <c r="A305" t="s">
        <v>948</v>
      </c>
      <c r="B305" t="s">
        <v>949</v>
      </c>
      <c r="C305">
        <v>23</v>
      </c>
      <c r="D305" t="s">
        <v>16</v>
      </c>
      <c r="E305" t="s">
        <v>950</v>
      </c>
      <c r="F305" t="s">
        <v>92</v>
      </c>
      <c r="G305" t="s">
        <v>12</v>
      </c>
      <c r="H305" t="s">
        <v>19</v>
      </c>
    </row>
    <row r="306" spans="1:8" x14ac:dyDescent="0.3">
      <c r="A306" t="s">
        <v>951</v>
      </c>
      <c r="B306" t="s">
        <v>3953</v>
      </c>
      <c r="C306">
        <v>41</v>
      </c>
      <c r="D306" t="s">
        <v>9</v>
      </c>
      <c r="E306" t="s">
        <v>952</v>
      </c>
      <c r="F306" t="s">
        <v>62</v>
      </c>
      <c r="G306" t="s">
        <v>12</v>
      </c>
      <c r="H306" t="s">
        <v>31</v>
      </c>
    </row>
    <row r="307" spans="1:8" x14ac:dyDescent="0.3">
      <c r="A307" t="s">
        <v>953</v>
      </c>
      <c r="B307" t="s">
        <v>954</v>
      </c>
      <c r="C307">
        <v>64</v>
      </c>
      <c r="D307" t="s">
        <v>9</v>
      </c>
      <c r="E307" t="s">
        <v>955</v>
      </c>
      <c r="F307" t="s">
        <v>74</v>
      </c>
      <c r="G307" t="s">
        <v>12</v>
      </c>
      <c r="H307" t="s">
        <v>19</v>
      </c>
    </row>
    <row r="308" spans="1:8" x14ac:dyDescent="0.3">
      <c r="A308" t="s">
        <v>956</v>
      </c>
      <c r="B308" t="s">
        <v>957</v>
      </c>
      <c r="C308">
        <v>44</v>
      </c>
      <c r="D308" t="s">
        <v>9</v>
      </c>
      <c r="E308" t="s">
        <v>958</v>
      </c>
      <c r="F308" t="s">
        <v>234</v>
      </c>
      <c r="G308" t="s">
        <v>12</v>
      </c>
      <c r="H308" t="s">
        <v>19</v>
      </c>
    </row>
    <row r="309" spans="1:8" x14ac:dyDescent="0.3">
      <c r="A309" t="s">
        <v>959</v>
      </c>
      <c r="B309" t="s">
        <v>960</v>
      </c>
      <c r="C309">
        <v>56</v>
      </c>
      <c r="D309" t="s">
        <v>16</v>
      </c>
      <c r="E309" t="s">
        <v>961</v>
      </c>
      <c r="F309" t="s">
        <v>22</v>
      </c>
      <c r="G309" t="s">
        <v>12</v>
      </c>
      <c r="H309" t="s">
        <v>26</v>
      </c>
    </row>
    <row r="310" spans="1:8" x14ac:dyDescent="0.3">
      <c r="A310" t="s">
        <v>962</v>
      </c>
      <c r="B310" t="s">
        <v>963</v>
      </c>
      <c r="C310">
        <v>60</v>
      </c>
      <c r="D310" t="s">
        <v>16</v>
      </c>
      <c r="E310" t="s">
        <v>964</v>
      </c>
      <c r="F310" t="s">
        <v>264</v>
      </c>
      <c r="G310" t="s">
        <v>12</v>
      </c>
      <c r="H310" t="s">
        <v>13</v>
      </c>
    </row>
    <row r="311" spans="1:8" x14ac:dyDescent="0.3">
      <c r="A311" t="s">
        <v>965</v>
      </c>
      <c r="B311" t="s">
        <v>966</v>
      </c>
      <c r="C311">
        <v>41</v>
      </c>
      <c r="D311" t="s">
        <v>16</v>
      </c>
      <c r="E311" t="s">
        <v>967</v>
      </c>
      <c r="F311" t="s">
        <v>30</v>
      </c>
      <c r="G311" t="s">
        <v>12</v>
      </c>
      <c r="H311" t="s">
        <v>26</v>
      </c>
    </row>
    <row r="312" spans="1:8" x14ac:dyDescent="0.3">
      <c r="A312" t="s">
        <v>968</v>
      </c>
      <c r="B312" t="s">
        <v>969</v>
      </c>
      <c r="C312">
        <v>20</v>
      </c>
      <c r="D312" t="s">
        <v>9</v>
      </c>
      <c r="E312" t="s">
        <v>970</v>
      </c>
      <c r="F312" t="s">
        <v>170</v>
      </c>
      <c r="G312" t="s">
        <v>12</v>
      </c>
      <c r="H312" t="s">
        <v>31</v>
      </c>
    </row>
    <row r="313" spans="1:8" x14ac:dyDescent="0.3">
      <c r="A313" t="s">
        <v>971</v>
      </c>
      <c r="B313" t="s">
        <v>972</v>
      </c>
      <c r="C313">
        <v>35</v>
      </c>
      <c r="D313" t="s">
        <v>9</v>
      </c>
      <c r="E313" t="s">
        <v>973</v>
      </c>
      <c r="F313" t="s">
        <v>35</v>
      </c>
      <c r="G313" t="s">
        <v>12</v>
      </c>
      <c r="H313" t="s">
        <v>19</v>
      </c>
    </row>
    <row r="314" spans="1:8" x14ac:dyDescent="0.3">
      <c r="A314" t="s">
        <v>974</v>
      </c>
      <c r="B314" t="s">
        <v>975</v>
      </c>
      <c r="C314">
        <v>47</v>
      </c>
      <c r="D314" t="s">
        <v>16</v>
      </c>
      <c r="E314" t="s">
        <v>976</v>
      </c>
      <c r="F314" t="s">
        <v>92</v>
      </c>
      <c r="G314" t="s">
        <v>12</v>
      </c>
      <c r="H314" t="s">
        <v>31</v>
      </c>
    </row>
    <row r="315" spans="1:8" x14ac:dyDescent="0.3">
      <c r="A315" t="s">
        <v>977</v>
      </c>
      <c r="B315" t="s">
        <v>978</v>
      </c>
      <c r="C315">
        <v>62</v>
      </c>
      <c r="D315" t="s">
        <v>9</v>
      </c>
      <c r="E315" t="s">
        <v>979</v>
      </c>
      <c r="F315" t="s">
        <v>139</v>
      </c>
      <c r="G315" t="s">
        <v>12</v>
      </c>
      <c r="H315" t="s">
        <v>19</v>
      </c>
    </row>
    <row r="316" spans="1:8" x14ac:dyDescent="0.3">
      <c r="A316" t="s">
        <v>980</v>
      </c>
      <c r="B316" t="s">
        <v>981</v>
      </c>
      <c r="C316">
        <v>53</v>
      </c>
      <c r="D316" t="s">
        <v>16</v>
      </c>
      <c r="E316" t="s">
        <v>982</v>
      </c>
      <c r="F316" t="s">
        <v>74</v>
      </c>
      <c r="G316" t="s">
        <v>12</v>
      </c>
      <c r="H316" t="s">
        <v>31</v>
      </c>
    </row>
    <row r="317" spans="1:8" x14ac:dyDescent="0.3">
      <c r="A317" t="s">
        <v>983</v>
      </c>
      <c r="B317" t="s">
        <v>984</v>
      </c>
      <c r="C317">
        <v>49</v>
      </c>
      <c r="D317" t="s">
        <v>9</v>
      </c>
      <c r="E317" t="s">
        <v>985</v>
      </c>
      <c r="F317" t="s">
        <v>709</v>
      </c>
      <c r="G317" t="s">
        <v>12</v>
      </c>
      <c r="H317" t="s">
        <v>31</v>
      </c>
    </row>
    <row r="318" spans="1:8" x14ac:dyDescent="0.3">
      <c r="A318" t="s">
        <v>986</v>
      </c>
      <c r="B318" t="s">
        <v>987</v>
      </c>
      <c r="C318">
        <v>34</v>
      </c>
      <c r="D318" t="s">
        <v>9</v>
      </c>
      <c r="E318" t="s">
        <v>988</v>
      </c>
      <c r="F318" t="s">
        <v>139</v>
      </c>
      <c r="G318" t="s">
        <v>12</v>
      </c>
      <c r="H318" t="s">
        <v>13</v>
      </c>
    </row>
    <row r="319" spans="1:8" x14ac:dyDescent="0.3">
      <c r="A319" t="s">
        <v>989</v>
      </c>
      <c r="B319" t="s">
        <v>990</v>
      </c>
      <c r="C319">
        <v>64</v>
      </c>
      <c r="D319" t="s">
        <v>16</v>
      </c>
      <c r="E319" t="s">
        <v>991</v>
      </c>
      <c r="F319" t="s">
        <v>47</v>
      </c>
      <c r="G319" t="s">
        <v>12</v>
      </c>
      <c r="H319" t="s">
        <v>13</v>
      </c>
    </row>
    <row r="320" spans="1:8" x14ac:dyDescent="0.3">
      <c r="A320" t="s">
        <v>992</v>
      </c>
      <c r="B320" t="s">
        <v>993</v>
      </c>
      <c r="C320">
        <v>25</v>
      </c>
      <c r="D320" t="s">
        <v>9</v>
      </c>
      <c r="E320" t="s">
        <v>994</v>
      </c>
      <c r="F320" t="s">
        <v>62</v>
      </c>
      <c r="G320" t="s">
        <v>12</v>
      </c>
      <c r="H320" t="s">
        <v>19</v>
      </c>
    </row>
    <row r="321" spans="1:8" x14ac:dyDescent="0.3">
      <c r="A321" t="s">
        <v>995</v>
      </c>
      <c r="B321" t="s">
        <v>996</v>
      </c>
      <c r="C321">
        <v>54</v>
      </c>
      <c r="D321" t="s">
        <v>9</v>
      </c>
      <c r="E321" t="s">
        <v>997</v>
      </c>
      <c r="F321" t="s">
        <v>309</v>
      </c>
      <c r="G321" t="s">
        <v>12</v>
      </c>
      <c r="H321" t="s">
        <v>19</v>
      </c>
    </row>
    <row r="322" spans="1:8" x14ac:dyDescent="0.3">
      <c r="A322" t="s">
        <v>998</v>
      </c>
      <c r="B322" t="s">
        <v>999</v>
      </c>
      <c r="C322">
        <v>34</v>
      </c>
      <c r="D322" t="s">
        <v>16</v>
      </c>
      <c r="E322" t="s">
        <v>1000</v>
      </c>
      <c r="F322" t="s">
        <v>264</v>
      </c>
      <c r="G322" t="s">
        <v>12</v>
      </c>
      <c r="H322" t="s">
        <v>26</v>
      </c>
    </row>
    <row r="323" spans="1:8" x14ac:dyDescent="0.3">
      <c r="A323" t="s">
        <v>1001</v>
      </c>
      <c r="B323" t="s">
        <v>1002</v>
      </c>
      <c r="C323">
        <v>21</v>
      </c>
      <c r="D323" t="s">
        <v>16</v>
      </c>
      <c r="E323" t="s">
        <v>1003</v>
      </c>
      <c r="F323" t="s">
        <v>234</v>
      </c>
      <c r="G323" t="s">
        <v>12</v>
      </c>
      <c r="H323" t="s">
        <v>26</v>
      </c>
    </row>
    <row r="324" spans="1:8" x14ac:dyDescent="0.3">
      <c r="A324" t="s">
        <v>1004</v>
      </c>
      <c r="B324" t="s">
        <v>1005</v>
      </c>
      <c r="C324">
        <v>54</v>
      </c>
      <c r="D324" t="s">
        <v>9</v>
      </c>
      <c r="E324" t="s">
        <v>1006</v>
      </c>
      <c r="F324" t="s">
        <v>838</v>
      </c>
      <c r="G324" t="s">
        <v>12</v>
      </c>
      <c r="H324" t="s">
        <v>26</v>
      </c>
    </row>
    <row r="325" spans="1:8" x14ac:dyDescent="0.3">
      <c r="A325" t="s">
        <v>1007</v>
      </c>
      <c r="B325" t="s">
        <v>1008</v>
      </c>
      <c r="C325">
        <v>64</v>
      </c>
      <c r="D325" t="s">
        <v>16</v>
      </c>
      <c r="E325" t="s">
        <v>1009</v>
      </c>
      <c r="F325" t="s">
        <v>11</v>
      </c>
      <c r="G325" t="s">
        <v>12</v>
      </c>
      <c r="H325" t="s">
        <v>19</v>
      </c>
    </row>
    <row r="326" spans="1:8" x14ac:dyDescent="0.3">
      <c r="A326" t="s">
        <v>1010</v>
      </c>
      <c r="B326" t="s">
        <v>3954</v>
      </c>
      <c r="C326">
        <v>58</v>
      </c>
      <c r="D326" t="s">
        <v>9</v>
      </c>
      <c r="E326" t="s">
        <v>1011</v>
      </c>
      <c r="F326" t="s">
        <v>96</v>
      </c>
      <c r="G326" t="s">
        <v>12</v>
      </c>
      <c r="H326" t="s">
        <v>26</v>
      </c>
    </row>
    <row r="327" spans="1:8" x14ac:dyDescent="0.3">
      <c r="A327" t="s">
        <v>1012</v>
      </c>
      <c r="B327" t="s">
        <v>1013</v>
      </c>
      <c r="C327">
        <v>60</v>
      </c>
      <c r="D327" t="s">
        <v>9</v>
      </c>
      <c r="E327" t="s">
        <v>1014</v>
      </c>
      <c r="F327" t="s">
        <v>319</v>
      </c>
      <c r="G327" t="s">
        <v>12</v>
      </c>
      <c r="H327" t="s">
        <v>26</v>
      </c>
    </row>
    <row r="328" spans="1:8" x14ac:dyDescent="0.3">
      <c r="A328" t="s">
        <v>1015</v>
      </c>
      <c r="B328" t="s">
        <v>1016</v>
      </c>
      <c r="C328">
        <v>58</v>
      </c>
      <c r="D328" t="s">
        <v>16</v>
      </c>
      <c r="E328" t="s">
        <v>1017</v>
      </c>
      <c r="F328" t="s">
        <v>214</v>
      </c>
      <c r="G328" t="s">
        <v>12</v>
      </c>
      <c r="H328" t="s">
        <v>13</v>
      </c>
    </row>
    <row r="329" spans="1:8" x14ac:dyDescent="0.3">
      <c r="A329" t="s">
        <v>1018</v>
      </c>
      <c r="B329" t="s">
        <v>1019</v>
      </c>
      <c r="C329">
        <v>62</v>
      </c>
      <c r="D329" t="s">
        <v>16</v>
      </c>
      <c r="E329" t="s">
        <v>1020</v>
      </c>
      <c r="F329" t="s">
        <v>58</v>
      </c>
      <c r="G329" t="s">
        <v>12</v>
      </c>
      <c r="H329" t="s">
        <v>26</v>
      </c>
    </row>
    <row r="330" spans="1:8" x14ac:dyDescent="0.3">
      <c r="A330" t="s">
        <v>1021</v>
      </c>
      <c r="B330" t="s">
        <v>1022</v>
      </c>
      <c r="C330">
        <v>46</v>
      </c>
      <c r="D330" t="s">
        <v>9</v>
      </c>
      <c r="E330" t="s">
        <v>1023</v>
      </c>
      <c r="F330" t="s">
        <v>198</v>
      </c>
      <c r="G330" t="s">
        <v>12</v>
      </c>
      <c r="H330" t="s">
        <v>19</v>
      </c>
    </row>
    <row r="331" spans="1:8" x14ac:dyDescent="0.3">
      <c r="A331" t="s">
        <v>1024</v>
      </c>
      <c r="B331" t="s">
        <v>1025</v>
      </c>
      <c r="C331">
        <v>62</v>
      </c>
      <c r="D331" t="s">
        <v>16</v>
      </c>
      <c r="E331" t="s">
        <v>1026</v>
      </c>
      <c r="F331" t="s">
        <v>198</v>
      </c>
      <c r="G331" t="s">
        <v>12</v>
      </c>
      <c r="H331" t="s">
        <v>26</v>
      </c>
    </row>
    <row r="332" spans="1:8" x14ac:dyDescent="0.3">
      <c r="A332" t="s">
        <v>1027</v>
      </c>
      <c r="B332" t="s">
        <v>1028</v>
      </c>
      <c r="C332">
        <v>54</v>
      </c>
      <c r="D332" t="s">
        <v>9</v>
      </c>
      <c r="E332" t="s">
        <v>1029</v>
      </c>
      <c r="F332" t="s">
        <v>191</v>
      </c>
      <c r="G332" t="s">
        <v>12</v>
      </c>
      <c r="H332" t="s">
        <v>19</v>
      </c>
    </row>
    <row r="333" spans="1:8" x14ac:dyDescent="0.3">
      <c r="A333" t="s">
        <v>1030</v>
      </c>
      <c r="B333" t="s">
        <v>1031</v>
      </c>
      <c r="C333">
        <v>38</v>
      </c>
      <c r="D333" t="s">
        <v>16</v>
      </c>
      <c r="E333" t="s">
        <v>1032</v>
      </c>
      <c r="F333" t="s">
        <v>66</v>
      </c>
      <c r="G333" t="s">
        <v>12</v>
      </c>
      <c r="H333" t="s">
        <v>26</v>
      </c>
    </row>
    <row r="334" spans="1:8" x14ac:dyDescent="0.3">
      <c r="A334" t="s">
        <v>1033</v>
      </c>
      <c r="B334" t="s">
        <v>1034</v>
      </c>
      <c r="C334">
        <v>34</v>
      </c>
      <c r="D334" t="s">
        <v>16</v>
      </c>
      <c r="E334" t="s">
        <v>1035</v>
      </c>
      <c r="F334" t="s">
        <v>99</v>
      </c>
      <c r="G334" t="s">
        <v>12</v>
      </c>
      <c r="H334" t="s">
        <v>26</v>
      </c>
    </row>
    <row r="335" spans="1:8" x14ac:dyDescent="0.3">
      <c r="A335" t="s">
        <v>1036</v>
      </c>
      <c r="B335" t="s">
        <v>1037</v>
      </c>
      <c r="C335">
        <v>64</v>
      </c>
      <c r="D335" t="s">
        <v>16</v>
      </c>
      <c r="E335" t="s">
        <v>1038</v>
      </c>
      <c r="F335" t="s">
        <v>81</v>
      </c>
      <c r="G335" t="s">
        <v>12</v>
      </c>
      <c r="H335" t="s">
        <v>13</v>
      </c>
    </row>
    <row r="336" spans="1:8" x14ac:dyDescent="0.3">
      <c r="A336" t="s">
        <v>1039</v>
      </c>
      <c r="B336" t="s">
        <v>1040</v>
      </c>
      <c r="C336">
        <v>50</v>
      </c>
      <c r="D336" t="s">
        <v>16</v>
      </c>
      <c r="E336" t="s">
        <v>1041</v>
      </c>
      <c r="F336" t="s">
        <v>166</v>
      </c>
      <c r="G336" t="s">
        <v>12</v>
      </c>
      <c r="H336" t="s">
        <v>31</v>
      </c>
    </row>
    <row r="337" spans="1:8" x14ac:dyDescent="0.3">
      <c r="A337" t="s">
        <v>1042</v>
      </c>
      <c r="B337" t="s">
        <v>1043</v>
      </c>
      <c r="C337">
        <v>37</v>
      </c>
      <c r="D337" t="s">
        <v>9</v>
      </c>
      <c r="E337" t="s">
        <v>1044</v>
      </c>
      <c r="F337" t="s">
        <v>11</v>
      </c>
      <c r="G337" t="s">
        <v>12</v>
      </c>
      <c r="H337" t="s">
        <v>19</v>
      </c>
    </row>
    <row r="338" spans="1:8" x14ac:dyDescent="0.3">
      <c r="A338" t="s">
        <v>1045</v>
      </c>
      <c r="B338" t="s">
        <v>1046</v>
      </c>
      <c r="C338">
        <v>58</v>
      </c>
      <c r="D338" t="s">
        <v>16</v>
      </c>
      <c r="E338" t="s">
        <v>1047</v>
      </c>
      <c r="F338" t="s">
        <v>35</v>
      </c>
      <c r="G338" t="s">
        <v>12</v>
      </c>
      <c r="H338" t="s">
        <v>31</v>
      </c>
    </row>
    <row r="339" spans="1:8" x14ac:dyDescent="0.3">
      <c r="A339" t="s">
        <v>1048</v>
      </c>
      <c r="B339" t="s">
        <v>1049</v>
      </c>
      <c r="C339">
        <v>40</v>
      </c>
      <c r="D339" t="s">
        <v>16</v>
      </c>
      <c r="E339" t="s">
        <v>1050</v>
      </c>
      <c r="F339" t="s">
        <v>11</v>
      </c>
      <c r="G339" t="s">
        <v>12</v>
      </c>
      <c r="H339" t="s">
        <v>26</v>
      </c>
    </row>
    <row r="340" spans="1:8" x14ac:dyDescent="0.3">
      <c r="A340" t="s">
        <v>1051</v>
      </c>
      <c r="B340" t="s">
        <v>1052</v>
      </c>
      <c r="C340">
        <v>46</v>
      </c>
      <c r="D340" t="s">
        <v>16</v>
      </c>
      <c r="E340" t="s">
        <v>1053</v>
      </c>
      <c r="F340" t="s">
        <v>166</v>
      </c>
      <c r="G340" t="s">
        <v>12</v>
      </c>
      <c r="H340" t="s">
        <v>31</v>
      </c>
    </row>
    <row r="341" spans="1:8" x14ac:dyDescent="0.3">
      <c r="A341" t="s">
        <v>1054</v>
      </c>
      <c r="B341" t="s">
        <v>1055</v>
      </c>
      <c r="C341">
        <v>52</v>
      </c>
      <c r="D341" t="s">
        <v>16</v>
      </c>
      <c r="E341" t="s">
        <v>1056</v>
      </c>
      <c r="F341" t="s">
        <v>133</v>
      </c>
      <c r="G341" t="s">
        <v>12</v>
      </c>
      <c r="H341" t="s">
        <v>19</v>
      </c>
    </row>
    <row r="342" spans="1:8" x14ac:dyDescent="0.3">
      <c r="A342" t="s">
        <v>1057</v>
      </c>
      <c r="B342" t="s">
        <v>1058</v>
      </c>
      <c r="C342">
        <v>27</v>
      </c>
      <c r="D342" t="s">
        <v>9</v>
      </c>
      <c r="E342" t="s">
        <v>1059</v>
      </c>
      <c r="F342" t="s">
        <v>271</v>
      </c>
      <c r="G342" t="s">
        <v>12</v>
      </c>
      <c r="H342" t="s">
        <v>26</v>
      </c>
    </row>
    <row r="343" spans="1:8" x14ac:dyDescent="0.3">
      <c r="A343" t="s">
        <v>1060</v>
      </c>
      <c r="B343" t="s">
        <v>1061</v>
      </c>
      <c r="C343">
        <v>56</v>
      </c>
      <c r="D343" t="s">
        <v>16</v>
      </c>
      <c r="E343" t="s">
        <v>1062</v>
      </c>
      <c r="F343" t="s">
        <v>191</v>
      </c>
      <c r="G343" t="s">
        <v>12</v>
      </c>
      <c r="H343" t="s">
        <v>26</v>
      </c>
    </row>
    <row r="344" spans="1:8" x14ac:dyDescent="0.3">
      <c r="A344" t="s">
        <v>1063</v>
      </c>
      <c r="B344" t="s">
        <v>1064</v>
      </c>
      <c r="C344">
        <v>30</v>
      </c>
      <c r="D344" t="s">
        <v>16</v>
      </c>
      <c r="E344" t="s">
        <v>1065</v>
      </c>
      <c r="F344" t="s">
        <v>166</v>
      </c>
      <c r="G344" t="s">
        <v>12</v>
      </c>
      <c r="H344" t="s">
        <v>26</v>
      </c>
    </row>
    <row r="345" spans="1:8" x14ac:dyDescent="0.3">
      <c r="A345" t="s">
        <v>1066</v>
      </c>
      <c r="B345" t="s">
        <v>1067</v>
      </c>
      <c r="C345">
        <v>38</v>
      </c>
      <c r="D345" t="s">
        <v>9</v>
      </c>
      <c r="E345" t="s">
        <v>1068</v>
      </c>
      <c r="F345" t="s">
        <v>284</v>
      </c>
      <c r="G345" t="s">
        <v>12</v>
      </c>
      <c r="H345" t="s">
        <v>26</v>
      </c>
    </row>
    <row r="346" spans="1:8" x14ac:dyDescent="0.3">
      <c r="A346" t="s">
        <v>1069</v>
      </c>
      <c r="B346" t="s">
        <v>1070</v>
      </c>
      <c r="C346">
        <v>39</v>
      </c>
      <c r="D346" t="s">
        <v>9</v>
      </c>
      <c r="E346" t="s">
        <v>1071</v>
      </c>
      <c r="F346" t="s">
        <v>230</v>
      </c>
      <c r="G346" t="s">
        <v>12</v>
      </c>
      <c r="H346" t="s">
        <v>13</v>
      </c>
    </row>
    <row r="347" spans="1:8" x14ac:dyDescent="0.3">
      <c r="A347" t="s">
        <v>1072</v>
      </c>
      <c r="B347" t="s">
        <v>1073</v>
      </c>
      <c r="C347">
        <v>33</v>
      </c>
      <c r="D347" t="s">
        <v>9</v>
      </c>
      <c r="E347" t="s">
        <v>1074</v>
      </c>
      <c r="F347" t="s">
        <v>96</v>
      </c>
      <c r="G347" t="s">
        <v>12</v>
      </c>
      <c r="H347" t="s">
        <v>26</v>
      </c>
    </row>
    <row r="348" spans="1:8" x14ac:dyDescent="0.3">
      <c r="A348" t="s">
        <v>1075</v>
      </c>
      <c r="B348" t="s">
        <v>1076</v>
      </c>
      <c r="C348">
        <v>58</v>
      </c>
      <c r="D348" t="s">
        <v>16</v>
      </c>
      <c r="E348" t="s">
        <v>1077</v>
      </c>
      <c r="F348" t="s">
        <v>234</v>
      </c>
      <c r="G348" t="s">
        <v>12</v>
      </c>
      <c r="H348" t="s">
        <v>19</v>
      </c>
    </row>
    <row r="349" spans="1:8" x14ac:dyDescent="0.3">
      <c r="A349" t="s">
        <v>1078</v>
      </c>
      <c r="B349" t="s">
        <v>3955</v>
      </c>
      <c r="C349">
        <v>39</v>
      </c>
      <c r="D349" t="s">
        <v>16</v>
      </c>
      <c r="E349" t="s">
        <v>1079</v>
      </c>
      <c r="F349" t="s">
        <v>166</v>
      </c>
      <c r="G349" t="s">
        <v>12</v>
      </c>
      <c r="H349" t="s">
        <v>13</v>
      </c>
    </row>
    <row r="350" spans="1:8" x14ac:dyDescent="0.3">
      <c r="A350" t="s">
        <v>1080</v>
      </c>
      <c r="B350" t="s">
        <v>1081</v>
      </c>
      <c r="C350">
        <v>55</v>
      </c>
      <c r="D350" t="s">
        <v>9</v>
      </c>
      <c r="E350" t="s">
        <v>1082</v>
      </c>
      <c r="F350" t="s">
        <v>51</v>
      </c>
      <c r="G350" t="s">
        <v>12</v>
      </c>
      <c r="H350" t="s">
        <v>31</v>
      </c>
    </row>
    <row r="351" spans="1:8" x14ac:dyDescent="0.3">
      <c r="A351" t="s">
        <v>1083</v>
      </c>
      <c r="B351" t="s">
        <v>1084</v>
      </c>
      <c r="C351">
        <v>31</v>
      </c>
      <c r="D351" t="s">
        <v>9</v>
      </c>
      <c r="E351" t="s">
        <v>1085</v>
      </c>
      <c r="F351" t="s">
        <v>162</v>
      </c>
      <c r="G351" t="s">
        <v>12</v>
      </c>
      <c r="H351" t="s">
        <v>26</v>
      </c>
    </row>
    <row r="352" spans="1:8" x14ac:dyDescent="0.3">
      <c r="A352" t="s">
        <v>1086</v>
      </c>
      <c r="B352" t="s">
        <v>1087</v>
      </c>
      <c r="C352">
        <v>26</v>
      </c>
      <c r="D352" t="s">
        <v>9</v>
      </c>
      <c r="E352" t="s">
        <v>1088</v>
      </c>
      <c r="F352" t="s">
        <v>264</v>
      </c>
      <c r="G352" t="s">
        <v>12</v>
      </c>
      <c r="H352" t="s">
        <v>31</v>
      </c>
    </row>
    <row r="353" spans="1:8" x14ac:dyDescent="0.3">
      <c r="A353" t="s">
        <v>1089</v>
      </c>
      <c r="B353" t="s">
        <v>1090</v>
      </c>
      <c r="C353">
        <v>25</v>
      </c>
      <c r="D353" t="s">
        <v>16</v>
      </c>
      <c r="E353" t="s">
        <v>1091</v>
      </c>
      <c r="F353" t="s">
        <v>70</v>
      </c>
      <c r="G353" t="s">
        <v>12</v>
      </c>
      <c r="H353" t="s">
        <v>26</v>
      </c>
    </row>
    <row r="354" spans="1:8" x14ac:dyDescent="0.3">
      <c r="A354" t="s">
        <v>1092</v>
      </c>
      <c r="B354" t="s">
        <v>1093</v>
      </c>
      <c r="C354">
        <v>52</v>
      </c>
      <c r="D354" t="s">
        <v>16</v>
      </c>
      <c r="E354" t="s">
        <v>1094</v>
      </c>
      <c r="F354" t="s">
        <v>319</v>
      </c>
      <c r="G354" t="s">
        <v>12</v>
      </c>
      <c r="H354" t="s">
        <v>31</v>
      </c>
    </row>
    <row r="355" spans="1:8" x14ac:dyDescent="0.3">
      <c r="A355" t="s">
        <v>1095</v>
      </c>
      <c r="B355" t="s">
        <v>3956</v>
      </c>
      <c r="C355">
        <v>56</v>
      </c>
      <c r="D355" t="s">
        <v>16</v>
      </c>
      <c r="E355" t="s">
        <v>1096</v>
      </c>
      <c r="F355" t="s">
        <v>35</v>
      </c>
      <c r="G355" t="s">
        <v>12</v>
      </c>
      <c r="H355" t="s">
        <v>19</v>
      </c>
    </row>
    <row r="356" spans="1:8" x14ac:dyDescent="0.3">
      <c r="A356" t="s">
        <v>1097</v>
      </c>
      <c r="B356" t="s">
        <v>1098</v>
      </c>
      <c r="C356">
        <v>38</v>
      </c>
      <c r="D356" t="s">
        <v>9</v>
      </c>
      <c r="E356" t="s">
        <v>1099</v>
      </c>
      <c r="F356" t="s">
        <v>166</v>
      </c>
      <c r="G356" t="s">
        <v>12</v>
      </c>
      <c r="H356" t="s">
        <v>31</v>
      </c>
    </row>
    <row r="357" spans="1:8" x14ac:dyDescent="0.3">
      <c r="A357" t="s">
        <v>1100</v>
      </c>
      <c r="B357" t="s">
        <v>1101</v>
      </c>
      <c r="C357">
        <v>20</v>
      </c>
      <c r="D357" t="s">
        <v>9</v>
      </c>
      <c r="E357" t="s">
        <v>1102</v>
      </c>
      <c r="F357" t="s">
        <v>74</v>
      </c>
      <c r="G357" t="s">
        <v>12</v>
      </c>
      <c r="H357" t="s">
        <v>13</v>
      </c>
    </row>
    <row r="358" spans="1:8" x14ac:dyDescent="0.3">
      <c r="A358" t="s">
        <v>1103</v>
      </c>
      <c r="B358" t="s">
        <v>1104</v>
      </c>
      <c r="C358">
        <v>54</v>
      </c>
      <c r="D358" t="s">
        <v>9</v>
      </c>
      <c r="E358" t="s">
        <v>1105</v>
      </c>
      <c r="F358" t="s">
        <v>284</v>
      </c>
      <c r="G358" t="s">
        <v>12</v>
      </c>
      <c r="H358" t="s">
        <v>26</v>
      </c>
    </row>
    <row r="359" spans="1:8" x14ac:dyDescent="0.3">
      <c r="A359" t="s">
        <v>1106</v>
      </c>
      <c r="B359" t="s">
        <v>1107</v>
      </c>
      <c r="C359">
        <v>41</v>
      </c>
      <c r="D359" t="s">
        <v>9</v>
      </c>
      <c r="E359" t="s">
        <v>1108</v>
      </c>
      <c r="F359" t="s">
        <v>234</v>
      </c>
      <c r="G359" t="s">
        <v>12</v>
      </c>
      <c r="H359" t="s">
        <v>13</v>
      </c>
    </row>
    <row r="360" spans="1:8" x14ac:dyDescent="0.3">
      <c r="A360" t="s">
        <v>1109</v>
      </c>
      <c r="B360" t="s">
        <v>1110</v>
      </c>
      <c r="C360">
        <v>60</v>
      </c>
      <c r="D360" t="s">
        <v>16</v>
      </c>
      <c r="E360" t="s">
        <v>1111</v>
      </c>
      <c r="F360" t="s">
        <v>309</v>
      </c>
      <c r="G360" t="s">
        <v>12</v>
      </c>
      <c r="H360" t="s">
        <v>13</v>
      </c>
    </row>
    <row r="361" spans="1:8" x14ac:dyDescent="0.3">
      <c r="A361" t="s">
        <v>1112</v>
      </c>
      <c r="B361" t="s">
        <v>1113</v>
      </c>
      <c r="C361">
        <v>32</v>
      </c>
      <c r="D361" t="s">
        <v>9</v>
      </c>
      <c r="E361" t="s">
        <v>1114</v>
      </c>
      <c r="F361" t="s">
        <v>62</v>
      </c>
      <c r="G361" t="s">
        <v>12</v>
      </c>
      <c r="H361" t="s">
        <v>31</v>
      </c>
    </row>
    <row r="362" spans="1:8" x14ac:dyDescent="0.3">
      <c r="A362" t="s">
        <v>1115</v>
      </c>
      <c r="B362" t="s">
        <v>1116</v>
      </c>
      <c r="C362">
        <v>34</v>
      </c>
      <c r="D362" t="s">
        <v>9</v>
      </c>
      <c r="E362" t="s">
        <v>1117</v>
      </c>
      <c r="F362" t="s">
        <v>288</v>
      </c>
      <c r="G362" t="s">
        <v>12</v>
      </c>
      <c r="H362" t="s">
        <v>19</v>
      </c>
    </row>
    <row r="363" spans="1:8" x14ac:dyDescent="0.3">
      <c r="A363" t="s">
        <v>1118</v>
      </c>
      <c r="B363" t="s">
        <v>1119</v>
      </c>
      <c r="C363">
        <v>64</v>
      </c>
      <c r="D363" t="s">
        <v>9</v>
      </c>
      <c r="E363" t="s">
        <v>1120</v>
      </c>
      <c r="F363" t="s">
        <v>251</v>
      </c>
      <c r="G363" t="s">
        <v>12</v>
      </c>
      <c r="H363" t="s">
        <v>19</v>
      </c>
    </row>
    <row r="364" spans="1:8" x14ac:dyDescent="0.3">
      <c r="A364" t="s">
        <v>1121</v>
      </c>
      <c r="B364" t="s">
        <v>3957</v>
      </c>
      <c r="C364">
        <v>60</v>
      </c>
      <c r="D364" t="s">
        <v>9</v>
      </c>
      <c r="E364" t="s">
        <v>1122</v>
      </c>
      <c r="F364" t="s">
        <v>162</v>
      </c>
      <c r="G364" t="s">
        <v>12</v>
      </c>
      <c r="H364" t="s">
        <v>13</v>
      </c>
    </row>
    <row r="365" spans="1:8" x14ac:dyDescent="0.3">
      <c r="A365" t="s">
        <v>1123</v>
      </c>
      <c r="B365" t="s">
        <v>1124</v>
      </c>
      <c r="C365">
        <v>23</v>
      </c>
      <c r="D365" t="s">
        <v>9</v>
      </c>
      <c r="E365" t="s">
        <v>1125</v>
      </c>
      <c r="F365" t="s">
        <v>25</v>
      </c>
      <c r="G365" t="s">
        <v>12</v>
      </c>
      <c r="H365" t="s">
        <v>26</v>
      </c>
    </row>
    <row r="366" spans="1:8" x14ac:dyDescent="0.3">
      <c r="A366" t="s">
        <v>1126</v>
      </c>
      <c r="B366" t="s">
        <v>1127</v>
      </c>
      <c r="C366">
        <v>58</v>
      </c>
      <c r="D366" t="s">
        <v>9</v>
      </c>
      <c r="E366" t="s">
        <v>1128</v>
      </c>
      <c r="F366" t="s">
        <v>133</v>
      </c>
      <c r="G366" t="s">
        <v>12</v>
      </c>
      <c r="H366" t="s">
        <v>26</v>
      </c>
    </row>
    <row r="367" spans="1:8" x14ac:dyDescent="0.3">
      <c r="A367" t="s">
        <v>1129</v>
      </c>
      <c r="B367" t="s">
        <v>1130</v>
      </c>
      <c r="C367">
        <v>63</v>
      </c>
      <c r="D367" t="s">
        <v>16</v>
      </c>
      <c r="E367" t="s">
        <v>1131</v>
      </c>
      <c r="F367" t="s">
        <v>162</v>
      </c>
      <c r="G367" t="s">
        <v>12</v>
      </c>
      <c r="H367" t="s">
        <v>19</v>
      </c>
    </row>
    <row r="368" spans="1:8" x14ac:dyDescent="0.3">
      <c r="A368" t="s">
        <v>1132</v>
      </c>
      <c r="B368" t="s">
        <v>1133</v>
      </c>
      <c r="C368">
        <v>40</v>
      </c>
      <c r="D368" t="s">
        <v>16</v>
      </c>
      <c r="E368" t="s">
        <v>1134</v>
      </c>
      <c r="F368" t="s">
        <v>22</v>
      </c>
      <c r="G368" t="s">
        <v>12</v>
      </c>
      <c r="H368" t="s">
        <v>19</v>
      </c>
    </row>
    <row r="369" spans="1:8" x14ac:dyDescent="0.3">
      <c r="A369" t="s">
        <v>1135</v>
      </c>
      <c r="B369" t="s">
        <v>1136</v>
      </c>
      <c r="C369">
        <v>51</v>
      </c>
      <c r="D369" t="s">
        <v>9</v>
      </c>
      <c r="E369" t="s">
        <v>1137</v>
      </c>
      <c r="F369" t="s">
        <v>25</v>
      </c>
      <c r="G369" t="s">
        <v>12</v>
      </c>
      <c r="H369" t="s">
        <v>26</v>
      </c>
    </row>
    <row r="370" spans="1:8" x14ac:dyDescent="0.3">
      <c r="A370" t="s">
        <v>1138</v>
      </c>
      <c r="B370" t="s">
        <v>1139</v>
      </c>
      <c r="C370">
        <v>34</v>
      </c>
      <c r="D370" t="s">
        <v>16</v>
      </c>
      <c r="E370" t="s">
        <v>1140</v>
      </c>
      <c r="F370" t="s">
        <v>58</v>
      </c>
      <c r="G370" t="s">
        <v>12</v>
      </c>
      <c r="H370" t="s">
        <v>19</v>
      </c>
    </row>
    <row r="371" spans="1:8" x14ac:dyDescent="0.3">
      <c r="A371" t="s">
        <v>1141</v>
      </c>
      <c r="B371" t="s">
        <v>1142</v>
      </c>
      <c r="C371">
        <v>20</v>
      </c>
      <c r="D371" t="s">
        <v>16</v>
      </c>
      <c r="E371" t="s">
        <v>1143</v>
      </c>
      <c r="F371" t="s">
        <v>170</v>
      </c>
      <c r="G371" t="s">
        <v>12</v>
      </c>
      <c r="H371" t="s">
        <v>19</v>
      </c>
    </row>
    <row r="372" spans="1:8" x14ac:dyDescent="0.3">
      <c r="A372" t="s">
        <v>1144</v>
      </c>
      <c r="B372" t="s">
        <v>1145</v>
      </c>
      <c r="C372">
        <v>45</v>
      </c>
      <c r="D372" t="s">
        <v>9</v>
      </c>
      <c r="E372" t="s">
        <v>1146</v>
      </c>
      <c r="F372" t="s">
        <v>251</v>
      </c>
      <c r="G372" t="s">
        <v>12</v>
      </c>
      <c r="H372" t="s">
        <v>31</v>
      </c>
    </row>
    <row r="373" spans="1:8" x14ac:dyDescent="0.3">
      <c r="A373" t="s">
        <v>1147</v>
      </c>
      <c r="B373" t="s">
        <v>1148</v>
      </c>
      <c r="C373">
        <v>21</v>
      </c>
      <c r="D373" t="s">
        <v>16</v>
      </c>
      <c r="E373" t="s">
        <v>1149</v>
      </c>
      <c r="F373" t="s">
        <v>47</v>
      </c>
      <c r="G373" t="s">
        <v>12</v>
      </c>
      <c r="H373" t="s">
        <v>19</v>
      </c>
    </row>
    <row r="374" spans="1:8" x14ac:dyDescent="0.3">
      <c r="A374" t="s">
        <v>1150</v>
      </c>
      <c r="B374" t="s">
        <v>1151</v>
      </c>
      <c r="C374">
        <v>28</v>
      </c>
      <c r="D374" t="s">
        <v>9</v>
      </c>
      <c r="E374" t="s">
        <v>1152</v>
      </c>
      <c r="F374" t="s">
        <v>25</v>
      </c>
      <c r="G374" t="s">
        <v>12</v>
      </c>
      <c r="H374" t="s">
        <v>26</v>
      </c>
    </row>
    <row r="375" spans="1:8" x14ac:dyDescent="0.3">
      <c r="A375" t="s">
        <v>1153</v>
      </c>
      <c r="B375" t="s">
        <v>1154</v>
      </c>
      <c r="C375">
        <v>37</v>
      </c>
      <c r="D375" t="s">
        <v>16</v>
      </c>
      <c r="E375" t="s">
        <v>1155</v>
      </c>
      <c r="F375" t="s">
        <v>429</v>
      </c>
      <c r="G375" t="s">
        <v>12</v>
      </c>
      <c r="H375" t="s">
        <v>13</v>
      </c>
    </row>
    <row r="376" spans="1:8" x14ac:dyDescent="0.3">
      <c r="A376" t="s">
        <v>1156</v>
      </c>
      <c r="B376" t="s">
        <v>1157</v>
      </c>
      <c r="C376">
        <v>60</v>
      </c>
      <c r="D376" t="s">
        <v>9</v>
      </c>
      <c r="E376" t="s">
        <v>1158</v>
      </c>
      <c r="F376" t="s">
        <v>99</v>
      </c>
      <c r="G376" t="s">
        <v>12</v>
      </c>
      <c r="H376" t="s">
        <v>19</v>
      </c>
    </row>
    <row r="377" spans="1:8" x14ac:dyDescent="0.3">
      <c r="A377" t="s">
        <v>1159</v>
      </c>
      <c r="B377" t="s">
        <v>1160</v>
      </c>
      <c r="C377">
        <v>26</v>
      </c>
      <c r="D377" t="s">
        <v>9</v>
      </c>
      <c r="E377" t="s">
        <v>1161</v>
      </c>
      <c r="F377" t="s">
        <v>198</v>
      </c>
      <c r="G377" t="s">
        <v>12</v>
      </c>
      <c r="H377" t="s">
        <v>19</v>
      </c>
    </row>
    <row r="378" spans="1:8" x14ac:dyDescent="0.3">
      <c r="A378" t="s">
        <v>1162</v>
      </c>
      <c r="B378" t="s">
        <v>1163</v>
      </c>
      <c r="C378">
        <v>30</v>
      </c>
      <c r="D378" t="s">
        <v>9</v>
      </c>
      <c r="E378" t="s">
        <v>1164</v>
      </c>
      <c r="F378" t="s">
        <v>166</v>
      </c>
      <c r="G378" t="s">
        <v>12</v>
      </c>
      <c r="H378" t="s">
        <v>26</v>
      </c>
    </row>
    <row r="379" spans="1:8" x14ac:dyDescent="0.3">
      <c r="A379" t="s">
        <v>1165</v>
      </c>
      <c r="B379" t="s">
        <v>1166</v>
      </c>
      <c r="C379">
        <v>39</v>
      </c>
      <c r="D379" t="s">
        <v>16</v>
      </c>
      <c r="E379" t="s">
        <v>1167</v>
      </c>
      <c r="F379" t="s">
        <v>429</v>
      </c>
      <c r="G379" t="s">
        <v>12</v>
      </c>
      <c r="H379" t="s">
        <v>13</v>
      </c>
    </row>
    <row r="380" spans="1:8" x14ac:dyDescent="0.3">
      <c r="A380" t="s">
        <v>1168</v>
      </c>
      <c r="B380" t="s">
        <v>1169</v>
      </c>
      <c r="C380">
        <v>44</v>
      </c>
      <c r="D380" t="s">
        <v>16</v>
      </c>
      <c r="E380" t="s">
        <v>1170</v>
      </c>
      <c r="F380" t="s">
        <v>92</v>
      </c>
      <c r="G380" t="s">
        <v>12</v>
      </c>
      <c r="H380" t="s">
        <v>26</v>
      </c>
    </row>
    <row r="381" spans="1:8" x14ac:dyDescent="0.3">
      <c r="A381" t="s">
        <v>1171</v>
      </c>
      <c r="B381" t="s">
        <v>1172</v>
      </c>
      <c r="C381">
        <v>34</v>
      </c>
      <c r="D381" t="s">
        <v>16</v>
      </c>
      <c r="E381" t="s">
        <v>1173</v>
      </c>
      <c r="F381" t="s">
        <v>264</v>
      </c>
      <c r="G381" t="s">
        <v>12</v>
      </c>
      <c r="H381" t="s">
        <v>13</v>
      </c>
    </row>
    <row r="382" spans="1:8" x14ac:dyDescent="0.3">
      <c r="A382" t="s">
        <v>1174</v>
      </c>
      <c r="B382" t="s">
        <v>1175</v>
      </c>
      <c r="C382">
        <v>23</v>
      </c>
      <c r="D382" t="s">
        <v>9</v>
      </c>
      <c r="E382" t="s">
        <v>1176</v>
      </c>
      <c r="F382" t="s">
        <v>214</v>
      </c>
      <c r="G382" t="s">
        <v>12</v>
      </c>
      <c r="H382" t="s">
        <v>13</v>
      </c>
    </row>
    <row r="383" spans="1:8" x14ac:dyDescent="0.3">
      <c r="A383" t="s">
        <v>1177</v>
      </c>
      <c r="B383" t="s">
        <v>1178</v>
      </c>
      <c r="C383">
        <v>50</v>
      </c>
      <c r="D383" t="s">
        <v>9</v>
      </c>
      <c r="E383" t="s">
        <v>1179</v>
      </c>
      <c r="F383" t="s">
        <v>22</v>
      </c>
      <c r="G383" t="s">
        <v>12</v>
      </c>
      <c r="H383" t="s">
        <v>31</v>
      </c>
    </row>
    <row r="384" spans="1:8" x14ac:dyDescent="0.3">
      <c r="A384" t="s">
        <v>1180</v>
      </c>
      <c r="B384" t="s">
        <v>1181</v>
      </c>
      <c r="C384">
        <v>20</v>
      </c>
      <c r="D384" t="s">
        <v>16</v>
      </c>
      <c r="E384" t="s">
        <v>1182</v>
      </c>
      <c r="F384" t="s">
        <v>30</v>
      </c>
      <c r="G384" t="s">
        <v>12</v>
      </c>
      <c r="H384" t="s">
        <v>13</v>
      </c>
    </row>
    <row r="385" spans="1:8" x14ac:dyDescent="0.3">
      <c r="A385" t="s">
        <v>1183</v>
      </c>
      <c r="B385" t="s">
        <v>1184</v>
      </c>
      <c r="C385">
        <v>27</v>
      </c>
      <c r="D385" t="s">
        <v>16</v>
      </c>
      <c r="E385" t="s">
        <v>1185</v>
      </c>
      <c r="F385" t="s">
        <v>312</v>
      </c>
      <c r="G385" t="s">
        <v>12</v>
      </c>
      <c r="H385" t="s">
        <v>31</v>
      </c>
    </row>
    <row r="386" spans="1:8" x14ac:dyDescent="0.3">
      <c r="A386" t="s">
        <v>1186</v>
      </c>
      <c r="B386" t="s">
        <v>1187</v>
      </c>
      <c r="C386">
        <v>52</v>
      </c>
      <c r="D386" t="s">
        <v>16</v>
      </c>
      <c r="E386" t="s">
        <v>1188</v>
      </c>
      <c r="F386" t="s">
        <v>264</v>
      </c>
      <c r="G386" t="s">
        <v>12</v>
      </c>
      <c r="H386" t="s">
        <v>26</v>
      </c>
    </row>
    <row r="387" spans="1:8" x14ac:dyDescent="0.3">
      <c r="A387" t="s">
        <v>1189</v>
      </c>
      <c r="B387" t="s">
        <v>1190</v>
      </c>
      <c r="C387">
        <v>60</v>
      </c>
      <c r="D387" t="s">
        <v>9</v>
      </c>
      <c r="E387" t="s">
        <v>1191</v>
      </c>
      <c r="F387" t="s">
        <v>312</v>
      </c>
      <c r="G387" t="s">
        <v>12</v>
      </c>
      <c r="H387" t="s">
        <v>13</v>
      </c>
    </row>
    <row r="388" spans="1:8" x14ac:dyDescent="0.3">
      <c r="A388" t="s">
        <v>1192</v>
      </c>
      <c r="B388" t="s">
        <v>1193</v>
      </c>
      <c r="C388">
        <v>18</v>
      </c>
      <c r="D388" t="s">
        <v>16</v>
      </c>
      <c r="E388" t="s">
        <v>1194</v>
      </c>
      <c r="F388" t="s">
        <v>139</v>
      </c>
      <c r="G388" t="s">
        <v>12</v>
      </c>
      <c r="H388" t="s">
        <v>26</v>
      </c>
    </row>
    <row r="389" spans="1:8" x14ac:dyDescent="0.3">
      <c r="A389" t="s">
        <v>1195</v>
      </c>
      <c r="B389" t="s">
        <v>1196</v>
      </c>
      <c r="C389">
        <v>28</v>
      </c>
      <c r="D389" t="s">
        <v>16</v>
      </c>
      <c r="E389" t="s">
        <v>1197</v>
      </c>
      <c r="F389" t="s">
        <v>88</v>
      </c>
      <c r="G389" t="s">
        <v>12</v>
      </c>
      <c r="H389" t="s">
        <v>31</v>
      </c>
    </row>
    <row r="390" spans="1:8" x14ac:dyDescent="0.3">
      <c r="A390" t="s">
        <v>1198</v>
      </c>
      <c r="B390" t="s">
        <v>1199</v>
      </c>
      <c r="C390">
        <v>53</v>
      </c>
      <c r="D390" t="s">
        <v>9</v>
      </c>
      <c r="E390" t="s">
        <v>1200</v>
      </c>
      <c r="F390" t="s">
        <v>113</v>
      </c>
      <c r="G390" t="s">
        <v>12</v>
      </c>
      <c r="H390" t="s">
        <v>19</v>
      </c>
    </row>
    <row r="391" spans="1:8" x14ac:dyDescent="0.3">
      <c r="A391" t="s">
        <v>1201</v>
      </c>
      <c r="B391" t="s">
        <v>1202</v>
      </c>
      <c r="C391">
        <v>50</v>
      </c>
      <c r="D391" t="s">
        <v>9</v>
      </c>
      <c r="E391" t="s">
        <v>1203</v>
      </c>
      <c r="F391" t="s">
        <v>70</v>
      </c>
      <c r="G391" t="s">
        <v>12</v>
      </c>
      <c r="H391" t="s">
        <v>19</v>
      </c>
    </row>
    <row r="392" spans="1:8" x14ac:dyDescent="0.3">
      <c r="A392" t="s">
        <v>1204</v>
      </c>
      <c r="B392" t="s">
        <v>1205</v>
      </c>
      <c r="C392">
        <v>56</v>
      </c>
      <c r="D392" t="s">
        <v>9</v>
      </c>
      <c r="E392" t="s">
        <v>1206</v>
      </c>
      <c r="F392" t="s">
        <v>288</v>
      </c>
      <c r="G392" t="s">
        <v>12</v>
      </c>
      <c r="H392" t="s">
        <v>31</v>
      </c>
    </row>
    <row r="393" spans="1:8" x14ac:dyDescent="0.3">
      <c r="A393" t="s">
        <v>1207</v>
      </c>
      <c r="B393" t="s">
        <v>1208</v>
      </c>
      <c r="C393">
        <v>40</v>
      </c>
      <c r="D393" t="s">
        <v>16</v>
      </c>
      <c r="E393" t="s">
        <v>1209</v>
      </c>
      <c r="F393" t="s">
        <v>35</v>
      </c>
      <c r="G393" t="s">
        <v>12</v>
      </c>
      <c r="H393" t="s">
        <v>26</v>
      </c>
    </row>
    <row r="394" spans="1:8" x14ac:dyDescent="0.3">
      <c r="A394" t="s">
        <v>1210</v>
      </c>
      <c r="B394" t="s">
        <v>1211</v>
      </c>
      <c r="C394">
        <v>46</v>
      </c>
      <c r="D394" t="s">
        <v>9</v>
      </c>
      <c r="E394" t="s">
        <v>1212</v>
      </c>
      <c r="F394" t="s">
        <v>113</v>
      </c>
      <c r="G394" t="s">
        <v>12</v>
      </c>
      <c r="H394" t="s">
        <v>13</v>
      </c>
    </row>
    <row r="395" spans="1:8" x14ac:dyDescent="0.3">
      <c r="A395" t="s">
        <v>1213</v>
      </c>
      <c r="B395" t="s">
        <v>1214</v>
      </c>
      <c r="C395">
        <v>46</v>
      </c>
      <c r="D395" t="s">
        <v>9</v>
      </c>
      <c r="E395" t="s">
        <v>1215</v>
      </c>
      <c r="F395" t="s">
        <v>117</v>
      </c>
      <c r="G395" t="s">
        <v>12</v>
      </c>
      <c r="H395" t="s">
        <v>26</v>
      </c>
    </row>
    <row r="396" spans="1:8" x14ac:dyDescent="0.3">
      <c r="A396" t="s">
        <v>1216</v>
      </c>
      <c r="B396" t="s">
        <v>1217</v>
      </c>
      <c r="C396">
        <v>43</v>
      </c>
      <c r="D396" t="s">
        <v>16</v>
      </c>
      <c r="E396" t="s">
        <v>1218</v>
      </c>
      <c r="F396" t="s">
        <v>166</v>
      </c>
      <c r="G396" t="s">
        <v>12</v>
      </c>
      <c r="H396" t="s">
        <v>26</v>
      </c>
    </row>
    <row r="397" spans="1:8" x14ac:dyDescent="0.3">
      <c r="A397" t="s">
        <v>1219</v>
      </c>
      <c r="B397" t="s">
        <v>1220</v>
      </c>
      <c r="C397">
        <v>50</v>
      </c>
      <c r="D397" t="s">
        <v>9</v>
      </c>
      <c r="E397" t="s">
        <v>1221</v>
      </c>
      <c r="F397" t="s">
        <v>62</v>
      </c>
      <c r="G397" t="s">
        <v>12</v>
      </c>
      <c r="H397" t="s">
        <v>13</v>
      </c>
    </row>
    <row r="398" spans="1:8" x14ac:dyDescent="0.3">
      <c r="A398" t="s">
        <v>1222</v>
      </c>
      <c r="B398" t="s">
        <v>1223</v>
      </c>
      <c r="C398">
        <v>25</v>
      </c>
      <c r="D398" t="s">
        <v>16</v>
      </c>
      <c r="E398" t="s">
        <v>1224</v>
      </c>
      <c r="F398" t="s">
        <v>58</v>
      </c>
      <c r="G398" t="s">
        <v>12</v>
      </c>
      <c r="H398" t="s">
        <v>31</v>
      </c>
    </row>
    <row r="399" spans="1:8" x14ac:dyDescent="0.3">
      <c r="A399" t="s">
        <v>1225</v>
      </c>
      <c r="B399" t="s">
        <v>3958</v>
      </c>
      <c r="C399">
        <v>62</v>
      </c>
      <c r="D399" t="s">
        <v>16</v>
      </c>
      <c r="E399" t="s">
        <v>123</v>
      </c>
      <c r="F399" t="s">
        <v>62</v>
      </c>
      <c r="G399" t="s">
        <v>12</v>
      </c>
      <c r="H399" t="s">
        <v>19</v>
      </c>
    </row>
    <row r="400" spans="1:8" x14ac:dyDescent="0.3">
      <c r="A400" t="s">
        <v>1226</v>
      </c>
      <c r="B400" t="s">
        <v>1227</v>
      </c>
      <c r="C400">
        <v>54</v>
      </c>
      <c r="D400" t="s">
        <v>9</v>
      </c>
      <c r="E400" t="s">
        <v>1228</v>
      </c>
      <c r="F400" t="s">
        <v>47</v>
      </c>
      <c r="G400" t="s">
        <v>12</v>
      </c>
      <c r="H400" t="s">
        <v>26</v>
      </c>
    </row>
    <row r="401" spans="1:8" x14ac:dyDescent="0.3">
      <c r="A401" t="s">
        <v>1229</v>
      </c>
      <c r="B401" t="s">
        <v>1230</v>
      </c>
      <c r="C401">
        <v>27</v>
      </c>
      <c r="D401" t="s">
        <v>9</v>
      </c>
      <c r="E401" t="s">
        <v>1231</v>
      </c>
      <c r="F401" t="s">
        <v>429</v>
      </c>
      <c r="G401" t="s">
        <v>12</v>
      </c>
      <c r="H401" t="s">
        <v>26</v>
      </c>
    </row>
    <row r="402" spans="1:8" x14ac:dyDescent="0.3">
      <c r="A402" t="s">
        <v>1232</v>
      </c>
      <c r="B402" t="s">
        <v>1233</v>
      </c>
      <c r="C402">
        <v>57</v>
      </c>
      <c r="D402" t="s">
        <v>16</v>
      </c>
      <c r="E402" t="s">
        <v>1234</v>
      </c>
      <c r="F402" t="s">
        <v>96</v>
      </c>
      <c r="G402" t="s">
        <v>12</v>
      </c>
      <c r="H402" t="s">
        <v>19</v>
      </c>
    </row>
    <row r="403" spans="1:8" x14ac:dyDescent="0.3">
      <c r="A403" t="s">
        <v>1235</v>
      </c>
      <c r="B403" t="s">
        <v>1236</v>
      </c>
      <c r="C403">
        <v>51</v>
      </c>
      <c r="D403" t="s">
        <v>16</v>
      </c>
      <c r="E403" t="s">
        <v>1237</v>
      </c>
      <c r="F403" t="s">
        <v>181</v>
      </c>
      <c r="G403" t="s">
        <v>12</v>
      </c>
      <c r="H403" t="s">
        <v>19</v>
      </c>
    </row>
    <row r="404" spans="1:8" x14ac:dyDescent="0.3">
      <c r="A404" t="s">
        <v>1238</v>
      </c>
      <c r="B404" t="s">
        <v>1239</v>
      </c>
      <c r="C404">
        <v>31</v>
      </c>
      <c r="D404" t="s">
        <v>9</v>
      </c>
      <c r="E404" t="s">
        <v>80</v>
      </c>
      <c r="F404" t="s">
        <v>309</v>
      </c>
      <c r="G404" t="s">
        <v>12</v>
      </c>
      <c r="H404" t="s">
        <v>26</v>
      </c>
    </row>
    <row r="405" spans="1:8" x14ac:dyDescent="0.3">
      <c r="A405" t="s">
        <v>1240</v>
      </c>
      <c r="B405" t="s">
        <v>1241</v>
      </c>
      <c r="C405">
        <v>34</v>
      </c>
      <c r="D405" t="s">
        <v>9</v>
      </c>
      <c r="E405" t="s">
        <v>1242</v>
      </c>
      <c r="F405" t="s">
        <v>323</v>
      </c>
      <c r="G405" t="s">
        <v>12</v>
      </c>
      <c r="H405" t="s">
        <v>26</v>
      </c>
    </row>
    <row r="406" spans="1:8" x14ac:dyDescent="0.3">
      <c r="A406" t="s">
        <v>1243</v>
      </c>
      <c r="B406" t="s">
        <v>1244</v>
      </c>
      <c r="C406">
        <v>22</v>
      </c>
      <c r="D406" t="s">
        <v>16</v>
      </c>
      <c r="E406" t="s">
        <v>1245</v>
      </c>
      <c r="F406" t="s">
        <v>288</v>
      </c>
      <c r="G406" t="s">
        <v>12</v>
      </c>
      <c r="H406" t="s">
        <v>31</v>
      </c>
    </row>
    <row r="407" spans="1:8" x14ac:dyDescent="0.3">
      <c r="A407" t="s">
        <v>1246</v>
      </c>
      <c r="B407" t="s">
        <v>1247</v>
      </c>
      <c r="C407">
        <v>18</v>
      </c>
      <c r="D407" t="s">
        <v>16</v>
      </c>
      <c r="E407" t="s">
        <v>1248</v>
      </c>
      <c r="F407" t="s">
        <v>323</v>
      </c>
      <c r="G407" t="s">
        <v>12</v>
      </c>
      <c r="H407" t="s">
        <v>13</v>
      </c>
    </row>
    <row r="408" spans="1:8" x14ac:dyDescent="0.3">
      <c r="A408" t="s">
        <v>1249</v>
      </c>
      <c r="B408" t="s">
        <v>1250</v>
      </c>
      <c r="C408">
        <v>23</v>
      </c>
      <c r="D408" t="s">
        <v>16</v>
      </c>
      <c r="E408" t="s">
        <v>1251</v>
      </c>
      <c r="F408" t="s">
        <v>319</v>
      </c>
      <c r="G408" t="s">
        <v>12</v>
      </c>
      <c r="H408" t="s">
        <v>13</v>
      </c>
    </row>
    <row r="409" spans="1:8" x14ac:dyDescent="0.3">
      <c r="A409" t="s">
        <v>1252</v>
      </c>
      <c r="B409" t="s">
        <v>1253</v>
      </c>
      <c r="C409">
        <v>33</v>
      </c>
      <c r="D409" t="s">
        <v>9</v>
      </c>
      <c r="E409" t="s">
        <v>1254</v>
      </c>
      <c r="F409" t="s">
        <v>139</v>
      </c>
      <c r="G409" t="s">
        <v>12</v>
      </c>
      <c r="H409" t="s">
        <v>13</v>
      </c>
    </row>
    <row r="410" spans="1:8" x14ac:dyDescent="0.3">
      <c r="A410" t="s">
        <v>1255</v>
      </c>
      <c r="B410" t="s">
        <v>1256</v>
      </c>
      <c r="C410">
        <v>36</v>
      </c>
      <c r="D410" t="s">
        <v>9</v>
      </c>
      <c r="E410" t="s">
        <v>1257</v>
      </c>
      <c r="F410" t="s">
        <v>88</v>
      </c>
      <c r="G410" t="s">
        <v>12</v>
      </c>
      <c r="H410" t="s">
        <v>13</v>
      </c>
    </row>
    <row r="411" spans="1:8" x14ac:dyDescent="0.3">
      <c r="A411" t="s">
        <v>1258</v>
      </c>
      <c r="B411" t="s">
        <v>1259</v>
      </c>
      <c r="C411">
        <v>55</v>
      </c>
      <c r="D411" t="s">
        <v>9</v>
      </c>
      <c r="E411" t="s">
        <v>1260</v>
      </c>
      <c r="F411" t="s">
        <v>838</v>
      </c>
      <c r="G411" t="s">
        <v>12</v>
      </c>
      <c r="H411" t="s">
        <v>13</v>
      </c>
    </row>
    <row r="412" spans="1:8" x14ac:dyDescent="0.3">
      <c r="A412" t="s">
        <v>1261</v>
      </c>
      <c r="B412" t="s">
        <v>1262</v>
      </c>
      <c r="C412">
        <v>48</v>
      </c>
      <c r="D412" t="s">
        <v>16</v>
      </c>
      <c r="E412" t="s">
        <v>1263</v>
      </c>
      <c r="F412" t="s">
        <v>88</v>
      </c>
      <c r="G412" t="s">
        <v>12</v>
      </c>
      <c r="H412" t="s">
        <v>26</v>
      </c>
    </row>
    <row r="413" spans="1:8" x14ac:dyDescent="0.3">
      <c r="A413" t="s">
        <v>1264</v>
      </c>
      <c r="B413" t="s">
        <v>1265</v>
      </c>
      <c r="C413">
        <v>63</v>
      </c>
      <c r="D413" t="s">
        <v>9</v>
      </c>
      <c r="E413" t="s">
        <v>1266</v>
      </c>
      <c r="F413" t="s">
        <v>25</v>
      </c>
      <c r="G413" t="s">
        <v>12</v>
      </c>
      <c r="H413" t="s">
        <v>31</v>
      </c>
    </row>
    <row r="414" spans="1:8" x14ac:dyDescent="0.3">
      <c r="A414" t="s">
        <v>1267</v>
      </c>
      <c r="B414" t="s">
        <v>1268</v>
      </c>
      <c r="C414">
        <v>23</v>
      </c>
      <c r="D414" t="s">
        <v>16</v>
      </c>
      <c r="E414" t="s">
        <v>201</v>
      </c>
      <c r="F414" t="s">
        <v>155</v>
      </c>
      <c r="G414" t="s">
        <v>12</v>
      </c>
      <c r="H414" t="s">
        <v>13</v>
      </c>
    </row>
    <row r="415" spans="1:8" x14ac:dyDescent="0.3">
      <c r="A415" t="s">
        <v>1269</v>
      </c>
      <c r="B415" t="s">
        <v>1270</v>
      </c>
      <c r="C415">
        <v>59</v>
      </c>
      <c r="D415" t="s">
        <v>16</v>
      </c>
      <c r="E415" t="s">
        <v>1271</v>
      </c>
      <c r="F415" t="s">
        <v>106</v>
      </c>
      <c r="G415" t="s">
        <v>12</v>
      </c>
      <c r="H415" t="s">
        <v>26</v>
      </c>
    </row>
    <row r="416" spans="1:8" x14ac:dyDescent="0.3">
      <c r="A416" t="s">
        <v>1272</v>
      </c>
      <c r="B416" t="s">
        <v>1273</v>
      </c>
      <c r="C416">
        <v>35</v>
      </c>
      <c r="D416" t="s">
        <v>16</v>
      </c>
      <c r="E416" t="s">
        <v>1274</v>
      </c>
      <c r="F416" t="s">
        <v>113</v>
      </c>
      <c r="G416" t="s">
        <v>12</v>
      </c>
      <c r="H416" t="s">
        <v>13</v>
      </c>
    </row>
    <row r="417" spans="1:8" x14ac:dyDescent="0.3">
      <c r="A417" t="s">
        <v>1275</v>
      </c>
      <c r="B417" t="s">
        <v>1276</v>
      </c>
      <c r="C417">
        <v>26</v>
      </c>
      <c r="D417" t="s">
        <v>16</v>
      </c>
      <c r="E417" t="s">
        <v>1277</v>
      </c>
      <c r="F417" t="s">
        <v>162</v>
      </c>
      <c r="G417" t="s">
        <v>12</v>
      </c>
      <c r="H417" t="s">
        <v>31</v>
      </c>
    </row>
    <row r="418" spans="1:8" x14ac:dyDescent="0.3">
      <c r="A418" t="s">
        <v>1278</v>
      </c>
      <c r="B418" t="s">
        <v>1279</v>
      </c>
      <c r="C418">
        <v>46</v>
      </c>
      <c r="D418" t="s">
        <v>9</v>
      </c>
      <c r="E418" t="s">
        <v>1280</v>
      </c>
      <c r="F418" t="s">
        <v>319</v>
      </c>
      <c r="G418" t="s">
        <v>12</v>
      </c>
      <c r="H418" t="s">
        <v>19</v>
      </c>
    </row>
    <row r="419" spans="1:8" x14ac:dyDescent="0.3">
      <c r="A419" t="s">
        <v>1281</v>
      </c>
      <c r="B419" t="s">
        <v>1282</v>
      </c>
      <c r="C419">
        <v>64</v>
      </c>
      <c r="D419" t="s">
        <v>16</v>
      </c>
      <c r="E419" t="s">
        <v>1283</v>
      </c>
      <c r="F419" t="s">
        <v>11</v>
      </c>
      <c r="G419" t="s">
        <v>12</v>
      </c>
      <c r="H419" t="s">
        <v>26</v>
      </c>
    </row>
    <row r="420" spans="1:8" x14ac:dyDescent="0.3">
      <c r="A420" t="s">
        <v>1284</v>
      </c>
      <c r="B420" t="s">
        <v>1285</v>
      </c>
      <c r="C420">
        <v>60</v>
      </c>
      <c r="D420" t="s">
        <v>16</v>
      </c>
      <c r="E420" t="s">
        <v>1286</v>
      </c>
      <c r="F420" t="s">
        <v>47</v>
      </c>
      <c r="G420" t="s">
        <v>12</v>
      </c>
      <c r="H420" t="s">
        <v>31</v>
      </c>
    </row>
    <row r="421" spans="1:8" x14ac:dyDescent="0.3">
      <c r="A421" t="s">
        <v>1287</v>
      </c>
      <c r="B421" t="s">
        <v>1288</v>
      </c>
      <c r="C421">
        <v>33</v>
      </c>
      <c r="D421" t="s">
        <v>9</v>
      </c>
      <c r="E421" t="s">
        <v>1289</v>
      </c>
      <c r="F421" t="s">
        <v>309</v>
      </c>
      <c r="G421" t="s">
        <v>12</v>
      </c>
      <c r="H421" t="s">
        <v>13</v>
      </c>
    </row>
    <row r="422" spans="1:8" x14ac:dyDescent="0.3">
      <c r="A422" t="s">
        <v>1290</v>
      </c>
      <c r="B422" t="s">
        <v>3959</v>
      </c>
      <c r="C422">
        <v>60</v>
      </c>
      <c r="D422" t="s">
        <v>9</v>
      </c>
      <c r="E422" t="s">
        <v>1291</v>
      </c>
      <c r="F422" t="s">
        <v>11</v>
      </c>
      <c r="G422" t="s">
        <v>12</v>
      </c>
      <c r="H422" t="s">
        <v>26</v>
      </c>
    </row>
    <row r="423" spans="1:8" x14ac:dyDescent="0.3">
      <c r="A423" t="s">
        <v>1292</v>
      </c>
      <c r="B423" t="s">
        <v>1293</v>
      </c>
      <c r="C423">
        <v>45</v>
      </c>
      <c r="D423" t="s">
        <v>16</v>
      </c>
      <c r="E423" t="s">
        <v>1294</v>
      </c>
      <c r="F423" t="s">
        <v>74</v>
      </c>
      <c r="G423" t="s">
        <v>12</v>
      </c>
      <c r="H423" t="s">
        <v>19</v>
      </c>
    </row>
    <row r="424" spans="1:8" x14ac:dyDescent="0.3">
      <c r="A424" t="s">
        <v>1295</v>
      </c>
      <c r="B424" t="s">
        <v>3960</v>
      </c>
      <c r="C424">
        <v>42</v>
      </c>
      <c r="D424" t="s">
        <v>16</v>
      </c>
      <c r="E424" t="s">
        <v>1296</v>
      </c>
      <c r="F424" t="s">
        <v>62</v>
      </c>
      <c r="G424" t="s">
        <v>12</v>
      </c>
      <c r="H424" t="s">
        <v>19</v>
      </c>
    </row>
    <row r="425" spans="1:8" x14ac:dyDescent="0.3">
      <c r="A425" t="s">
        <v>1297</v>
      </c>
      <c r="B425" t="s">
        <v>1298</v>
      </c>
      <c r="C425">
        <v>35</v>
      </c>
      <c r="D425" t="s">
        <v>9</v>
      </c>
      <c r="E425" t="s">
        <v>1299</v>
      </c>
      <c r="F425" t="s">
        <v>62</v>
      </c>
      <c r="G425" t="s">
        <v>12</v>
      </c>
      <c r="H425" t="s">
        <v>31</v>
      </c>
    </row>
    <row r="426" spans="1:8" x14ac:dyDescent="0.3">
      <c r="A426" t="s">
        <v>1300</v>
      </c>
      <c r="B426" t="s">
        <v>1301</v>
      </c>
      <c r="C426">
        <v>53</v>
      </c>
      <c r="D426" t="s">
        <v>9</v>
      </c>
      <c r="E426" t="s">
        <v>1302</v>
      </c>
      <c r="F426" t="s">
        <v>11</v>
      </c>
      <c r="G426" t="s">
        <v>12</v>
      </c>
      <c r="H426" t="s">
        <v>26</v>
      </c>
    </row>
    <row r="427" spans="1:8" x14ac:dyDescent="0.3">
      <c r="A427" t="s">
        <v>1303</v>
      </c>
      <c r="B427" t="s">
        <v>1304</v>
      </c>
      <c r="C427">
        <v>40</v>
      </c>
      <c r="D427" t="s">
        <v>9</v>
      </c>
      <c r="E427" t="s">
        <v>1305</v>
      </c>
      <c r="F427" t="s">
        <v>117</v>
      </c>
      <c r="G427" t="s">
        <v>12</v>
      </c>
      <c r="H427" t="s">
        <v>26</v>
      </c>
    </row>
    <row r="428" spans="1:8" x14ac:dyDescent="0.3">
      <c r="A428" t="s">
        <v>1306</v>
      </c>
      <c r="B428" t="s">
        <v>1307</v>
      </c>
      <c r="C428">
        <v>28</v>
      </c>
      <c r="D428" t="s">
        <v>9</v>
      </c>
      <c r="E428" t="s">
        <v>1308</v>
      </c>
      <c r="F428" t="s">
        <v>11</v>
      </c>
      <c r="G428" t="s">
        <v>12</v>
      </c>
      <c r="H428" t="s">
        <v>19</v>
      </c>
    </row>
    <row r="429" spans="1:8" x14ac:dyDescent="0.3">
      <c r="A429" t="s">
        <v>1309</v>
      </c>
      <c r="B429" t="s">
        <v>1310</v>
      </c>
      <c r="C429">
        <v>18</v>
      </c>
      <c r="D429" t="s">
        <v>16</v>
      </c>
      <c r="E429" t="s">
        <v>1311</v>
      </c>
      <c r="F429" t="s">
        <v>429</v>
      </c>
      <c r="G429" t="s">
        <v>12</v>
      </c>
      <c r="H429" t="s">
        <v>13</v>
      </c>
    </row>
    <row r="430" spans="1:8" x14ac:dyDescent="0.3">
      <c r="A430" t="s">
        <v>1312</v>
      </c>
      <c r="B430" t="s">
        <v>1313</v>
      </c>
      <c r="C430">
        <v>27</v>
      </c>
      <c r="D430" t="s">
        <v>16</v>
      </c>
      <c r="E430" t="s">
        <v>1314</v>
      </c>
      <c r="F430" t="s">
        <v>323</v>
      </c>
      <c r="G430" t="s">
        <v>12</v>
      </c>
      <c r="H430" t="s">
        <v>26</v>
      </c>
    </row>
    <row r="431" spans="1:8" x14ac:dyDescent="0.3">
      <c r="A431" t="s">
        <v>1315</v>
      </c>
      <c r="B431" t="s">
        <v>1316</v>
      </c>
      <c r="C431">
        <v>43</v>
      </c>
      <c r="D431" t="s">
        <v>9</v>
      </c>
      <c r="E431" t="s">
        <v>1317</v>
      </c>
      <c r="F431" t="s">
        <v>106</v>
      </c>
      <c r="G431" t="s">
        <v>12</v>
      </c>
      <c r="H431" t="s">
        <v>19</v>
      </c>
    </row>
    <row r="432" spans="1:8" x14ac:dyDescent="0.3">
      <c r="A432" t="s">
        <v>1318</v>
      </c>
      <c r="B432" t="s">
        <v>1319</v>
      </c>
      <c r="C432">
        <v>36</v>
      </c>
      <c r="D432" t="s">
        <v>16</v>
      </c>
      <c r="E432" t="s">
        <v>1320</v>
      </c>
      <c r="F432" t="s">
        <v>88</v>
      </c>
      <c r="G432" t="s">
        <v>12</v>
      </c>
      <c r="H432" t="s">
        <v>13</v>
      </c>
    </row>
    <row r="433" spans="1:8" x14ac:dyDescent="0.3">
      <c r="A433" t="s">
        <v>1321</v>
      </c>
      <c r="B433" t="s">
        <v>1322</v>
      </c>
      <c r="C433">
        <v>27</v>
      </c>
      <c r="D433" t="s">
        <v>9</v>
      </c>
      <c r="E433" t="s">
        <v>1323</v>
      </c>
      <c r="F433" t="s">
        <v>30</v>
      </c>
      <c r="G433" t="s">
        <v>12</v>
      </c>
      <c r="H433" t="s">
        <v>19</v>
      </c>
    </row>
    <row r="434" spans="1:8" x14ac:dyDescent="0.3">
      <c r="A434" t="s">
        <v>1324</v>
      </c>
      <c r="B434" t="s">
        <v>1325</v>
      </c>
      <c r="C434">
        <v>37</v>
      </c>
      <c r="D434" t="s">
        <v>9</v>
      </c>
      <c r="E434" t="s">
        <v>1326</v>
      </c>
      <c r="F434" t="s">
        <v>88</v>
      </c>
      <c r="G434" t="s">
        <v>12</v>
      </c>
      <c r="H434" t="s">
        <v>26</v>
      </c>
    </row>
    <row r="435" spans="1:8" x14ac:dyDescent="0.3">
      <c r="A435" t="s">
        <v>1327</v>
      </c>
      <c r="B435" t="s">
        <v>1328</v>
      </c>
      <c r="C435">
        <v>51</v>
      </c>
      <c r="D435" t="s">
        <v>16</v>
      </c>
      <c r="E435" t="s">
        <v>1329</v>
      </c>
      <c r="F435" t="s">
        <v>58</v>
      </c>
      <c r="G435" t="s">
        <v>12</v>
      </c>
      <c r="H435" t="s">
        <v>31</v>
      </c>
    </row>
    <row r="436" spans="1:8" x14ac:dyDescent="0.3">
      <c r="A436" t="s">
        <v>1330</v>
      </c>
      <c r="B436" t="s">
        <v>1331</v>
      </c>
      <c r="C436">
        <v>48</v>
      </c>
      <c r="D436" t="s">
        <v>16</v>
      </c>
      <c r="E436" t="s">
        <v>1332</v>
      </c>
      <c r="F436" t="s">
        <v>251</v>
      </c>
      <c r="G436" t="s">
        <v>12</v>
      </c>
      <c r="H436" t="s">
        <v>13</v>
      </c>
    </row>
    <row r="437" spans="1:8" x14ac:dyDescent="0.3">
      <c r="A437" t="s">
        <v>1333</v>
      </c>
      <c r="B437" t="s">
        <v>1334</v>
      </c>
      <c r="C437">
        <v>37</v>
      </c>
      <c r="D437" t="s">
        <v>16</v>
      </c>
      <c r="E437" t="s">
        <v>1335</v>
      </c>
      <c r="F437" t="s">
        <v>106</v>
      </c>
      <c r="G437" t="s">
        <v>12</v>
      </c>
      <c r="H437" t="s">
        <v>31</v>
      </c>
    </row>
    <row r="438" spans="1:8" x14ac:dyDescent="0.3">
      <c r="A438" t="s">
        <v>1336</v>
      </c>
      <c r="B438" t="s">
        <v>1337</v>
      </c>
      <c r="C438">
        <v>61</v>
      </c>
      <c r="D438" t="s">
        <v>9</v>
      </c>
      <c r="E438" t="s">
        <v>1338</v>
      </c>
      <c r="F438" t="s">
        <v>39</v>
      </c>
      <c r="G438" t="s">
        <v>12</v>
      </c>
      <c r="H438" t="s">
        <v>13</v>
      </c>
    </row>
    <row r="439" spans="1:8" x14ac:dyDescent="0.3">
      <c r="A439" t="s">
        <v>1339</v>
      </c>
      <c r="B439" t="s">
        <v>1340</v>
      </c>
      <c r="C439">
        <v>47</v>
      </c>
      <c r="D439" t="s">
        <v>16</v>
      </c>
      <c r="E439" t="s">
        <v>591</v>
      </c>
      <c r="F439" t="s">
        <v>47</v>
      </c>
      <c r="G439" t="s">
        <v>12</v>
      </c>
      <c r="H439" t="s">
        <v>19</v>
      </c>
    </row>
    <row r="440" spans="1:8" x14ac:dyDescent="0.3">
      <c r="A440" t="s">
        <v>1341</v>
      </c>
      <c r="B440" t="s">
        <v>1342</v>
      </c>
      <c r="C440">
        <v>59</v>
      </c>
      <c r="D440" t="s">
        <v>16</v>
      </c>
      <c r="E440" t="s">
        <v>1343</v>
      </c>
      <c r="F440" t="s">
        <v>234</v>
      </c>
      <c r="G440" t="s">
        <v>12</v>
      </c>
      <c r="H440" t="s">
        <v>19</v>
      </c>
    </row>
    <row r="441" spans="1:8" x14ac:dyDescent="0.3">
      <c r="A441" t="s">
        <v>1344</v>
      </c>
      <c r="B441" t="s">
        <v>1345</v>
      </c>
      <c r="C441">
        <v>53</v>
      </c>
      <c r="D441" t="s">
        <v>9</v>
      </c>
      <c r="E441" t="s">
        <v>922</v>
      </c>
      <c r="F441" t="s">
        <v>155</v>
      </c>
      <c r="G441" t="s">
        <v>12</v>
      </c>
      <c r="H441" t="s">
        <v>31</v>
      </c>
    </row>
    <row r="442" spans="1:8" x14ac:dyDescent="0.3">
      <c r="A442" t="s">
        <v>1346</v>
      </c>
      <c r="B442" t="s">
        <v>1347</v>
      </c>
      <c r="C442">
        <v>60</v>
      </c>
      <c r="D442" t="s">
        <v>9</v>
      </c>
      <c r="E442" t="s">
        <v>1348</v>
      </c>
      <c r="F442" t="s">
        <v>18</v>
      </c>
      <c r="G442" t="s">
        <v>12</v>
      </c>
      <c r="H442" t="s">
        <v>31</v>
      </c>
    </row>
    <row r="443" spans="1:8" x14ac:dyDescent="0.3">
      <c r="A443" t="s">
        <v>1349</v>
      </c>
      <c r="B443" t="s">
        <v>1350</v>
      </c>
      <c r="C443">
        <v>31</v>
      </c>
      <c r="D443" t="s">
        <v>9</v>
      </c>
      <c r="E443" t="s">
        <v>1351</v>
      </c>
      <c r="F443" t="s">
        <v>319</v>
      </c>
      <c r="G443" t="s">
        <v>12</v>
      </c>
      <c r="H443" t="s">
        <v>31</v>
      </c>
    </row>
    <row r="444" spans="1:8" x14ac:dyDescent="0.3">
      <c r="A444" t="s">
        <v>1352</v>
      </c>
      <c r="B444" t="s">
        <v>1353</v>
      </c>
      <c r="C444">
        <v>42</v>
      </c>
      <c r="D444" t="s">
        <v>16</v>
      </c>
      <c r="E444" t="s">
        <v>1354</v>
      </c>
      <c r="F444" t="s">
        <v>35</v>
      </c>
      <c r="G444" t="s">
        <v>12</v>
      </c>
      <c r="H444" t="s">
        <v>26</v>
      </c>
    </row>
    <row r="445" spans="1:8" x14ac:dyDescent="0.3">
      <c r="A445" t="s">
        <v>1355</v>
      </c>
      <c r="B445" t="s">
        <v>1356</v>
      </c>
      <c r="C445">
        <v>51</v>
      </c>
      <c r="D445" t="s">
        <v>9</v>
      </c>
      <c r="E445" t="s">
        <v>1357</v>
      </c>
      <c r="F445" t="s">
        <v>354</v>
      </c>
      <c r="G445" t="s">
        <v>12</v>
      </c>
      <c r="H445" t="s">
        <v>31</v>
      </c>
    </row>
    <row r="446" spans="1:8" x14ac:dyDescent="0.3">
      <c r="A446" t="s">
        <v>1358</v>
      </c>
      <c r="B446" t="s">
        <v>1359</v>
      </c>
      <c r="C446">
        <v>19</v>
      </c>
      <c r="D446" t="s">
        <v>9</v>
      </c>
      <c r="E446" t="s">
        <v>1360</v>
      </c>
      <c r="F446" t="s">
        <v>838</v>
      </c>
      <c r="G446" t="s">
        <v>12</v>
      </c>
      <c r="H446" t="s">
        <v>13</v>
      </c>
    </row>
    <row r="447" spans="1:8" x14ac:dyDescent="0.3">
      <c r="A447" t="s">
        <v>1361</v>
      </c>
      <c r="B447" t="s">
        <v>1362</v>
      </c>
      <c r="C447">
        <v>41</v>
      </c>
      <c r="D447" t="s">
        <v>16</v>
      </c>
      <c r="E447" t="s">
        <v>1363</v>
      </c>
      <c r="F447" t="s">
        <v>284</v>
      </c>
      <c r="G447" t="s">
        <v>12</v>
      </c>
      <c r="H447" t="s">
        <v>19</v>
      </c>
    </row>
    <row r="448" spans="1:8" x14ac:dyDescent="0.3">
      <c r="A448" t="s">
        <v>1364</v>
      </c>
      <c r="B448" t="s">
        <v>1365</v>
      </c>
      <c r="C448">
        <v>35</v>
      </c>
      <c r="D448" t="s">
        <v>9</v>
      </c>
      <c r="E448" t="s">
        <v>1366</v>
      </c>
      <c r="F448" t="s">
        <v>96</v>
      </c>
      <c r="G448" t="s">
        <v>12</v>
      </c>
      <c r="H448" t="s">
        <v>31</v>
      </c>
    </row>
    <row r="449" spans="1:8" x14ac:dyDescent="0.3">
      <c r="A449" t="s">
        <v>1367</v>
      </c>
      <c r="B449" t="s">
        <v>1368</v>
      </c>
      <c r="C449">
        <v>45</v>
      </c>
      <c r="D449" t="s">
        <v>9</v>
      </c>
      <c r="E449" t="s">
        <v>1369</v>
      </c>
      <c r="F449" t="s">
        <v>11</v>
      </c>
      <c r="G449" t="s">
        <v>12</v>
      </c>
      <c r="H449" t="s">
        <v>13</v>
      </c>
    </row>
    <row r="450" spans="1:8" x14ac:dyDescent="0.3">
      <c r="A450" t="s">
        <v>1370</v>
      </c>
      <c r="B450" t="s">
        <v>1371</v>
      </c>
      <c r="C450">
        <v>64</v>
      </c>
      <c r="D450" t="s">
        <v>16</v>
      </c>
      <c r="E450" t="s">
        <v>1372</v>
      </c>
      <c r="F450" t="s">
        <v>838</v>
      </c>
      <c r="G450" t="s">
        <v>12</v>
      </c>
      <c r="H450" t="s">
        <v>26</v>
      </c>
    </row>
    <row r="451" spans="1:8" x14ac:dyDescent="0.3">
      <c r="A451" t="s">
        <v>1373</v>
      </c>
      <c r="B451" t="s">
        <v>1374</v>
      </c>
      <c r="C451">
        <v>29</v>
      </c>
      <c r="D451" t="s">
        <v>9</v>
      </c>
      <c r="E451" t="s">
        <v>1375</v>
      </c>
      <c r="F451" t="s">
        <v>25</v>
      </c>
      <c r="G451" t="s">
        <v>12</v>
      </c>
      <c r="H451" t="s">
        <v>26</v>
      </c>
    </row>
    <row r="452" spans="1:8" x14ac:dyDescent="0.3">
      <c r="A452" t="s">
        <v>1376</v>
      </c>
      <c r="B452" t="s">
        <v>1377</v>
      </c>
      <c r="C452">
        <v>59</v>
      </c>
      <c r="D452" t="s">
        <v>9</v>
      </c>
      <c r="E452" t="s">
        <v>1378</v>
      </c>
      <c r="F452" t="s">
        <v>70</v>
      </c>
      <c r="G452" t="s">
        <v>12</v>
      </c>
      <c r="H452" t="s">
        <v>26</v>
      </c>
    </row>
    <row r="453" spans="1:8" x14ac:dyDescent="0.3">
      <c r="A453" t="s">
        <v>1379</v>
      </c>
      <c r="B453" t="s">
        <v>1380</v>
      </c>
      <c r="C453">
        <v>46</v>
      </c>
      <c r="D453" t="s">
        <v>9</v>
      </c>
      <c r="E453" t="s">
        <v>559</v>
      </c>
      <c r="F453" t="s">
        <v>230</v>
      </c>
      <c r="G453" t="s">
        <v>12</v>
      </c>
      <c r="H453" t="s">
        <v>13</v>
      </c>
    </row>
    <row r="454" spans="1:8" x14ac:dyDescent="0.3">
      <c r="A454" t="s">
        <v>1381</v>
      </c>
      <c r="B454" t="s">
        <v>1382</v>
      </c>
      <c r="C454">
        <v>60</v>
      </c>
      <c r="D454" t="s">
        <v>16</v>
      </c>
      <c r="E454" t="s">
        <v>1383</v>
      </c>
      <c r="F454" t="s">
        <v>309</v>
      </c>
      <c r="G454" t="s">
        <v>12</v>
      </c>
      <c r="H454" t="s">
        <v>26</v>
      </c>
    </row>
    <row r="455" spans="1:8" x14ac:dyDescent="0.3">
      <c r="A455" t="s">
        <v>1384</v>
      </c>
      <c r="B455" t="s">
        <v>1385</v>
      </c>
      <c r="C455">
        <v>62</v>
      </c>
      <c r="D455" t="s">
        <v>16</v>
      </c>
      <c r="E455" t="s">
        <v>1386</v>
      </c>
      <c r="F455" t="s">
        <v>99</v>
      </c>
      <c r="G455" t="s">
        <v>12</v>
      </c>
      <c r="H455" t="s">
        <v>19</v>
      </c>
    </row>
    <row r="456" spans="1:8" x14ac:dyDescent="0.3">
      <c r="A456" t="s">
        <v>1387</v>
      </c>
      <c r="B456" t="s">
        <v>1388</v>
      </c>
      <c r="C456">
        <v>60</v>
      </c>
      <c r="D456" t="s">
        <v>9</v>
      </c>
      <c r="E456" t="s">
        <v>129</v>
      </c>
      <c r="F456" t="s">
        <v>96</v>
      </c>
      <c r="G456" t="s">
        <v>12</v>
      </c>
      <c r="H456" t="s">
        <v>13</v>
      </c>
    </row>
    <row r="457" spans="1:8" x14ac:dyDescent="0.3">
      <c r="A457" t="s">
        <v>1389</v>
      </c>
      <c r="B457" t="s">
        <v>1390</v>
      </c>
      <c r="C457">
        <v>54</v>
      </c>
      <c r="D457" t="s">
        <v>9</v>
      </c>
      <c r="E457" t="s">
        <v>1391</v>
      </c>
      <c r="F457" t="s">
        <v>191</v>
      </c>
      <c r="G457" t="s">
        <v>12</v>
      </c>
      <c r="H457" t="s">
        <v>13</v>
      </c>
    </row>
    <row r="458" spans="1:8" x14ac:dyDescent="0.3">
      <c r="A458" t="s">
        <v>1392</v>
      </c>
      <c r="B458" t="s">
        <v>1393</v>
      </c>
      <c r="C458">
        <v>59</v>
      </c>
      <c r="D458" t="s">
        <v>16</v>
      </c>
      <c r="E458" t="s">
        <v>1394</v>
      </c>
      <c r="F458" t="s">
        <v>288</v>
      </c>
      <c r="G458" t="s">
        <v>12</v>
      </c>
      <c r="H458" t="s">
        <v>13</v>
      </c>
    </row>
    <row r="459" spans="1:8" x14ac:dyDescent="0.3">
      <c r="A459" t="s">
        <v>1395</v>
      </c>
      <c r="B459" t="s">
        <v>1396</v>
      </c>
      <c r="C459">
        <v>59</v>
      </c>
      <c r="D459" t="s">
        <v>9</v>
      </c>
      <c r="E459" t="s">
        <v>1397</v>
      </c>
      <c r="F459" t="s">
        <v>582</v>
      </c>
      <c r="G459" t="s">
        <v>12</v>
      </c>
      <c r="H459" t="s">
        <v>19</v>
      </c>
    </row>
    <row r="460" spans="1:8" x14ac:dyDescent="0.3">
      <c r="A460" t="s">
        <v>1398</v>
      </c>
      <c r="B460" t="s">
        <v>1399</v>
      </c>
      <c r="C460">
        <v>62</v>
      </c>
      <c r="D460" t="s">
        <v>16</v>
      </c>
      <c r="E460" t="s">
        <v>1400</v>
      </c>
      <c r="F460" t="s">
        <v>51</v>
      </c>
      <c r="G460" t="s">
        <v>12</v>
      </c>
      <c r="H460" t="s">
        <v>31</v>
      </c>
    </row>
    <row r="461" spans="1:8" x14ac:dyDescent="0.3">
      <c r="A461" t="s">
        <v>1401</v>
      </c>
      <c r="B461" t="s">
        <v>673</v>
      </c>
      <c r="C461">
        <v>29</v>
      </c>
      <c r="D461" t="s">
        <v>16</v>
      </c>
      <c r="E461" t="s">
        <v>1402</v>
      </c>
      <c r="F461" t="s">
        <v>312</v>
      </c>
      <c r="G461" t="s">
        <v>12</v>
      </c>
      <c r="H461" t="s">
        <v>13</v>
      </c>
    </row>
    <row r="462" spans="1:8" x14ac:dyDescent="0.3">
      <c r="A462" t="s">
        <v>1403</v>
      </c>
      <c r="B462" t="s">
        <v>1404</v>
      </c>
      <c r="C462">
        <v>35</v>
      </c>
      <c r="D462" t="s">
        <v>9</v>
      </c>
      <c r="E462" t="s">
        <v>1405</v>
      </c>
      <c r="F462" t="s">
        <v>264</v>
      </c>
      <c r="G462" t="s">
        <v>12</v>
      </c>
      <c r="H462" t="s">
        <v>13</v>
      </c>
    </row>
    <row r="463" spans="1:8" x14ac:dyDescent="0.3">
      <c r="A463" t="s">
        <v>1406</v>
      </c>
      <c r="B463" t="s">
        <v>1407</v>
      </c>
      <c r="C463">
        <v>60</v>
      </c>
      <c r="D463" t="s">
        <v>16</v>
      </c>
      <c r="E463" t="s">
        <v>1408</v>
      </c>
      <c r="F463" t="s">
        <v>62</v>
      </c>
      <c r="G463" t="s">
        <v>12</v>
      </c>
      <c r="H463" t="s">
        <v>31</v>
      </c>
    </row>
    <row r="464" spans="1:8" x14ac:dyDescent="0.3">
      <c r="A464" t="s">
        <v>1409</v>
      </c>
      <c r="B464" t="s">
        <v>1410</v>
      </c>
      <c r="C464">
        <v>34</v>
      </c>
      <c r="D464" t="s">
        <v>16</v>
      </c>
      <c r="E464" t="s">
        <v>1411</v>
      </c>
      <c r="F464" t="s">
        <v>43</v>
      </c>
      <c r="G464" t="s">
        <v>12</v>
      </c>
      <c r="H464" t="s">
        <v>31</v>
      </c>
    </row>
    <row r="465" spans="1:8" x14ac:dyDescent="0.3">
      <c r="A465" t="s">
        <v>1412</v>
      </c>
      <c r="B465" t="s">
        <v>1413</v>
      </c>
      <c r="C465">
        <v>36</v>
      </c>
      <c r="D465" t="s">
        <v>16</v>
      </c>
      <c r="E465" t="s">
        <v>1414</v>
      </c>
      <c r="F465" t="s">
        <v>166</v>
      </c>
      <c r="G465" t="s">
        <v>12</v>
      </c>
      <c r="H465" t="s">
        <v>26</v>
      </c>
    </row>
    <row r="466" spans="1:8" x14ac:dyDescent="0.3">
      <c r="A466" t="s">
        <v>1415</v>
      </c>
      <c r="B466" t="s">
        <v>1416</v>
      </c>
      <c r="C466">
        <v>45</v>
      </c>
      <c r="D466" t="s">
        <v>16</v>
      </c>
      <c r="E466" t="s">
        <v>1417</v>
      </c>
      <c r="F466" t="s">
        <v>74</v>
      </c>
      <c r="G466" t="s">
        <v>12</v>
      </c>
      <c r="H466" t="s">
        <v>19</v>
      </c>
    </row>
    <row r="467" spans="1:8" x14ac:dyDescent="0.3">
      <c r="A467" t="s">
        <v>1418</v>
      </c>
      <c r="B467" t="s">
        <v>1419</v>
      </c>
      <c r="C467">
        <v>28</v>
      </c>
      <c r="D467" t="s">
        <v>16</v>
      </c>
      <c r="E467" t="s">
        <v>1420</v>
      </c>
      <c r="F467" t="s">
        <v>11</v>
      </c>
      <c r="G467" t="s">
        <v>12</v>
      </c>
      <c r="H467" t="s">
        <v>31</v>
      </c>
    </row>
    <row r="468" spans="1:8" x14ac:dyDescent="0.3">
      <c r="A468" t="s">
        <v>1421</v>
      </c>
      <c r="B468" t="s">
        <v>1422</v>
      </c>
      <c r="C468">
        <v>18</v>
      </c>
      <c r="D468" t="s">
        <v>9</v>
      </c>
      <c r="E468" t="s">
        <v>1423</v>
      </c>
      <c r="F468" t="s">
        <v>198</v>
      </c>
      <c r="G468" t="s">
        <v>12</v>
      </c>
      <c r="H468" t="s">
        <v>31</v>
      </c>
    </row>
    <row r="469" spans="1:8" x14ac:dyDescent="0.3">
      <c r="A469" t="s">
        <v>1424</v>
      </c>
      <c r="B469" t="s">
        <v>1425</v>
      </c>
      <c r="C469">
        <v>63</v>
      </c>
      <c r="D469" t="s">
        <v>16</v>
      </c>
      <c r="E469" t="s">
        <v>1426</v>
      </c>
      <c r="F469" t="s">
        <v>170</v>
      </c>
      <c r="G469" t="s">
        <v>12</v>
      </c>
      <c r="H469" t="s">
        <v>13</v>
      </c>
    </row>
    <row r="470" spans="1:8" x14ac:dyDescent="0.3">
      <c r="A470" t="s">
        <v>1427</v>
      </c>
      <c r="B470" t="s">
        <v>1428</v>
      </c>
      <c r="C470">
        <v>45</v>
      </c>
      <c r="D470" t="s">
        <v>9</v>
      </c>
      <c r="E470" t="s">
        <v>1429</v>
      </c>
      <c r="F470" t="s">
        <v>170</v>
      </c>
      <c r="G470" t="s">
        <v>12</v>
      </c>
      <c r="H470" t="s">
        <v>26</v>
      </c>
    </row>
    <row r="471" spans="1:8" x14ac:dyDescent="0.3">
      <c r="A471" t="s">
        <v>1430</v>
      </c>
      <c r="B471" t="s">
        <v>1431</v>
      </c>
      <c r="C471">
        <v>19</v>
      </c>
      <c r="D471" t="s">
        <v>9</v>
      </c>
      <c r="E471" t="s">
        <v>1432</v>
      </c>
      <c r="F471" t="s">
        <v>117</v>
      </c>
      <c r="G471" t="s">
        <v>12</v>
      </c>
      <c r="H471" t="s">
        <v>13</v>
      </c>
    </row>
    <row r="472" spans="1:8" x14ac:dyDescent="0.3">
      <c r="A472" t="s">
        <v>1433</v>
      </c>
      <c r="B472" t="s">
        <v>1434</v>
      </c>
      <c r="C472">
        <v>21</v>
      </c>
      <c r="D472" t="s">
        <v>16</v>
      </c>
      <c r="E472" t="s">
        <v>1435</v>
      </c>
      <c r="F472" t="s">
        <v>47</v>
      </c>
      <c r="G472" t="s">
        <v>12</v>
      </c>
      <c r="H472" t="s">
        <v>13</v>
      </c>
    </row>
    <row r="473" spans="1:8" x14ac:dyDescent="0.3">
      <c r="A473" t="s">
        <v>1436</v>
      </c>
      <c r="B473" t="s">
        <v>1437</v>
      </c>
      <c r="C473">
        <v>42</v>
      </c>
      <c r="D473" t="s">
        <v>9</v>
      </c>
      <c r="E473" t="s">
        <v>1438</v>
      </c>
      <c r="F473" t="s">
        <v>66</v>
      </c>
      <c r="G473" t="s">
        <v>12</v>
      </c>
      <c r="H473" t="s">
        <v>19</v>
      </c>
    </row>
    <row r="474" spans="1:8" x14ac:dyDescent="0.3">
      <c r="A474" t="s">
        <v>1439</v>
      </c>
      <c r="B474" t="s">
        <v>1440</v>
      </c>
      <c r="C474">
        <v>42</v>
      </c>
      <c r="D474" t="s">
        <v>9</v>
      </c>
      <c r="E474" t="s">
        <v>1441</v>
      </c>
      <c r="F474" t="s">
        <v>709</v>
      </c>
      <c r="G474" t="s">
        <v>12</v>
      </c>
      <c r="H474" t="s">
        <v>31</v>
      </c>
    </row>
    <row r="475" spans="1:8" x14ac:dyDescent="0.3">
      <c r="A475" t="s">
        <v>1442</v>
      </c>
      <c r="B475" t="s">
        <v>1443</v>
      </c>
      <c r="C475">
        <v>53</v>
      </c>
      <c r="D475" t="s">
        <v>9</v>
      </c>
      <c r="E475" t="s">
        <v>1444</v>
      </c>
      <c r="F475" t="s">
        <v>319</v>
      </c>
      <c r="G475" t="s">
        <v>12</v>
      </c>
      <c r="H475" t="s">
        <v>26</v>
      </c>
    </row>
    <row r="476" spans="1:8" x14ac:dyDescent="0.3">
      <c r="A476" t="s">
        <v>1445</v>
      </c>
      <c r="B476" t="s">
        <v>1446</v>
      </c>
      <c r="C476">
        <v>32</v>
      </c>
      <c r="D476" t="s">
        <v>16</v>
      </c>
      <c r="E476" t="s">
        <v>1447</v>
      </c>
      <c r="F476" t="s">
        <v>39</v>
      </c>
      <c r="G476" t="s">
        <v>12</v>
      </c>
      <c r="H476" t="s">
        <v>19</v>
      </c>
    </row>
    <row r="477" spans="1:8" x14ac:dyDescent="0.3">
      <c r="A477" t="s">
        <v>1448</v>
      </c>
      <c r="B477" t="s">
        <v>1449</v>
      </c>
      <c r="C477">
        <v>18</v>
      </c>
      <c r="D477" t="s">
        <v>16</v>
      </c>
      <c r="E477" t="s">
        <v>390</v>
      </c>
      <c r="F477" t="s">
        <v>170</v>
      </c>
      <c r="G477" t="s">
        <v>12</v>
      </c>
      <c r="H477" t="s">
        <v>19</v>
      </c>
    </row>
    <row r="478" spans="1:8" x14ac:dyDescent="0.3">
      <c r="A478" t="s">
        <v>1450</v>
      </c>
      <c r="B478" t="s">
        <v>1451</v>
      </c>
      <c r="C478">
        <v>33</v>
      </c>
      <c r="D478" t="s">
        <v>16</v>
      </c>
      <c r="E478" t="s">
        <v>1452</v>
      </c>
      <c r="F478" t="s">
        <v>96</v>
      </c>
      <c r="G478" t="s">
        <v>12</v>
      </c>
      <c r="H478" t="s">
        <v>13</v>
      </c>
    </row>
    <row r="479" spans="1:8" x14ac:dyDescent="0.3">
      <c r="A479" t="s">
        <v>1453</v>
      </c>
      <c r="B479" t="s">
        <v>1454</v>
      </c>
      <c r="C479">
        <v>41</v>
      </c>
      <c r="D479" t="s">
        <v>16</v>
      </c>
      <c r="E479" t="s">
        <v>1455</v>
      </c>
      <c r="F479" t="s">
        <v>62</v>
      </c>
      <c r="G479" t="s">
        <v>12</v>
      </c>
      <c r="H479" t="s">
        <v>19</v>
      </c>
    </row>
    <row r="480" spans="1:8" x14ac:dyDescent="0.3">
      <c r="A480" t="s">
        <v>1456</v>
      </c>
      <c r="B480" t="s">
        <v>3961</v>
      </c>
      <c r="C480">
        <v>59</v>
      </c>
      <c r="D480" t="s">
        <v>9</v>
      </c>
      <c r="E480" t="s">
        <v>1457</v>
      </c>
      <c r="F480" t="s">
        <v>39</v>
      </c>
      <c r="G480" t="s">
        <v>12</v>
      </c>
      <c r="H480" t="s">
        <v>13</v>
      </c>
    </row>
    <row r="481" spans="1:8" x14ac:dyDescent="0.3">
      <c r="A481" t="s">
        <v>1458</v>
      </c>
      <c r="B481" t="s">
        <v>1459</v>
      </c>
      <c r="C481">
        <v>40</v>
      </c>
      <c r="D481" t="s">
        <v>9</v>
      </c>
      <c r="E481" t="s">
        <v>1460</v>
      </c>
      <c r="F481" t="s">
        <v>43</v>
      </c>
      <c r="G481" t="s">
        <v>12</v>
      </c>
      <c r="H481" t="s">
        <v>26</v>
      </c>
    </row>
    <row r="482" spans="1:8" x14ac:dyDescent="0.3">
      <c r="A482" t="s">
        <v>1461</v>
      </c>
      <c r="B482" t="s">
        <v>1462</v>
      </c>
      <c r="C482">
        <v>33</v>
      </c>
      <c r="D482" t="s">
        <v>9</v>
      </c>
      <c r="E482" t="s">
        <v>1463</v>
      </c>
      <c r="F482" t="s">
        <v>247</v>
      </c>
      <c r="G482" t="s">
        <v>12</v>
      </c>
      <c r="H482" t="s">
        <v>26</v>
      </c>
    </row>
    <row r="483" spans="1:8" x14ac:dyDescent="0.3">
      <c r="A483" t="s">
        <v>1464</v>
      </c>
      <c r="B483" t="s">
        <v>1465</v>
      </c>
      <c r="C483">
        <v>21</v>
      </c>
      <c r="D483" t="s">
        <v>9</v>
      </c>
      <c r="E483" t="s">
        <v>1466</v>
      </c>
      <c r="F483" t="s">
        <v>81</v>
      </c>
      <c r="G483" t="s">
        <v>12</v>
      </c>
      <c r="H483" t="s">
        <v>13</v>
      </c>
    </row>
    <row r="484" spans="1:8" x14ac:dyDescent="0.3">
      <c r="A484" t="s">
        <v>1467</v>
      </c>
      <c r="B484" t="s">
        <v>1468</v>
      </c>
      <c r="C484">
        <v>26</v>
      </c>
      <c r="D484" t="s">
        <v>9</v>
      </c>
      <c r="E484" t="s">
        <v>1469</v>
      </c>
      <c r="F484" t="s">
        <v>582</v>
      </c>
      <c r="G484" t="s">
        <v>12</v>
      </c>
      <c r="H484" t="s">
        <v>19</v>
      </c>
    </row>
    <row r="485" spans="1:8" x14ac:dyDescent="0.3">
      <c r="A485" t="s">
        <v>1470</v>
      </c>
      <c r="B485" t="s">
        <v>1259</v>
      </c>
      <c r="C485">
        <v>48</v>
      </c>
      <c r="D485" t="s">
        <v>9</v>
      </c>
      <c r="E485" t="s">
        <v>1471</v>
      </c>
      <c r="F485" t="s">
        <v>181</v>
      </c>
      <c r="G485" t="s">
        <v>12</v>
      </c>
      <c r="H485" t="s">
        <v>13</v>
      </c>
    </row>
    <row r="486" spans="1:8" x14ac:dyDescent="0.3">
      <c r="A486" t="s">
        <v>1472</v>
      </c>
      <c r="B486" t="s">
        <v>1473</v>
      </c>
      <c r="C486">
        <v>32</v>
      </c>
      <c r="D486" t="s">
        <v>9</v>
      </c>
      <c r="E486" t="s">
        <v>1474</v>
      </c>
      <c r="F486" t="s">
        <v>709</v>
      </c>
      <c r="G486" t="s">
        <v>12</v>
      </c>
      <c r="H486" t="s">
        <v>26</v>
      </c>
    </row>
    <row r="487" spans="1:8" x14ac:dyDescent="0.3">
      <c r="A487" t="s">
        <v>1475</v>
      </c>
      <c r="B487" t="s">
        <v>1476</v>
      </c>
      <c r="C487">
        <v>46</v>
      </c>
      <c r="D487" t="s">
        <v>16</v>
      </c>
      <c r="E487" t="s">
        <v>1477</v>
      </c>
      <c r="F487" t="s">
        <v>284</v>
      </c>
      <c r="G487" t="s">
        <v>12</v>
      </c>
      <c r="H487" t="s">
        <v>26</v>
      </c>
    </row>
    <row r="488" spans="1:8" x14ac:dyDescent="0.3">
      <c r="A488" t="s">
        <v>1478</v>
      </c>
      <c r="B488" t="s">
        <v>1479</v>
      </c>
      <c r="C488">
        <v>22</v>
      </c>
      <c r="D488" t="s">
        <v>16</v>
      </c>
      <c r="E488" t="s">
        <v>1480</v>
      </c>
      <c r="F488" t="s">
        <v>170</v>
      </c>
      <c r="G488" t="s">
        <v>12</v>
      </c>
      <c r="H488" t="s">
        <v>26</v>
      </c>
    </row>
    <row r="489" spans="1:8" x14ac:dyDescent="0.3">
      <c r="A489" t="s">
        <v>1481</v>
      </c>
      <c r="B489" t="s">
        <v>1482</v>
      </c>
      <c r="C489">
        <v>36</v>
      </c>
      <c r="D489" t="s">
        <v>16</v>
      </c>
      <c r="E489" t="s">
        <v>1483</v>
      </c>
      <c r="F489" t="s">
        <v>117</v>
      </c>
      <c r="G489" t="s">
        <v>12</v>
      </c>
      <c r="H489" t="s">
        <v>19</v>
      </c>
    </row>
    <row r="490" spans="1:8" x14ac:dyDescent="0.3">
      <c r="A490" t="s">
        <v>1484</v>
      </c>
      <c r="B490" t="s">
        <v>1485</v>
      </c>
      <c r="C490">
        <v>23</v>
      </c>
      <c r="D490" t="s">
        <v>16</v>
      </c>
      <c r="E490" t="s">
        <v>1486</v>
      </c>
      <c r="F490" t="s">
        <v>30</v>
      </c>
      <c r="G490" t="s">
        <v>12</v>
      </c>
      <c r="H490" t="s">
        <v>19</v>
      </c>
    </row>
    <row r="491" spans="1:8" x14ac:dyDescent="0.3">
      <c r="A491" t="s">
        <v>1487</v>
      </c>
      <c r="B491" t="s">
        <v>1488</v>
      </c>
      <c r="C491">
        <v>42</v>
      </c>
      <c r="D491" t="s">
        <v>16</v>
      </c>
      <c r="E491" t="s">
        <v>1489</v>
      </c>
      <c r="F491" t="s">
        <v>251</v>
      </c>
      <c r="G491" t="s">
        <v>12</v>
      </c>
      <c r="H491" t="s">
        <v>31</v>
      </c>
    </row>
    <row r="492" spans="1:8" x14ac:dyDescent="0.3">
      <c r="A492" t="s">
        <v>1490</v>
      </c>
      <c r="B492" t="s">
        <v>1491</v>
      </c>
      <c r="C492">
        <v>23</v>
      </c>
      <c r="D492" t="s">
        <v>9</v>
      </c>
      <c r="E492" t="s">
        <v>1492</v>
      </c>
      <c r="F492" t="s">
        <v>139</v>
      </c>
      <c r="G492" t="s">
        <v>12</v>
      </c>
      <c r="H492" t="s">
        <v>19</v>
      </c>
    </row>
    <row r="493" spans="1:8" x14ac:dyDescent="0.3">
      <c r="A493" t="s">
        <v>1493</v>
      </c>
      <c r="B493" t="s">
        <v>1494</v>
      </c>
      <c r="C493">
        <v>52</v>
      </c>
      <c r="D493" t="s">
        <v>16</v>
      </c>
      <c r="E493" t="s">
        <v>1495</v>
      </c>
      <c r="F493" t="s">
        <v>39</v>
      </c>
      <c r="G493" t="s">
        <v>12</v>
      </c>
      <c r="H493" t="s">
        <v>13</v>
      </c>
    </row>
    <row r="494" spans="1:8" x14ac:dyDescent="0.3">
      <c r="A494" t="s">
        <v>1496</v>
      </c>
      <c r="B494" t="s">
        <v>1497</v>
      </c>
      <c r="C494">
        <v>59</v>
      </c>
      <c r="D494" t="s">
        <v>16</v>
      </c>
      <c r="E494" t="s">
        <v>1498</v>
      </c>
      <c r="F494" t="s">
        <v>247</v>
      </c>
      <c r="G494" t="s">
        <v>12</v>
      </c>
      <c r="H494" t="s">
        <v>19</v>
      </c>
    </row>
    <row r="495" spans="1:8" x14ac:dyDescent="0.3">
      <c r="A495" t="s">
        <v>1499</v>
      </c>
      <c r="B495" t="s">
        <v>1500</v>
      </c>
      <c r="C495">
        <v>28</v>
      </c>
      <c r="D495" t="s">
        <v>9</v>
      </c>
      <c r="E495" t="s">
        <v>84</v>
      </c>
      <c r="F495" t="s">
        <v>22</v>
      </c>
      <c r="G495" t="s">
        <v>12</v>
      </c>
      <c r="H495" t="s">
        <v>31</v>
      </c>
    </row>
    <row r="496" spans="1:8" x14ac:dyDescent="0.3">
      <c r="A496" t="s">
        <v>1501</v>
      </c>
      <c r="B496" t="s">
        <v>1502</v>
      </c>
      <c r="C496">
        <v>21</v>
      </c>
      <c r="D496" t="s">
        <v>9</v>
      </c>
      <c r="E496" t="s">
        <v>1503</v>
      </c>
      <c r="F496" t="s">
        <v>354</v>
      </c>
      <c r="G496" t="s">
        <v>12</v>
      </c>
      <c r="H496" t="s">
        <v>13</v>
      </c>
    </row>
    <row r="497" spans="1:8" x14ac:dyDescent="0.3">
      <c r="A497" t="s">
        <v>1504</v>
      </c>
      <c r="B497" t="s">
        <v>1505</v>
      </c>
      <c r="C497">
        <v>23</v>
      </c>
      <c r="D497" t="s">
        <v>16</v>
      </c>
      <c r="E497" t="s">
        <v>1506</v>
      </c>
      <c r="F497" t="s">
        <v>92</v>
      </c>
      <c r="G497" t="s">
        <v>12</v>
      </c>
      <c r="H497" t="s">
        <v>26</v>
      </c>
    </row>
    <row r="498" spans="1:8" x14ac:dyDescent="0.3">
      <c r="A498" t="s">
        <v>1507</v>
      </c>
      <c r="B498" t="s">
        <v>1508</v>
      </c>
      <c r="C498">
        <v>56</v>
      </c>
      <c r="D498" t="s">
        <v>9</v>
      </c>
      <c r="E498" t="s">
        <v>1509</v>
      </c>
      <c r="F498" t="s">
        <v>25</v>
      </c>
      <c r="G498" t="s">
        <v>12</v>
      </c>
      <c r="H498" t="s">
        <v>26</v>
      </c>
    </row>
    <row r="499" spans="1:8" x14ac:dyDescent="0.3">
      <c r="A499" t="s">
        <v>1510</v>
      </c>
      <c r="B499" t="s">
        <v>1511</v>
      </c>
      <c r="C499">
        <v>47</v>
      </c>
      <c r="D499" t="s">
        <v>16</v>
      </c>
      <c r="E499" t="s">
        <v>1512</v>
      </c>
      <c r="F499" t="s">
        <v>58</v>
      </c>
      <c r="G499" t="s">
        <v>12</v>
      </c>
      <c r="H499" t="s">
        <v>13</v>
      </c>
    </row>
    <row r="500" spans="1:8" x14ac:dyDescent="0.3">
      <c r="A500" t="s">
        <v>1513</v>
      </c>
      <c r="B500" t="s">
        <v>1514</v>
      </c>
      <c r="C500">
        <v>35</v>
      </c>
      <c r="D500" t="s">
        <v>9</v>
      </c>
      <c r="E500" t="s">
        <v>1515</v>
      </c>
      <c r="F500" t="s">
        <v>230</v>
      </c>
      <c r="G500" t="s">
        <v>12</v>
      </c>
      <c r="H500" t="s">
        <v>31</v>
      </c>
    </row>
    <row r="501" spans="1:8" x14ac:dyDescent="0.3">
      <c r="A501" t="s">
        <v>1516</v>
      </c>
      <c r="B501" t="s">
        <v>1517</v>
      </c>
      <c r="C501">
        <v>27</v>
      </c>
      <c r="D501" t="s">
        <v>16</v>
      </c>
      <c r="E501" t="s">
        <v>1518</v>
      </c>
      <c r="F501" t="s">
        <v>35</v>
      </c>
      <c r="G501" t="s">
        <v>12</v>
      </c>
      <c r="H501" t="s">
        <v>19</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E11" sqref="E1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7" max="7" width="11.21875" customWidth="1"/>
  </cols>
  <sheetData>
    <row r="1" spans="1:7" x14ac:dyDescent="0.3">
      <c r="A1" s="2" t="s">
        <v>1519</v>
      </c>
      <c r="B1" s="2" t="s">
        <v>1520</v>
      </c>
      <c r="C1" s="2" t="s">
        <v>1521</v>
      </c>
      <c r="D1" s="2" t="s">
        <v>1522</v>
      </c>
      <c r="E1" s="2" t="s">
        <v>1523</v>
      </c>
      <c r="F1" s="2" t="s">
        <v>1524</v>
      </c>
      <c r="G1" s="2" t="s">
        <v>1525</v>
      </c>
    </row>
    <row r="2" spans="1:7" x14ac:dyDescent="0.3">
      <c r="A2" t="s">
        <v>1526</v>
      </c>
      <c r="B2" t="s">
        <v>3815</v>
      </c>
      <c r="C2" t="s">
        <v>1546</v>
      </c>
      <c r="D2" t="s">
        <v>3816</v>
      </c>
      <c r="E2" t="s">
        <v>1528</v>
      </c>
      <c r="F2">
        <v>112.42</v>
      </c>
      <c r="G2">
        <v>416</v>
      </c>
    </row>
    <row r="3" spans="1:7" x14ac:dyDescent="0.3">
      <c r="A3" t="s">
        <v>1529</v>
      </c>
      <c r="B3" t="s">
        <v>3817</v>
      </c>
      <c r="C3" t="s">
        <v>1530</v>
      </c>
      <c r="D3" t="s">
        <v>3818</v>
      </c>
      <c r="E3" t="s">
        <v>1531</v>
      </c>
      <c r="F3">
        <v>342.56</v>
      </c>
      <c r="G3">
        <v>181</v>
      </c>
    </row>
    <row r="4" spans="1:7" x14ac:dyDescent="0.3">
      <c r="A4" t="s">
        <v>1532</v>
      </c>
      <c r="B4" t="s">
        <v>3819</v>
      </c>
      <c r="C4" t="s">
        <v>1530</v>
      </c>
      <c r="D4" t="s">
        <v>3820</v>
      </c>
      <c r="E4" t="s">
        <v>1533</v>
      </c>
      <c r="F4">
        <v>296.83</v>
      </c>
      <c r="G4">
        <v>352</v>
      </c>
    </row>
    <row r="5" spans="1:7" x14ac:dyDescent="0.3">
      <c r="A5" t="s">
        <v>1534</v>
      </c>
      <c r="B5" t="s">
        <v>3821</v>
      </c>
      <c r="C5" t="s">
        <v>1530</v>
      </c>
      <c r="D5" t="s">
        <v>3820</v>
      </c>
      <c r="E5" t="s">
        <v>1535</v>
      </c>
      <c r="F5">
        <v>364.67</v>
      </c>
      <c r="G5">
        <v>452</v>
      </c>
    </row>
    <row r="6" spans="1:7" x14ac:dyDescent="0.3">
      <c r="A6" t="s">
        <v>1536</v>
      </c>
      <c r="B6" t="s">
        <v>3822</v>
      </c>
      <c r="C6" t="s">
        <v>1530</v>
      </c>
      <c r="D6" t="s">
        <v>3823</v>
      </c>
      <c r="E6" t="s">
        <v>1537</v>
      </c>
      <c r="F6">
        <v>306.45999999999998</v>
      </c>
      <c r="G6">
        <v>487</v>
      </c>
    </row>
    <row r="7" spans="1:7" x14ac:dyDescent="0.3">
      <c r="A7" t="s">
        <v>1538</v>
      </c>
      <c r="B7" t="s">
        <v>3824</v>
      </c>
      <c r="C7" t="s">
        <v>1530</v>
      </c>
      <c r="D7" t="s">
        <v>3825</v>
      </c>
      <c r="E7" t="s">
        <v>1539</v>
      </c>
      <c r="F7">
        <v>261</v>
      </c>
      <c r="G7">
        <v>59</v>
      </c>
    </row>
    <row r="8" spans="1:7" x14ac:dyDescent="0.3">
      <c r="A8" t="s">
        <v>1540</v>
      </c>
      <c r="B8" t="s">
        <v>3826</v>
      </c>
      <c r="C8" t="s">
        <v>1541</v>
      </c>
      <c r="D8" t="s">
        <v>3827</v>
      </c>
      <c r="E8" t="s">
        <v>1542</v>
      </c>
      <c r="F8">
        <v>312.8</v>
      </c>
      <c r="G8">
        <v>350</v>
      </c>
    </row>
    <row r="9" spans="1:7" x14ac:dyDescent="0.3">
      <c r="A9" t="s">
        <v>1543</v>
      </c>
      <c r="B9" t="s">
        <v>3828</v>
      </c>
      <c r="C9" t="s">
        <v>1527</v>
      </c>
      <c r="D9" t="s">
        <v>3829</v>
      </c>
      <c r="E9" t="s">
        <v>1544</v>
      </c>
      <c r="F9">
        <v>218.86</v>
      </c>
      <c r="G9">
        <v>170</v>
      </c>
    </row>
    <row r="10" spans="1:7" x14ac:dyDescent="0.3">
      <c r="A10" t="s">
        <v>1545</v>
      </c>
      <c r="B10" t="s">
        <v>3830</v>
      </c>
      <c r="C10" t="s">
        <v>1546</v>
      </c>
      <c r="D10" t="s">
        <v>3831</v>
      </c>
      <c r="E10" t="s">
        <v>1547</v>
      </c>
      <c r="F10">
        <v>439.07</v>
      </c>
      <c r="G10">
        <v>142</v>
      </c>
    </row>
    <row r="11" spans="1:7" x14ac:dyDescent="0.3">
      <c r="A11" t="s">
        <v>1548</v>
      </c>
      <c r="B11" t="s">
        <v>3832</v>
      </c>
      <c r="C11" t="s">
        <v>1549</v>
      </c>
      <c r="D11" t="s">
        <v>3833</v>
      </c>
      <c r="E11" t="s">
        <v>1550</v>
      </c>
      <c r="F11">
        <v>495.72</v>
      </c>
      <c r="G11">
        <v>323</v>
      </c>
    </row>
    <row r="12" spans="1:7" x14ac:dyDescent="0.3">
      <c r="A12" t="s">
        <v>1551</v>
      </c>
      <c r="B12" t="s">
        <v>3834</v>
      </c>
      <c r="C12" t="s">
        <v>1527</v>
      </c>
      <c r="D12" t="s">
        <v>3835</v>
      </c>
      <c r="E12" t="s">
        <v>1552</v>
      </c>
      <c r="F12">
        <v>298.86</v>
      </c>
      <c r="G12">
        <v>308</v>
      </c>
    </row>
    <row r="13" spans="1:7" x14ac:dyDescent="0.3">
      <c r="A13" t="s">
        <v>1553</v>
      </c>
      <c r="B13" t="s">
        <v>3836</v>
      </c>
      <c r="C13" t="s">
        <v>1546</v>
      </c>
      <c r="D13" t="s">
        <v>3825</v>
      </c>
      <c r="E13" t="s">
        <v>1554</v>
      </c>
      <c r="F13">
        <v>449.4</v>
      </c>
      <c r="G13">
        <v>338</v>
      </c>
    </row>
    <row r="14" spans="1:7" x14ac:dyDescent="0.3">
      <c r="A14" t="s">
        <v>1555</v>
      </c>
      <c r="B14" t="s">
        <v>3837</v>
      </c>
      <c r="C14" t="s">
        <v>1541</v>
      </c>
      <c r="D14" t="s">
        <v>3838</v>
      </c>
      <c r="E14" t="s">
        <v>1556</v>
      </c>
      <c r="F14">
        <v>115.82</v>
      </c>
      <c r="G14">
        <v>460</v>
      </c>
    </row>
    <row r="15" spans="1:7" x14ac:dyDescent="0.3">
      <c r="A15" t="s">
        <v>1557</v>
      </c>
      <c r="B15" t="s">
        <v>3839</v>
      </c>
      <c r="C15" t="s">
        <v>1546</v>
      </c>
      <c r="D15" t="s">
        <v>3825</v>
      </c>
      <c r="E15" t="s">
        <v>1558</v>
      </c>
      <c r="F15">
        <v>242.23</v>
      </c>
      <c r="G15">
        <v>453</v>
      </c>
    </row>
    <row r="16" spans="1:7" x14ac:dyDescent="0.3">
      <c r="A16" t="s">
        <v>1559</v>
      </c>
      <c r="B16" t="s">
        <v>3840</v>
      </c>
      <c r="C16" t="s">
        <v>1527</v>
      </c>
      <c r="D16" t="s">
        <v>3841</v>
      </c>
      <c r="E16" t="s">
        <v>1560</v>
      </c>
      <c r="F16">
        <v>48.01</v>
      </c>
      <c r="G16">
        <v>439</v>
      </c>
    </row>
    <row r="17" spans="1:7" x14ac:dyDescent="0.3">
      <c r="A17" t="s">
        <v>1561</v>
      </c>
      <c r="B17" t="s">
        <v>3842</v>
      </c>
      <c r="C17" t="s">
        <v>1546</v>
      </c>
      <c r="D17" t="s">
        <v>3843</v>
      </c>
      <c r="E17" t="s">
        <v>1562</v>
      </c>
      <c r="F17">
        <v>465.34</v>
      </c>
      <c r="G17">
        <v>301</v>
      </c>
    </row>
    <row r="18" spans="1:7" x14ac:dyDescent="0.3">
      <c r="A18" t="s">
        <v>1563</v>
      </c>
      <c r="B18" t="s">
        <v>3844</v>
      </c>
      <c r="C18" t="s">
        <v>1541</v>
      </c>
      <c r="D18" t="s">
        <v>3845</v>
      </c>
      <c r="E18" t="s">
        <v>1564</v>
      </c>
      <c r="F18">
        <v>337.42</v>
      </c>
      <c r="G18">
        <v>256</v>
      </c>
    </row>
    <row r="19" spans="1:7" x14ac:dyDescent="0.3">
      <c r="A19" t="s">
        <v>1565</v>
      </c>
      <c r="B19" t="s">
        <v>3846</v>
      </c>
      <c r="C19" t="s">
        <v>1549</v>
      </c>
      <c r="D19" t="s">
        <v>3825</v>
      </c>
      <c r="E19" t="s">
        <v>1566</v>
      </c>
      <c r="F19">
        <v>144.53</v>
      </c>
      <c r="G19">
        <v>367</v>
      </c>
    </row>
    <row r="20" spans="1:7" x14ac:dyDescent="0.3">
      <c r="A20" t="s">
        <v>1567</v>
      </c>
      <c r="B20" t="s">
        <v>3847</v>
      </c>
      <c r="C20" t="s">
        <v>1530</v>
      </c>
      <c r="D20" t="s">
        <v>3823</v>
      </c>
      <c r="E20" t="s">
        <v>1568</v>
      </c>
      <c r="F20">
        <v>303.75</v>
      </c>
      <c r="G20">
        <v>343</v>
      </c>
    </row>
    <row r="21" spans="1:7" x14ac:dyDescent="0.3">
      <c r="A21" t="s">
        <v>1569</v>
      </c>
      <c r="B21" t="s">
        <v>3848</v>
      </c>
      <c r="C21" t="s">
        <v>1549</v>
      </c>
      <c r="D21" t="s">
        <v>3849</v>
      </c>
      <c r="E21" t="s">
        <v>1570</v>
      </c>
      <c r="F21">
        <v>21.34</v>
      </c>
      <c r="G21">
        <v>65</v>
      </c>
    </row>
    <row r="22" spans="1:7" x14ac:dyDescent="0.3">
      <c r="A22" t="s">
        <v>1571</v>
      </c>
      <c r="B22" t="s">
        <v>3850</v>
      </c>
      <c r="C22" t="s">
        <v>1549</v>
      </c>
      <c r="D22" t="s">
        <v>3825</v>
      </c>
      <c r="E22" t="s">
        <v>1572</v>
      </c>
      <c r="F22">
        <v>131.51</v>
      </c>
      <c r="G22">
        <v>199</v>
      </c>
    </row>
    <row r="23" spans="1:7" x14ac:dyDescent="0.3">
      <c r="A23" t="s">
        <v>1573</v>
      </c>
      <c r="B23" t="s">
        <v>3851</v>
      </c>
      <c r="C23" t="s">
        <v>1527</v>
      </c>
      <c r="D23" t="s">
        <v>3852</v>
      </c>
      <c r="E23" t="s">
        <v>1574</v>
      </c>
      <c r="F23">
        <v>123.46</v>
      </c>
      <c r="G23">
        <v>76</v>
      </c>
    </row>
    <row r="24" spans="1:7" x14ac:dyDescent="0.3">
      <c r="A24" t="s">
        <v>1575</v>
      </c>
      <c r="B24" t="s">
        <v>3853</v>
      </c>
      <c r="C24" t="s">
        <v>1549</v>
      </c>
      <c r="D24" t="s">
        <v>3849</v>
      </c>
      <c r="E24" t="s">
        <v>1576</v>
      </c>
      <c r="F24">
        <v>484.62</v>
      </c>
      <c r="G24">
        <v>432</v>
      </c>
    </row>
    <row r="25" spans="1:7" x14ac:dyDescent="0.3">
      <c r="A25" t="s">
        <v>1577</v>
      </c>
      <c r="B25" t="s">
        <v>3854</v>
      </c>
      <c r="C25" t="s">
        <v>1530</v>
      </c>
      <c r="D25" t="s">
        <v>3818</v>
      </c>
      <c r="E25" t="s">
        <v>1578</v>
      </c>
      <c r="F25">
        <v>282.99</v>
      </c>
      <c r="G25">
        <v>360</v>
      </c>
    </row>
    <row r="26" spans="1:7" x14ac:dyDescent="0.3">
      <c r="A26" t="s">
        <v>1579</v>
      </c>
      <c r="B26" t="s">
        <v>3855</v>
      </c>
      <c r="C26" t="s">
        <v>1549</v>
      </c>
      <c r="D26" t="s">
        <v>3856</v>
      </c>
      <c r="E26" t="s">
        <v>1580</v>
      </c>
      <c r="F26">
        <v>166.06</v>
      </c>
      <c r="G26">
        <v>340</v>
      </c>
    </row>
    <row r="27" spans="1:7" x14ac:dyDescent="0.3">
      <c r="A27" t="s">
        <v>1581</v>
      </c>
      <c r="B27" t="s">
        <v>3857</v>
      </c>
      <c r="C27" t="s">
        <v>1530</v>
      </c>
      <c r="D27" t="s">
        <v>3825</v>
      </c>
      <c r="E27" t="s">
        <v>1582</v>
      </c>
      <c r="F27">
        <v>174.02</v>
      </c>
      <c r="G27">
        <v>268</v>
      </c>
    </row>
    <row r="28" spans="1:7" x14ac:dyDescent="0.3">
      <c r="A28" t="s">
        <v>1583</v>
      </c>
      <c r="B28" t="s">
        <v>3858</v>
      </c>
      <c r="C28" t="s">
        <v>1546</v>
      </c>
      <c r="D28" t="s">
        <v>3831</v>
      </c>
      <c r="E28" t="s">
        <v>1584</v>
      </c>
      <c r="F28">
        <v>322.41000000000003</v>
      </c>
      <c r="G28">
        <v>213</v>
      </c>
    </row>
    <row r="29" spans="1:7" x14ac:dyDescent="0.3">
      <c r="A29" t="s">
        <v>1585</v>
      </c>
      <c r="B29" t="s">
        <v>3859</v>
      </c>
      <c r="C29" t="s">
        <v>1527</v>
      </c>
      <c r="D29" t="s">
        <v>3841</v>
      </c>
      <c r="E29" t="s">
        <v>1586</v>
      </c>
      <c r="F29">
        <v>219.12</v>
      </c>
      <c r="G29">
        <v>378</v>
      </c>
    </row>
    <row r="30" spans="1:7" x14ac:dyDescent="0.3">
      <c r="A30" t="s">
        <v>1587</v>
      </c>
      <c r="B30" t="s">
        <v>3860</v>
      </c>
      <c r="C30" t="s">
        <v>1549</v>
      </c>
      <c r="D30" t="s">
        <v>3825</v>
      </c>
      <c r="E30" t="s">
        <v>1588</v>
      </c>
      <c r="F30">
        <v>38.76</v>
      </c>
      <c r="G30">
        <v>137</v>
      </c>
    </row>
    <row r="31" spans="1:7" x14ac:dyDescent="0.3">
      <c r="A31" t="s">
        <v>1589</v>
      </c>
      <c r="B31" t="s">
        <v>3861</v>
      </c>
      <c r="C31" t="s">
        <v>1527</v>
      </c>
      <c r="D31" t="s">
        <v>3841</v>
      </c>
      <c r="E31" t="s">
        <v>1590</v>
      </c>
      <c r="F31">
        <v>218.48</v>
      </c>
      <c r="G31">
        <v>276</v>
      </c>
    </row>
    <row r="32" spans="1:7" x14ac:dyDescent="0.3">
      <c r="A32" t="s">
        <v>1591</v>
      </c>
      <c r="B32" t="s">
        <v>3862</v>
      </c>
      <c r="C32" t="s">
        <v>1527</v>
      </c>
      <c r="D32" t="s">
        <v>3835</v>
      </c>
      <c r="E32" t="s">
        <v>1592</v>
      </c>
      <c r="F32">
        <v>19.52</v>
      </c>
      <c r="G32">
        <v>57</v>
      </c>
    </row>
    <row r="33" spans="1:7" x14ac:dyDescent="0.3">
      <c r="A33" t="s">
        <v>1593</v>
      </c>
      <c r="B33" t="s">
        <v>3863</v>
      </c>
      <c r="C33" t="s">
        <v>1549</v>
      </c>
      <c r="D33" t="s">
        <v>3864</v>
      </c>
      <c r="E33" t="s">
        <v>1594</v>
      </c>
      <c r="F33">
        <v>204.39</v>
      </c>
      <c r="G33">
        <v>281</v>
      </c>
    </row>
    <row r="34" spans="1:7" x14ac:dyDescent="0.3">
      <c r="A34" t="s">
        <v>1595</v>
      </c>
      <c r="B34" t="s">
        <v>3865</v>
      </c>
      <c r="C34" t="s">
        <v>1541</v>
      </c>
      <c r="D34" t="s">
        <v>3827</v>
      </c>
      <c r="E34" t="s">
        <v>1596</v>
      </c>
      <c r="F34">
        <v>283.83</v>
      </c>
      <c r="G34">
        <v>244</v>
      </c>
    </row>
    <row r="35" spans="1:7" x14ac:dyDescent="0.3">
      <c r="A35" t="s">
        <v>1597</v>
      </c>
      <c r="B35" t="s">
        <v>3866</v>
      </c>
      <c r="C35" t="s">
        <v>1527</v>
      </c>
      <c r="D35" t="s">
        <v>3841</v>
      </c>
      <c r="E35" t="s">
        <v>1598</v>
      </c>
      <c r="F35">
        <v>179.77</v>
      </c>
      <c r="G35">
        <v>305</v>
      </c>
    </row>
    <row r="36" spans="1:7" x14ac:dyDescent="0.3">
      <c r="A36" t="s">
        <v>1599</v>
      </c>
      <c r="B36" t="s">
        <v>3867</v>
      </c>
      <c r="C36" t="s">
        <v>1546</v>
      </c>
      <c r="D36" t="s">
        <v>3816</v>
      </c>
      <c r="E36" t="s">
        <v>1600</v>
      </c>
      <c r="F36">
        <v>419.28</v>
      </c>
      <c r="G36">
        <v>86</v>
      </c>
    </row>
    <row r="37" spans="1:7" x14ac:dyDescent="0.3">
      <c r="A37" t="s">
        <v>1601</v>
      </c>
      <c r="B37" t="s">
        <v>3868</v>
      </c>
      <c r="C37" t="s">
        <v>1527</v>
      </c>
      <c r="D37" t="s">
        <v>3829</v>
      </c>
      <c r="E37" t="s">
        <v>1602</v>
      </c>
      <c r="F37">
        <v>382.22</v>
      </c>
      <c r="G37">
        <v>329</v>
      </c>
    </row>
    <row r="38" spans="1:7" x14ac:dyDescent="0.3">
      <c r="A38" t="s">
        <v>1603</v>
      </c>
      <c r="B38" t="s">
        <v>3869</v>
      </c>
      <c r="C38" t="s">
        <v>1530</v>
      </c>
      <c r="D38" t="s">
        <v>3818</v>
      </c>
      <c r="E38" t="s">
        <v>1604</v>
      </c>
      <c r="F38">
        <v>223.43</v>
      </c>
      <c r="G38">
        <v>154</v>
      </c>
    </row>
    <row r="39" spans="1:7" x14ac:dyDescent="0.3">
      <c r="A39" t="s">
        <v>1605</v>
      </c>
      <c r="B39" t="s">
        <v>3870</v>
      </c>
      <c r="C39" t="s">
        <v>1530</v>
      </c>
      <c r="D39" t="s">
        <v>3871</v>
      </c>
      <c r="E39" t="s">
        <v>1606</v>
      </c>
      <c r="F39">
        <v>353.47</v>
      </c>
      <c r="G39">
        <v>214</v>
      </c>
    </row>
    <row r="40" spans="1:7" x14ac:dyDescent="0.3">
      <c r="A40" t="s">
        <v>1607</v>
      </c>
      <c r="B40" t="s">
        <v>3872</v>
      </c>
      <c r="C40" t="s">
        <v>1549</v>
      </c>
      <c r="D40" t="s">
        <v>3856</v>
      </c>
      <c r="E40" t="s">
        <v>1608</v>
      </c>
      <c r="F40">
        <v>135.61000000000001</v>
      </c>
      <c r="G40">
        <v>394</v>
      </c>
    </row>
    <row r="41" spans="1:7" x14ac:dyDescent="0.3">
      <c r="A41" t="s">
        <v>1609</v>
      </c>
      <c r="B41" t="s">
        <v>3873</v>
      </c>
      <c r="C41" t="s">
        <v>1546</v>
      </c>
      <c r="D41" t="s">
        <v>3874</v>
      </c>
      <c r="E41" t="s">
        <v>1610</v>
      </c>
      <c r="F41">
        <v>326.06</v>
      </c>
      <c r="G41">
        <v>301</v>
      </c>
    </row>
    <row r="42" spans="1:7" x14ac:dyDescent="0.3">
      <c r="A42" t="s">
        <v>1611</v>
      </c>
      <c r="B42" t="s">
        <v>3875</v>
      </c>
      <c r="C42" t="s">
        <v>1546</v>
      </c>
      <c r="D42" t="s">
        <v>3831</v>
      </c>
      <c r="E42" t="s">
        <v>1612</v>
      </c>
      <c r="F42">
        <v>38.520000000000003</v>
      </c>
      <c r="G42">
        <v>378</v>
      </c>
    </row>
    <row r="43" spans="1:7" x14ac:dyDescent="0.3">
      <c r="A43" t="s">
        <v>1613</v>
      </c>
      <c r="B43" t="s">
        <v>3876</v>
      </c>
      <c r="C43" t="s">
        <v>1549</v>
      </c>
      <c r="D43" t="s">
        <v>3833</v>
      </c>
      <c r="E43" t="s">
        <v>1614</v>
      </c>
      <c r="F43">
        <v>313.26</v>
      </c>
      <c r="G43">
        <v>369</v>
      </c>
    </row>
    <row r="44" spans="1:7" x14ac:dyDescent="0.3">
      <c r="A44" t="s">
        <v>1615</v>
      </c>
      <c r="B44" t="s">
        <v>3877</v>
      </c>
      <c r="C44" t="s">
        <v>1546</v>
      </c>
      <c r="D44" t="s">
        <v>3825</v>
      </c>
      <c r="E44" t="s">
        <v>1616</v>
      </c>
      <c r="F44">
        <v>450.71</v>
      </c>
      <c r="G44">
        <v>389</v>
      </c>
    </row>
    <row r="45" spans="1:7" x14ac:dyDescent="0.3">
      <c r="A45" t="s">
        <v>1617</v>
      </c>
      <c r="B45" t="s">
        <v>3878</v>
      </c>
      <c r="C45" t="s">
        <v>1546</v>
      </c>
      <c r="D45" t="s">
        <v>3816</v>
      </c>
      <c r="E45" t="s">
        <v>1618</v>
      </c>
      <c r="F45">
        <v>253.33</v>
      </c>
      <c r="G45">
        <v>266</v>
      </c>
    </row>
    <row r="46" spans="1:7" x14ac:dyDescent="0.3">
      <c r="A46" t="s">
        <v>1619</v>
      </c>
      <c r="B46" t="s">
        <v>3879</v>
      </c>
      <c r="C46" t="s">
        <v>1549</v>
      </c>
      <c r="D46" t="s">
        <v>3833</v>
      </c>
      <c r="E46" t="s">
        <v>1620</v>
      </c>
      <c r="F46">
        <v>167.12</v>
      </c>
      <c r="G46">
        <v>316</v>
      </c>
    </row>
    <row r="47" spans="1:7" x14ac:dyDescent="0.3">
      <c r="A47" t="s">
        <v>1621</v>
      </c>
      <c r="B47" t="s">
        <v>3880</v>
      </c>
      <c r="C47" t="s">
        <v>1549</v>
      </c>
      <c r="D47" t="s">
        <v>3864</v>
      </c>
      <c r="E47" t="s">
        <v>1622</v>
      </c>
      <c r="F47">
        <v>318.91000000000003</v>
      </c>
      <c r="G47">
        <v>114</v>
      </c>
    </row>
    <row r="48" spans="1:7" x14ac:dyDescent="0.3">
      <c r="A48" t="s">
        <v>1623</v>
      </c>
      <c r="B48" t="s">
        <v>3881</v>
      </c>
      <c r="C48" t="s">
        <v>1530</v>
      </c>
      <c r="D48" t="s">
        <v>3820</v>
      </c>
      <c r="E48" t="s">
        <v>1624</v>
      </c>
      <c r="F48">
        <v>167.34</v>
      </c>
      <c r="G48">
        <v>296</v>
      </c>
    </row>
    <row r="49" spans="1:7" x14ac:dyDescent="0.3">
      <c r="A49" t="s">
        <v>1625</v>
      </c>
      <c r="B49" t="s">
        <v>3882</v>
      </c>
      <c r="C49" t="s">
        <v>1541</v>
      </c>
      <c r="D49" t="s">
        <v>3883</v>
      </c>
      <c r="E49" t="s">
        <v>1626</v>
      </c>
      <c r="F49">
        <v>241.07</v>
      </c>
      <c r="G49">
        <v>431</v>
      </c>
    </row>
    <row r="50" spans="1:7" x14ac:dyDescent="0.3">
      <c r="A50" t="s">
        <v>1627</v>
      </c>
      <c r="B50" t="s">
        <v>3884</v>
      </c>
      <c r="C50" t="s">
        <v>1546</v>
      </c>
      <c r="D50" t="s">
        <v>3825</v>
      </c>
      <c r="E50" t="s">
        <v>1628</v>
      </c>
      <c r="F50">
        <v>177.98</v>
      </c>
      <c r="G50">
        <v>103</v>
      </c>
    </row>
    <row r="51" spans="1:7" x14ac:dyDescent="0.3">
      <c r="A51" t="s">
        <v>1629</v>
      </c>
      <c r="B51" t="s">
        <v>3885</v>
      </c>
      <c r="C51" t="s">
        <v>1541</v>
      </c>
      <c r="D51" t="s">
        <v>3886</v>
      </c>
      <c r="E51" t="s">
        <v>1630</v>
      </c>
      <c r="F51">
        <v>43.29</v>
      </c>
      <c r="G51">
        <v>267</v>
      </c>
    </row>
    <row r="52" spans="1:7" x14ac:dyDescent="0.3">
      <c r="A52" t="s">
        <v>1631</v>
      </c>
      <c r="B52" t="s">
        <v>3887</v>
      </c>
      <c r="C52" t="s">
        <v>1549</v>
      </c>
      <c r="D52" t="s">
        <v>3833</v>
      </c>
      <c r="E52" t="s">
        <v>1632</v>
      </c>
      <c r="F52">
        <v>190.29</v>
      </c>
      <c r="G52">
        <v>260</v>
      </c>
    </row>
    <row r="53" spans="1:7" x14ac:dyDescent="0.3">
      <c r="A53" t="s">
        <v>1633</v>
      </c>
      <c r="B53" t="s">
        <v>3888</v>
      </c>
      <c r="C53" t="s">
        <v>1546</v>
      </c>
      <c r="D53" t="s">
        <v>3825</v>
      </c>
      <c r="E53" t="s">
        <v>1634</v>
      </c>
      <c r="F53">
        <v>88.49</v>
      </c>
      <c r="G53">
        <v>246</v>
      </c>
    </row>
    <row r="54" spans="1:7" x14ac:dyDescent="0.3">
      <c r="A54" t="s">
        <v>1635</v>
      </c>
      <c r="B54" t="s">
        <v>3889</v>
      </c>
      <c r="C54" t="s">
        <v>1549</v>
      </c>
      <c r="D54" t="s">
        <v>3864</v>
      </c>
      <c r="E54" t="s">
        <v>1636</v>
      </c>
      <c r="F54">
        <v>212.26</v>
      </c>
      <c r="G54">
        <v>82</v>
      </c>
    </row>
    <row r="55" spans="1:7" x14ac:dyDescent="0.3">
      <c r="A55" t="s">
        <v>1637</v>
      </c>
      <c r="B55" t="s">
        <v>3890</v>
      </c>
      <c r="C55" t="s">
        <v>1530</v>
      </c>
      <c r="D55" t="s">
        <v>3823</v>
      </c>
      <c r="E55" t="s">
        <v>1638</v>
      </c>
      <c r="F55">
        <v>386.56</v>
      </c>
      <c r="G55">
        <v>125</v>
      </c>
    </row>
    <row r="56" spans="1:7" x14ac:dyDescent="0.3">
      <c r="A56" t="s">
        <v>1639</v>
      </c>
      <c r="B56" t="s">
        <v>3891</v>
      </c>
      <c r="C56" t="s">
        <v>1549</v>
      </c>
      <c r="D56" t="s">
        <v>3825</v>
      </c>
      <c r="E56" t="s">
        <v>1640</v>
      </c>
      <c r="F56">
        <v>434.84</v>
      </c>
      <c r="G56">
        <v>185</v>
      </c>
    </row>
    <row r="57" spans="1:7" x14ac:dyDescent="0.3">
      <c r="A57" t="s">
        <v>1641</v>
      </c>
      <c r="B57" t="s">
        <v>3892</v>
      </c>
      <c r="C57" t="s">
        <v>1527</v>
      </c>
      <c r="D57" t="s">
        <v>3841</v>
      </c>
      <c r="E57" t="s">
        <v>1642</v>
      </c>
      <c r="F57">
        <v>81.75</v>
      </c>
      <c r="G57">
        <v>331</v>
      </c>
    </row>
    <row r="58" spans="1:7" x14ac:dyDescent="0.3">
      <c r="A58" t="s">
        <v>1643</v>
      </c>
      <c r="B58" t="s">
        <v>3893</v>
      </c>
      <c r="C58" t="s">
        <v>1527</v>
      </c>
      <c r="D58" t="s">
        <v>3841</v>
      </c>
      <c r="E58" t="s">
        <v>1644</v>
      </c>
      <c r="F58">
        <v>461.47</v>
      </c>
      <c r="G58">
        <v>190</v>
      </c>
    </row>
    <row r="59" spans="1:7" x14ac:dyDescent="0.3">
      <c r="A59" t="s">
        <v>1645</v>
      </c>
      <c r="B59" t="s">
        <v>3894</v>
      </c>
      <c r="C59" t="s">
        <v>1549</v>
      </c>
      <c r="D59" t="s">
        <v>3833</v>
      </c>
      <c r="E59" t="s">
        <v>1646</v>
      </c>
      <c r="F59">
        <v>30.62</v>
      </c>
      <c r="G59">
        <v>138</v>
      </c>
    </row>
    <row r="60" spans="1:7" x14ac:dyDescent="0.3">
      <c r="A60" t="s">
        <v>1647</v>
      </c>
      <c r="B60" t="s">
        <v>3895</v>
      </c>
      <c r="C60" t="s">
        <v>1530</v>
      </c>
      <c r="D60" t="s">
        <v>3825</v>
      </c>
      <c r="E60" t="s">
        <v>1648</v>
      </c>
      <c r="F60">
        <v>113.83</v>
      </c>
      <c r="G60">
        <v>485</v>
      </c>
    </row>
    <row r="61" spans="1:7" x14ac:dyDescent="0.3">
      <c r="A61" t="s">
        <v>1649</v>
      </c>
      <c r="B61" t="s">
        <v>3896</v>
      </c>
      <c r="C61" t="s">
        <v>1541</v>
      </c>
      <c r="D61" t="s">
        <v>3838</v>
      </c>
      <c r="E61" t="s">
        <v>1650</v>
      </c>
      <c r="F61">
        <v>17.309999999999999</v>
      </c>
      <c r="G61">
        <v>399</v>
      </c>
    </row>
    <row r="62" spans="1:7" x14ac:dyDescent="0.3">
      <c r="A62" t="s">
        <v>1651</v>
      </c>
      <c r="B62" t="s">
        <v>3897</v>
      </c>
      <c r="C62" t="s">
        <v>1541</v>
      </c>
      <c r="D62" t="s">
        <v>3886</v>
      </c>
      <c r="E62" t="s">
        <v>1652</v>
      </c>
      <c r="F62">
        <v>482.75</v>
      </c>
      <c r="G62">
        <v>444</v>
      </c>
    </row>
    <row r="63" spans="1:7" x14ac:dyDescent="0.3">
      <c r="A63" t="s">
        <v>1653</v>
      </c>
      <c r="B63" t="s">
        <v>3898</v>
      </c>
      <c r="C63" t="s">
        <v>1549</v>
      </c>
      <c r="D63" t="s">
        <v>3849</v>
      </c>
      <c r="E63" t="s">
        <v>1654</v>
      </c>
      <c r="F63">
        <v>103.45</v>
      </c>
      <c r="G63">
        <v>465</v>
      </c>
    </row>
    <row r="64" spans="1:7" x14ac:dyDescent="0.3">
      <c r="A64" t="s">
        <v>1655</v>
      </c>
      <c r="B64" t="s">
        <v>3899</v>
      </c>
      <c r="C64" t="s">
        <v>1546</v>
      </c>
      <c r="D64" t="s">
        <v>3816</v>
      </c>
      <c r="E64" t="s">
        <v>1656</v>
      </c>
      <c r="F64">
        <v>86.42</v>
      </c>
      <c r="G64">
        <v>222</v>
      </c>
    </row>
    <row r="65" spans="1:7" x14ac:dyDescent="0.3">
      <c r="A65" t="s">
        <v>1657</v>
      </c>
      <c r="B65" t="s">
        <v>3900</v>
      </c>
      <c r="C65" t="s">
        <v>1541</v>
      </c>
      <c r="D65" t="s">
        <v>3827</v>
      </c>
      <c r="E65" t="s">
        <v>1658</v>
      </c>
      <c r="F65">
        <v>266.86</v>
      </c>
      <c r="G65">
        <v>458</v>
      </c>
    </row>
    <row r="66" spans="1:7" x14ac:dyDescent="0.3">
      <c r="A66" t="s">
        <v>1659</v>
      </c>
      <c r="B66" t="s">
        <v>3901</v>
      </c>
      <c r="C66" t="s">
        <v>1541</v>
      </c>
      <c r="D66" t="s">
        <v>3883</v>
      </c>
      <c r="E66" t="s">
        <v>1660</v>
      </c>
      <c r="F66">
        <v>299.11</v>
      </c>
      <c r="G66">
        <v>118</v>
      </c>
    </row>
    <row r="67" spans="1:7" x14ac:dyDescent="0.3">
      <c r="A67" t="s">
        <v>1661</v>
      </c>
      <c r="B67" t="s">
        <v>3902</v>
      </c>
      <c r="C67" t="s">
        <v>1549</v>
      </c>
      <c r="D67" t="s">
        <v>3833</v>
      </c>
      <c r="E67" t="s">
        <v>1662</v>
      </c>
      <c r="F67">
        <v>240.63</v>
      </c>
      <c r="G67">
        <v>423</v>
      </c>
    </row>
    <row r="68" spans="1:7" x14ac:dyDescent="0.3">
      <c r="A68" t="s">
        <v>1663</v>
      </c>
      <c r="B68" t="s">
        <v>3903</v>
      </c>
      <c r="C68" t="s">
        <v>1541</v>
      </c>
      <c r="D68" t="s">
        <v>3838</v>
      </c>
      <c r="E68" t="s">
        <v>1664</v>
      </c>
      <c r="F68">
        <v>340.39</v>
      </c>
      <c r="G68">
        <v>177</v>
      </c>
    </row>
    <row r="69" spans="1:7" x14ac:dyDescent="0.3">
      <c r="A69" t="s">
        <v>1665</v>
      </c>
      <c r="B69" t="s">
        <v>3904</v>
      </c>
      <c r="C69" t="s">
        <v>1546</v>
      </c>
      <c r="D69" t="s">
        <v>3825</v>
      </c>
      <c r="E69" t="s">
        <v>1666</v>
      </c>
      <c r="F69">
        <v>349.17</v>
      </c>
      <c r="G69">
        <v>476</v>
      </c>
    </row>
    <row r="70" spans="1:7" x14ac:dyDescent="0.3">
      <c r="A70" t="s">
        <v>1667</v>
      </c>
      <c r="B70" t="s">
        <v>3905</v>
      </c>
      <c r="C70" t="s">
        <v>1527</v>
      </c>
      <c r="D70" t="s">
        <v>3906</v>
      </c>
      <c r="E70" t="s">
        <v>1668</v>
      </c>
      <c r="F70">
        <v>243.7</v>
      </c>
      <c r="G70">
        <v>130</v>
      </c>
    </row>
    <row r="71" spans="1:7" x14ac:dyDescent="0.3">
      <c r="A71" t="s">
        <v>1669</v>
      </c>
      <c r="B71" t="s">
        <v>3907</v>
      </c>
      <c r="C71" t="s">
        <v>1530</v>
      </c>
      <c r="D71" t="s">
        <v>3823</v>
      </c>
      <c r="E71" t="s">
        <v>1670</v>
      </c>
      <c r="F71">
        <v>218.22</v>
      </c>
      <c r="G71">
        <v>224</v>
      </c>
    </row>
    <row r="72" spans="1:7" x14ac:dyDescent="0.3">
      <c r="A72" t="s">
        <v>1671</v>
      </c>
      <c r="B72" t="s">
        <v>3908</v>
      </c>
      <c r="C72" t="s">
        <v>1527</v>
      </c>
      <c r="D72" t="s">
        <v>3852</v>
      </c>
      <c r="E72" t="s">
        <v>1672</v>
      </c>
      <c r="F72">
        <v>138.05000000000001</v>
      </c>
      <c r="G72">
        <v>89</v>
      </c>
    </row>
    <row r="73" spans="1:7" x14ac:dyDescent="0.3">
      <c r="A73" t="s">
        <v>1673</v>
      </c>
      <c r="B73" t="s">
        <v>3909</v>
      </c>
      <c r="C73" t="s">
        <v>1541</v>
      </c>
      <c r="D73" t="s">
        <v>3838</v>
      </c>
      <c r="E73" t="s">
        <v>1674</v>
      </c>
      <c r="F73">
        <v>214.32</v>
      </c>
      <c r="G73">
        <v>383</v>
      </c>
    </row>
    <row r="74" spans="1:7" x14ac:dyDescent="0.3">
      <c r="A74" t="s">
        <v>1675</v>
      </c>
      <c r="B74" t="s">
        <v>3910</v>
      </c>
      <c r="C74" t="s">
        <v>1549</v>
      </c>
      <c r="D74" t="s">
        <v>3833</v>
      </c>
      <c r="E74" t="s">
        <v>1676</v>
      </c>
      <c r="F74">
        <v>477.61</v>
      </c>
      <c r="G74">
        <v>300</v>
      </c>
    </row>
    <row r="75" spans="1:7" x14ac:dyDescent="0.3">
      <c r="A75" t="s">
        <v>1677</v>
      </c>
      <c r="B75" t="s">
        <v>3911</v>
      </c>
      <c r="C75" t="s">
        <v>1549</v>
      </c>
      <c r="D75" t="s">
        <v>3864</v>
      </c>
      <c r="E75" t="s">
        <v>1678</v>
      </c>
      <c r="F75">
        <v>107.06</v>
      </c>
      <c r="G75">
        <v>359</v>
      </c>
    </row>
    <row r="76" spans="1:7" x14ac:dyDescent="0.3">
      <c r="A76" t="s">
        <v>1679</v>
      </c>
      <c r="B76" t="s">
        <v>3912</v>
      </c>
      <c r="C76" t="s">
        <v>1546</v>
      </c>
      <c r="D76" t="s">
        <v>3831</v>
      </c>
      <c r="E76" t="s">
        <v>1680</v>
      </c>
      <c r="F76">
        <v>403.71</v>
      </c>
      <c r="G76">
        <v>159</v>
      </c>
    </row>
    <row r="77" spans="1:7" x14ac:dyDescent="0.3">
      <c r="A77" t="s">
        <v>1681</v>
      </c>
      <c r="B77" t="s">
        <v>3913</v>
      </c>
      <c r="C77" t="s">
        <v>1530</v>
      </c>
      <c r="D77" t="s">
        <v>3871</v>
      </c>
      <c r="E77" t="s">
        <v>1682</v>
      </c>
      <c r="F77">
        <v>158.13999999999999</v>
      </c>
      <c r="G77">
        <v>82</v>
      </c>
    </row>
    <row r="78" spans="1:7" x14ac:dyDescent="0.3">
      <c r="A78" t="s">
        <v>1683</v>
      </c>
      <c r="B78" t="s">
        <v>3914</v>
      </c>
      <c r="C78" t="s">
        <v>1546</v>
      </c>
      <c r="D78" t="s">
        <v>3816</v>
      </c>
      <c r="E78" t="s">
        <v>1684</v>
      </c>
      <c r="F78">
        <v>392.89</v>
      </c>
      <c r="G78">
        <v>320</v>
      </c>
    </row>
    <row r="79" spans="1:7" x14ac:dyDescent="0.3">
      <c r="A79" t="s">
        <v>1685</v>
      </c>
      <c r="B79" t="s">
        <v>3915</v>
      </c>
      <c r="C79" t="s">
        <v>1546</v>
      </c>
      <c r="D79" t="s">
        <v>3843</v>
      </c>
      <c r="E79" t="s">
        <v>1686</v>
      </c>
      <c r="F79">
        <v>480.9</v>
      </c>
      <c r="G79">
        <v>104</v>
      </c>
    </row>
    <row r="80" spans="1:7" x14ac:dyDescent="0.3">
      <c r="A80" t="s">
        <v>1687</v>
      </c>
      <c r="B80" t="s">
        <v>3916</v>
      </c>
      <c r="C80" t="s">
        <v>1527</v>
      </c>
      <c r="D80" t="s">
        <v>3841</v>
      </c>
      <c r="E80" t="s">
        <v>1688</v>
      </c>
      <c r="F80">
        <v>325.26</v>
      </c>
      <c r="G80">
        <v>400</v>
      </c>
    </row>
    <row r="81" spans="1:7" x14ac:dyDescent="0.3">
      <c r="A81" t="s">
        <v>1689</v>
      </c>
      <c r="B81" t="s">
        <v>3917</v>
      </c>
      <c r="C81" t="s">
        <v>1527</v>
      </c>
      <c r="D81" t="s">
        <v>3829</v>
      </c>
      <c r="E81" t="s">
        <v>1690</v>
      </c>
      <c r="F81">
        <v>228.53</v>
      </c>
      <c r="G81">
        <v>469</v>
      </c>
    </row>
    <row r="82" spans="1:7" x14ac:dyDescent="0.3">
      <c r="A82" t="s">
        <v>1691</v>
      </c>
      <c r="B82" t="s">
        <v>3918</v>
      </c>
      <c r="C82" t="s">
        <v>1527</v>
      </c>
      <c r="D82" t="s">
        <v>3835</v>
      </c>
      <c r="E82" t="s">
        <v>1692</v>
      </c>
      <c r="F82">
        <v>143.43</v>
      </c>
      <c r="G82">
        <v>58</v>
      </c>
    </row>
    <row r="83" spans="1:7" x14ac:dyDescent="0.3">
      <c r="A83" t="s">
        <v>1693</v>
      </c>
      <c r="B83" t="s">
        <v>3919</v>
      </c>
      <c r="C83" t="s">
        <v>1549</v>
      </c>
      <c r="D83" t="s">
        <v>3849</v>
      </c>
      <c r="E83" t="s">
        <v>1694</v>
      </c>
      <c r="F83">
        <v>285.54000000000002</v>
      </c>
      <c r="G83">
        <v>358</v>
      </c>
    </row>
    <row r="84" spans="1:7" x14ac:dyDescent="0.3">
      <c r="A84" t="s">
        <v>1695</v>
      </c>
      <c r="B84" t="s">
        <v>3920</v>
      </c>
      <c r="C84" t="s">
        <v>1549</v>
      </c>
      <c r="D84" t="s">
        <v>3833</v>
      </c>
      <c r="E84" t="s">
        <v>1696</v>
      </c>
      <c r="F84">
        <v>152.91999999999999</v>
      </c>
      <c r="G84">
        <v>281</v>
      </c>
    </row>
    <row r="85" spans="1:7" x14ac:dyDescent="0.3">
      <c r="A85" t="s">
        <v>1697</v>
      </c>
      <c r="B85" t="s">
        <v>3921</v>
      </c>
      <c r="C85" t="s">
        <v>1541</v>
      </c>
      <c r="D85" t="s">
        <v>3827</v>
      </c>
      <c r="E85" t="s">
        <v>1698</v>
      </c>
      <c r="F85">
        <v>305.49</v>
      </c>
      <c r="G85">
        <v>159</v>
      </c>
    </row>
    <row r="86" spans="1:7" x14ac:dyDescent="0.3">
      <c r="A86" t="s">
        <v>1699</v>
      </c>
      <c r="B86" t="s">
        <v>3922</v>
      </c>
      <c r="C86" t="s">
        <v>1527</v>
      </c>
      <c r="D86" t="s">
        <v>3906</v>
      </c>
      <c r="E86" t="s">
        <v>1700</v>
      </c>
      <c r="F86">
        <v>388.46</v>
      </c>
      <c r="G86">
        <v>208</v>
      </c>
    </row>
    <row r="87" spans="1:7" x14ac:dyDescent="0.3">
      <c r="A87" t="s">
        <v>1701</v>
      </c>
      <c r="B87" t="s">
        <v>3923</v>
      </c>
      <c r="C87" t="s">
        <v>1530</v>
      </c>
      <c r="D87" t="s">
        <v>3825</v>
      </c>
      <c r="E87" t="s">
        <v>1702</v>
      </c>
      <c r="F87">
        <v>119.57</v>
      </c>
      <c r="G87">
        <v>210</v>
      </c>
    </row>
    <row r="88" spans="1:7" x14ac:dyDescent="0.3">
      <c r="A88" t="s">
        <v>1703</v>
      </c>
      <c r="B88" t="s">
        <v>3924</v>
      </c>
      <c r="C88" t="s">
        <v>1527</v>
      </c>
      <c r="D88" t="s">
        <v>3835</v>
      </c>
      <c r="E88" t="s">
        <v>1704</v>
      </c>
      <c r="F88">
        <v>176.07</v>
      </c>
      <c r="G88">
        <v>82</v>
      </c>
    </row>
    <row r="89" spans="1:7" x14ac:dyDescent="0.3">
      <c r="A89" t="s">
        <v>1705</v>
      </c>
      <c r="B89" t="s">
        <v>3925</v>
      </c>
      <c r="C89" t="s">
        <v>1527</v>
      </c>
      <c r="D89" t="s">
        <v>3829</v>
      </c>
      <c r="E89" t="s">
        <v>1706</v>
      </c>
      <c r="F89">
        <v>371.38</v>
      </c>
      <c r="G89">
        <v>220</v>
      </c>
    </row>
    <row r="90" spans="1:7" x14ac:dyDescent="0.3">
      <c r="A90" t="s">
        <v>1707</v>
      </c>
      <c r="B90" t="s">
        <v>3926</v>
      </c>
      <c r="C90" t="s">
        <v>1549</v>
      </c>
      <c r="D90" t="s">
        <v>3825</v>
      </c>
      <c r="E90" t="s">
        <v>1708</v>
      </c>
      <c r="F90">
        <v>131.24</v>
      </c>
      <c r="G90">
        <v>232</v>
      </c>
    </row>
    <row r="91" spans="1:7" x14ac:dyDescent="0.3">
      <c r="A91" t="s">
        <v>1709</v>
      </c>
      <c r="B91" t="s">
        <v>3927</v>
      </c>
      <c r="C91" t="s">
        <v>1541</v>
      </c>
      <c r="D91" t="s">
        <v>3883</v>
      </c>
      <c r="E91" t="s">
        <v>1710</v>
      </c>
      <c r="F91">
        <v>183.04</v>
      </c>
      <c r="G91">
        <v>457</v>
      </c>
    </row>
    <row r="92" spans="1:7" x14ac:dyDescent="0.3">
      <c r="A92" t="s">
        <v>1711</v>
      </c>
      <c r="B92" t="s">
        <v>3928</v>
      </c>
      <c r="C92" t="s">
        <v>1546</v>
      </c>
      <c r="D92" t="s">
        <v>3825</v>
      </c>
      <c r="E92" t="s">
        <v>1712</v>
      </c>
      <c r="F92">
        <v>340.14</v>
      </c>
      <c r="G92">
        <v>361</v>
      </c>
    </row>
    <row r="93" spans="1:7" x14ac:dyDescent="0.3">
      <c r="A93" t="s">
        <v>1713</v>
      </c>
      <c r="B93" t="s">
        <v>3929</v>
      </c>
      <c r="C93" t="s">
        <v>1530</v>
      </c>
      <c r="D93" t="s">
        <v>3871</v>
      </c>
      <c r="E93" t="s">
        <v>1714</v>
      </c>
      <c r="F93">
        <v>438.25</v>
      </c>
      <c r="G93">
        <v>496</v>
      </c>
    </row>
    <row r="94" spans="1:7" x14ac:dyDescent="0.3">
      <c r="A94" t="s">
        <v>1715</v>
      </c>
      <c r="B94" t="s">
        <v>3930</v>
      </c>
      <c r="C94" t="s">
        <v>1527</v>
      </c>
      <c r="D94" t="s">
        <v>3843</v>
      </c>
      <c r="E94" t="s">
        <v>1716</v>
      </c>
      <c r="F94">
        <v>447.43</v>
      </c>
      <c r="G94">
        <v>191</v>
      </c>
    </row>
    <row r="95" spans="1:7" x14ac:dyDescent="0.3">
      <c r="A95" t="s">
        <v>1717</v>
      </c>
      <c r="B95" t="s">
        <v>3931</v>
      </c>
      <c r="C95" t="s">
        <v>1546</v>
      </c>
      <c r="D95" t="s">
        <v>3816</v>
      </c>
      <c r="E95" t="s">
        <v>1718</v>
      </c>
      <c r="F95">
        <v>377.52</v>
      </c>
      <c r="G95">
        <v>485</v>
      </c>
    </row>
    <row r="96" spans="1:7" x14ac:dyDescent="0.3">
      <c r="A96" t="s">
        <v>1719</v>
      </c>
      <c r="B96" t="s">
        <v>3932</v>
      </c>
      <c r="C96" t="s">
        <v>1541</v>
      </c>
      <c r="D96" t="s">
        <v>3827</v>
      </c>
      <c r="E96" t="s">
        <v>1720</v>
      </c>
      <c r="F96">
        <v>358.47</v>
      </c>
      <c r="G96">
        <v>213</v>
      </c>
    </row>
    <row r="97" spans="1:7" x14ac:dyDescent="0.3">
      <c r="A97" t="s">
        <v>1721</v>
      </c>
      <c r="B97" t="s">
        <v>3933</v>
      </c>
      <c r="C97" t="s">
        <v>1549</v>
      </c>
      <c r="D97" t="s">
        <v>3825</v>
      </c>
      <c r="E97" t="s">
        <v>1722</v>
      </c>
      <c r="F97">
        <v>60.65</v>
      </c>
      <c r="G97">
        <v>75</v>
      </c>
    </row>
    <row r="98" spans="1:7" x14ac:dyDescent="0.3">
      <c r="A98" t="s">
        <v>1723</v>
      </c>
      <c r="B98" t="s">
        <v>3934</v>
      </c>
      <c r="C98" t="s">
        <v>1530</v>
      </c>
      <c r="D98" t="s">
        <v>3820</v>
      </c>
      <c r="E98" t="s">
        <v>1724</v>
      </c>
      <c r="F98">
        <v>358.47</v>
      </c>
      <c r="G98">
        <v>143</v>
      </c>
    </row>
    <row r="99" spans="1:7" x14ac:dyDescent="0.3">
      <c r="A99" t="s">
        <v>1725</v>
      </c>
      <c r="B99" t="s">
        <v>3935</v>
      </c>
      <c r="C99" t="s">
        <v>1549</v>
      </c>
      <c r="D99" t="s">
        <v>3864</v>
      </c>
      <c r="E99" t="s">
        <v>1726</v>
      </c>
      <c r="F99">
        <v>245.98</v>
      </c>
      <c r="G99">
        <v>471</v>
      </c>
    </row>
    <row r="100" spans="1:7" x14ac:dyDescent="0.3">
      <c r="A100" t="s">
        <v>1727</v>
      </c>
      <c r="B100" t="s">
        <v>3936</v>
      </c>
      <c r="C100" t="s">
        <v>1546</v>
      </c>
      <c r="D100" t="s">
        <v>3831</v>
      </c>
      <c r="E100" t="s">
        <v>1728</v>
      </c>
      <c r="F100">
        <v>431.67</v>
      </c>
      <c r="G100">
        <v>73</v>
      </c>
    </row>
    <row r="101" spans="1:7" x14ac:dyDescent="0.3">
      <c r="A101" t="s">
        <v>1729</v>
      </c>
      <c r="B101" t="s">
        <v>3937</v>
      </c>
      <c r="C101" t="s">
        <v>1527</v>
      </c>
      <c r="D101" t="s">
        <v>3835</v>
      </c>
      <c r="E101" t="s">
        <v>1730</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workbookViewId="0">
      <selection activeCell="A2" sqref="A2:A21"/>
    </sheetView>
  </sheetViews>
  <sheetFormatPr defaultRowHeight="14.4" x14ac:dyDescent="0.3"/>
  <cols>
    <col min="1" max="1" width="10.109375" customWidth="1"/>
    <col min="2" max="2" width="23.33203125" customWidth="1"/>
    <col min="3" max="3" width="17.5546875" customWidth="1"/>
    <col min="4" max="4" width="19.77734375" customWidth="1"/>
    <col min="5" max="5" width="12.44140625" customWidth="1"/>
    <col min="7" max="7" width="10.44140625" customWidth="1"/>
  </cols>
  <sheetData>
    <row r="1" spans="1:5" x14ac:dyDescent="0.3">
      <c r="A1" s="2" t="s">
        <v>1731</v>
      </c>
      <c r="B1" s="2" t="s">
        <v>1732</v>
      </c>
      <c r="C1" s="2" t="s">
        <v>1733</v>
      </c>
      <c r="D1" s="2" t="s">
        <v>4</v>
      </c>
      <c r="E1" s="2" t="s">
        <v>1734</v>
      </c>
    </row>
    <row r="2" spans="1:5" x14ac:dyDescent="0.3">
      <c r="A2" t="s">
        <v>1735</v>
      </c>
      <c r="B2" t="s">
        <v>1736</v>
      </c>
      <c r="C2" t="s">
        <v>1737</v>
      </c>
      <c r="D2" t="s">
        <v>1738</v>
      </c>
      <c r="E2" t="s">
        <v>1739</v>
      </c>
    </row>
    <row r="3" spans="1:5" x14ac:dyDescent="0.3">
      <c r="A3" t="s">
        <v>1740</v>
      </c>
      <c r="B3" t="s">
        <v>1741</v>
      </c>
      <c r="C3" t="s">
        <v>1742</v>
      </c>
      <c r="D3" t="s">
        <v>1743</v>
      </c>
      <c r="E3" t="s">
        <v>1739</v>
      </c>
    </row>
    <row r="4" spans="1:5" x14ac:dyDescent="0.3">
      <c r="A4" t="s">
        <v>1744</v>
      </c>
      <c r="B4" t="s">
        <v>1745</v>
      </c>
      <c r="C4" t="s">
        <v>1746</v>
      </c>
      <c r="D4" t="s">
        <v>1747</v>
      </c>
      <c r="E4" t="s">
        <v>1748</v>
      </c>
    </row>
    <row r="5" spans="1:5" x14ac:dyDescent="0.3">
      <c r="A5" t="s">
        <v>1749</v>
      </c>
      <c r="B5" t="s">
        <v>1750</v>
      </c>
      <c r="C5" t="s">
        <v>1742</v>
      </c>
      <c r="D5" t="s">
        <v>1751</v>
      </c>
      <c r="E5" t="s">
        <v>1748</v>
      </c>
    </row>
    <row r="6" spans="1:5" x14ac:dyDescent="0.3">
      <c r="A6" t="s">
        <v>1752</v>
      </c>
      <c r="B6" t="s">
        <v>1753</v>
      </c>
      <c r="C6" t="s">
        <v>1746</v>
      </c>
      <c r="D6" t="s">
        <v>1754</v>
      </c>
      <c r="E6" t="s">
        <v>1755</v>
      </c>
    </row>
    <row r="7" spans="1:5" x14ac:dyDescent="0.3">
      <c r="A7" t="s">
        <v>1756</v>
      </c>
      <c r="B7" t="s">
        <v>1757</v>
      </c>
      <c r="C7" t="s">
        <v>1742</v>
      </c>
      <c r="D7" t="s">
        <v>1758</v>
      </c>
      <c r="E7" t="s">
        <v>1748</v>
      </c>
    </row>
    <row r="8" spans="1:5" x14ac:dyDescent="0.3">
      <c r="A8" t="s">
        <v>1759</v>
      </c>
      <c r="B8" t="s">
        <v>1760</v>
      </c>
      <c r="C8" t="s">
        <v>1737</v>
      </c>
      <c r="D8" t="s">
        <v>1761</v>
      </c>
      <c r="E8" t="s">
        <v>1755</v>
      </c>
    </row>
    <row r="9" spans="1:5" x14ac:dyDescent="0.3">
      <c r="A9" t="s">
        <v>1762</v>
      </c>
      <c r="B9" t="s">
        <v>1763</v>
      </c>
      <c r="C9" t="s">
        <v>1746</v>
      </c>
      <c r="D9" t="s">
        <v>1764</v>
      </c>
      <c r="E9" t="s">
        <v>1755</v>
      </c>
    </row>
    <row r="10" spans="1:5" x14ac:dyDescent="0.3">
      <c r="A10" t="s">
        <v>1765</v>
      </c>
      <c r="B10" t="s">
        <v>1766</v>
      </c>
      <c r="C10" t="s">
        <v>1767</v>
      </c>
      <c r="D10" t="s">
        <v>1768</v>
      </c>
      <c r="E10" t="s">
        <v>1755</v>
      </c>
    </row>
    <row r="11" spans="1:5" x14ac:dyDescent="0.3">
      <c r="A11" t="s">
        <v>1769</v>
      </c>
      <c r="B11" t="s">
        <v>1770</v>
      </c>
      <c r="C11" t="s">
        <v>1746</v>
      </c>
      <c r="D11" t="s">
        <v>1771</v>
      </c>
      <c r="E11" t="s">
        <v>1739</v>
      </c>
    </row>
    <row r="12" spans="1:5" x14ac:dyDescent="0.3">
      <c r="A12" t="s">
        <v>1772</v>
      </c>
      <c r="B12" t="s">
        <v>1773</v>
      </c>
      <c r="C12" t="s">
        <v>1737</v>
      </c>
      <c r="D12" t="s">
        <v>1774</v>
      </c>
      <c r="E12" t="s">
        <v>1755</v>
      </c>
    </row>
    <row r="13" spans="1:5" x14ac:dyDescent="0.3">
      <c r="A13" t="s">
        <v>1775</v>
      </c>
      <c r="B13" t="s">
        <v>1776</v>
      </c>
      <c r="C13" t="s">
        <v>1746</v>
      </c>
      <c r="D13" t="s">
        <v>390</v>
      </c>
      <c r="E13" t="s">
        <v>1755</v>
      </c>
    </row>
    <row r="14" spans="1:5" x14ac:dyDescent="0.3">
      <c r="A14" t="s">
        <v>1777</v>
      </c>
      <c r="B14" t="s">
        <v>1778</v>
      </c>
      <c r="C14" t="s">
        <v>1742</v>
      </c>
      <c r="D14" t="s">
        <v>1779</v>
      </c>
      <c r="E14" t="s">
        <v>1755</v>
      </c>
    </row>
    <row r="15" spans="1:5" x14ac:dyDescent="0.3">
      <c r="A15" t="s">
        <v>1780</v>
      </c>
      <c r="B15" t="s">
        <v>1781</v>
      </c>
      <c r="C15" t="s">
        <v>1737</v>
      </c>
      <c r="D15" t="s">
        <v>129</v>
      </c>
      <c r="E15" t="s">
        <v>1739</v>
      </c>
    </row>
    <row r="16" spans="1:5" x14ac:dyDescent="0.3">
      <c r="A16" t="s">
        <v>1782</v>
      </c>
      <c r="B16" t="s">
        <v>1783</v>
      </c>
      <c r="C16" t="s">
        <v>1746</v>
      </c>
      <c r="D16" t="s">
        <v>204</v>
      </c>
      <c r="E16" t="s">
        <v>1748</v>
      </c>
    </row>
    <row r="17" spans="1:7" x14ac:dyDescent="0.3">
      <c r="A17" t="s">
        <v>1784</v>
      </c>
      <c r="B17" t="s">
        <v>1785</v>
      </c>
      <c r="C17" t="s">
        <v>1742</v>
      </c>
      <c r="D17" t="s">
        <v>1786</v>
      </c>
      <c r="E17" t="s">
        <v>1739</v>
      </c>
    </row>
    <row r="18" spans="1:7" x14ac:dyDescent="0.3">
      <c r="A18" t="s">
        <v>1787</v>
      </c>
      <c r="B18" t="s">
        <v>1788</v>
      </c>
      <c r="C18" t="s">
        <v>1767</v>
      </c>
      <c r="D18" t="s">
        <v>1789</v>
      </c>
      <c r="E18" t="s">
        <v>1739</v>
      </c>
    </row>
    <row r="19" spans="1:7" x14ac:dyDescent="0.3">
      <c r="A19" t="s">
        <v>1790</v>
      </c>
      <c r="B19" t="s">
        <v>1791</v>
      </c>
      <c r="C19" t="s">
        <v>1742</v>
      </c>
      <c r="D19" t="s">
        <v>1792</v>
      </c>
      <c r="E19" t="s">
        <v>1739</v>
      </c>
    </row>
    <row r="20" spans="1:7" x14ac:dyDescent="0.3">
      <c r="A20" t="s">
        <v>1793</v>
      </c>
      <c r="B20" t="s">
        <v>1794</v>
      </c>
      <c r="C20" t="s">
        <v>1737</v>
      </c>
      <c r="D20" t="s">
        <v>1795</v>
      </c>
      <c r="E20" t="s">
        <v>1739</v>
      </c>
    </row>
    <row r="21" spans="1:7" x14ac:dyDescent="0.3">
      <c r="A21" t="s">
        <v>1796</v>
      </c>
      <c r="B21" t="s">
        <v>1797</v>
      </c>
      <c r="C21" t="s">
        <v>1737</v>
      </c>
      <c r="D21" t="s">
        <v>1798</v>
      </c>
      <c r="E21" t="s">
        <v>1755</v>
      </c>
    </row>
    <row r="29" spans="1:7" x14ac:dyDescent="0.3">
      <c r="G29" t="s">
        <v>3938</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L17" sqref="L17"/>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s>
  <sheetData>
    <row r="1" spans="1:10" x14ac:dyDescent="0.3">
      <c r="A1" s="2" t="s">
        <v>1799</v>
      </c>
      <c r="B1" s="2" t="s">
        <v>1800</v>
      </c>
      <c r="C1" s="2" t="s">
        <v>0</v>
      </c>
      <c r="D1" s="2" t="s">
        <v>1519</v>
      </c>
      <c r="E1" s="2" t="s">
        <v>1731</v>
      </c>
      <c r="F1" s="2" t="s">
        <v>1801</v>
      </c>
      <c r="G1" s="2" t="s">
        <v>1802</v>
      </c>
      <c r="H1" s="2" t="s">
        <v>1803</v>
      </c>
      <c r="I1" s="2" t="s">
        <v>1804</v>
      </c>
      <c r="J1" s="2" t="s">
        <v>1805</v>
      </c>
    </row>
    <row r="2" spans="1:10" x14ac:dyDescent="0.3">
      <c r="A2" t="s">
        <v>1806</v>
      </c>
      <c r="B2" s="1">
        <v>45480</v>
      </c>
      <c r="C2" t="s">
        <v>1258</v>
      </c>
      <c r="D2" t="s">
        <v>1725</v>
      </c>
      <c r="E2" t="s">
        <v>1749</v>
      </c>
      <c r="F2">
        <v>1</v>
      </c>
      <c r="G2">
        <v>218.04</v>
      </c>
      <c r="H2">
        <v>0.09</v>
      </c>
      <c r="I2" t="s">
        <v>1807</v>
      </c>
      <c r="J2">
        <v>198.41640000000001</v>
      </c>
    </row>
    <row r="3" spans="1:10" x14ac:dyDescent="0.3">
      <c r="A3" t="s">
        <v>1808</v>
      </c>
      <c r="B3" s="1">
        <v>45285</v>
      </c>
      <c r="C3" t="s">
        <v>1424</v>
      </c>
      <c r="D3" t="s">
        <v>1679</v>
      </c>
      <c r="E3" t="s">
        <v>1790</v>
      </c>
      <c r="F3">
        <v>3</v>
      </c>
      <c r="G3">
        <v>104.47</v>
      </c>
      <c r="H3">
        <v>0.27</v>
      </c>
      <c r="I3" t="s">
        <v>1809</v>
      </c>
      <c r="J3">
        <v>228.7893</v>
      </c>
    </row>
    <row r="4" spans="1:10" x14ac:dyDescent="0.3">
      <c r="A4" t="s">
        <v>1810</v>
      </c>
      <c r="B4" s="1">
        <v>45446</v>
      </c>
      <c r="C4" t="s">
        <v>208</v>
      </c>
      <c r="D4" t="s">
        <v>1629</v>
      </c>
      <c r="E4" t="s">
        <v>1765</v>
      </c>
      <c r="F4">
        <v>4</v>
      </c>
      <c r="G4">
        <v>914.05</v>
      </c>
      <c r="H4">
        <v>0.25</v>
      </c>
      <c r="I4" t="s">
        <v>1807</v>
      </c>
      <c r="J4">
        <v>2742.15</v>
      </c>
    </row>
    <row r="5" spans="1:10" x14ac:dyDescent="0.3">
      <c r="A5" t="s">
        <v>1811</v>
      </c>
      <c r="B5" s="1">
        <v>45259</v>
      </c>
      <c r="C5" t="s">
        <v>1075</v>
      </c>
      <c r="D5" t="s">
        <v>1683</v>
      </c>
      <c r="E5" t="s">
        <v>1765</v>
      </c>
      <c r="F5">
        <v>1</v>
      </c>
      <c r="G5">
        <v>921.51</v>
      </c>
      <c r="H5">
        <v>0.16</v>
      </c>
      <c r="I5" t="s">
        <v>1812</v>
      </c>
      <c r="J5">
        <v>774.0684</v>
      </c>
    </row>
    <row r="6" spans="1:10" x14ac:dyDescent="0.3">
      <c r="A6" t="s">
        <v>1813</v>
      </c>
      <c r="B6" s="1">
        <v>45297</v>
      </c>
      <c r="C6" t="s">
        <v>1499</v>
      </c>
      <c r="D6" t="s">
        <v>1649</v>
      </c>
      <c r="E6" t="s">
        <v>1756</v>
      </c>
      <c r="F6">
        <v>3</v>
      </c>
      <c r="G6">
        <v>745.3</v>
      </c>
      <c r="H6">
        <v>0.18</v>
      </c>
      <c r="I6" t="s">
        <v>1807</v>
      </c>
      <c r="J6">
        <v>1833.4380000000001</v>
      </c>
    </row>
    <row r="7" spans="1:10" x14ac:dyDescent="0.3">
      <c r="A7" t="s">
        <v>1814</v>
      </c>
      <c r="B7" s="1">
        <v>45499</v>
      </c>
      <c r="C7" t="s">
        <v>400</v>
      </c>
      <c r="D7" t="s">
        <v>1561</v>
      </c>
      <c r="E7" t="s">
        <v>1762</v>
      </c>
      <c r="F7">
        <v>3</v>
      </c>
      <c r="G7">
        <v>147.01</v>
      </c>
      <c r="H7">
        <v>0.19</v>
      </c>
      <c r="I7" t="s">
        <v>1812</v>
      </c>
      <c r="J7">
        <v>357.23430000000002</v>
      </c>
    </row>
    <row r="8" spans="1:10" x14ac:dyDescent="0.3">
      <c r="A8" t="s">
        <v>1815</v>
      </c>
      <c r="B8" s="1">
        <v>45850</v>
      </c>
      <c r="C8" t="s">
        <v>75</v>
      </c>
      <c r="D8" t="s">
        <v>1643</v>
      </c>
      <c r="E8" t="s">
        <v>1752</v>
      </c>
      <c r="F8">
        <v>2</v>
      </c>
      <c r="G8">
        <v>785.31</v>
      </c>
      <c r="H8">
        <v>0.15</v>
      </c>
      <c r="I8" t="s">
        <v>1809</v>
      </c>
      <c r="J8">
        <v>1335.027</v>
      </c>
    </row>
    <row r="9" spans="1:10" x14ac:dyDescent="0.3">
      <c r="A9" t="s">
        <v>1816</v>
      </c>
      <c r="B9" s="1">
        <v>45248</v>
      </c>
      <c r="C9" t="s">
        <v>506</v>
      </c>
      <c r="D9" t="s">
        <v>1671</v>
      </c>
      <c r="E9" t="s">
        <v>1765</v>
      </c>
      <c r="F9">
        <v>4</v>
      </c>
      <c r="G9">
        <v>342.39</v>
      </c>
      <c r="H9">
        <v>0.23</v>
      </c>
      <c r="I9" t="s">
        <v>1809</v>
      </c>
      <c r="J9">
        <v>1054.5612000000001</v>
      </c>
    </row>
    <row r="10" spans="1:10" x14ac:dyDescent="0.3">
      <c r="A10" t="s">
        <v>1817</v>
      </c>
      <c r="B10" s="1">
        <v>45781</v>
      </c>
      <c r="C10" t="s">
        <v>610</v>
      </c>
      <c r="D10" t="s">
        <v>1729</v>
      </c>
      <c r="E10" t="s">
        <v>1756</v>
      </c>
      <c r="F10">
        <v>2</v>
      </c>
      <c r="G10">
        <v>448.25</v>
      </c>
      <c r="H10">
        <v>7.0000000000000007E-2</v>
      </c>
      <c r="I10" t="s">
        <v>1809</v>
      </c>
      <c r="J10">
        <v>1250.6175000000001</v>
      </c>
    </row>
    <row r="11" spans="1:10" x14ac:dyDescent="0.3">
      <c r="A11" t="s">
        <v>1818</v>
      </c>
      <c r="B11" s="1">
        <v>45869</v>
      </c>
      <c r="C11" t="s">
        <v>1415</v>
      </c>
      <c r="D11" t="s">
        <v>1597</v>
      </c>
      <c r="E11" t="s">
        <v>1735</v>
      </c>
      <c r="F11">
        <v>2</v>
      </c>
      <c r="G11">
        <v>873.17</v>
      </c>
      <c r="H11">
        <v>0.23</v>
      </c>
      <c r="I11" t="s">
        <v>1809</v>
      </c>
      <c r="J11">
        <v>1344.6818000000001</v>
      </c>
    </row>
    <row r="12" spans="1:10" x14ac:dyDescent="0.3">
      <c r="A12" t="s">
        <v>1819</v>
      </c>
      <c r="B12" s="1">
        <v>45335</v>
      </c>
      <c r="C12" t="s">
        <v>238</v>
      </c>
      <c r="D12" t="s">
        <v>1579</v>
      </c>
      <c r="E12" t="s">
        <v>1782</v>
      </c>
      <c r="F12">
        <v>1</v>
      </c>
      <c r="G12">
        <v>278.63</v>
      </c>
      <c r="H12">
        <v>7.0000000000000007E-2</v>
      </c>
      <c r="I12" t="s">
        <v>1807</v>
      </c>
      <c r="J12">
        <v>259.1259</v>
      </c>
    </row>
    <row r="13" spans="1:10" x14ac:dyDescent="0.3">
      <c r="A13" t="s">
        <v>1820</v>
      </c>
      <c r="B13" s="1">
        <v>45801</v>
      </c>
      <c r="C13" t="s">
        <v>998</v>
      </c>
      <c r="D13" t="s">
        <v>1609</v>
      </c>
      <c r="E13" t="s">
        <v>1740</v>
      </c>
      <c r="F13">
        <v>4</v>
      </c>
      <c r="G13">
        <v>286.92</v>
      </c>
      <c r="H13">
        <v>0.17</v>
      </c>
      <c r="I13" t="s">
        <v>1807</v>
      </c>
      <c r="J13">
        <v>952.57439999999997</v>
      </c>
    </row>
    <row r="14" spans="1:10" x14ac:dyDescent="0.3">
      <c r="A14" t="s">
        <v>1821</v>
      </c>
      <c r="B14" s="1">
        <v>45528</v>
      </c>
      <c r="C14" t="s">
        <v>755</v>
      </c>
      <c r="D14" t="s">
        <v>1707</v>
      </c>
      <c r="E14" t="s">
        <v>1752</v>
      </c>
      <c r="F14">
        <v>4</v>
      </c>
      <c r="G14">
        <v>644.58000000000004</v>
      </c>
      <c r="H14">
        <v>0.01</v>
      </c>
      <c r="I14" t="s">
        <v>1807</v>
      </c>
      <c r="J14">
        <v>2552.5367999999999</v>
      </c>
    </row>
    <row r="15" spans="1:10" x14ac:dyDescent="0.3">
      <c r="A15" t="s">
        <v>1822</v>
      </c>
      <c r="B15" s="1">
        <v>45875</v>
      </c>
      <c r="C15" t="s">
        <v>1355</v>
      </c>
      <c r="D15" t="s">
        <v>1599</v>
      </c>
      <c r="E15" t="s">
        <v>1787</v>
      </c>
      <c r="F15">
        <v>2</v>
      </c>
      <c r="G15">
        <v>316.89999999999998</v>
      </c>
      <c r="H15">
        <v>0.3</v>
      </c>
      <c r="I15" t="s">
        <v>1809</v>
      </c>
      <c r="J15">
        <v>443.66</v>
      </c>
    </row>
    <row r="16" spans="1:10" x14ac:dyDescent="0.3">
      <c r="A16" t="s">
        <v>1823</v>
      </c>
      <c r="B16" s="1">
        <v>45829</v>
      </c>
      <c r="C16" t="s">
        <v>1080</v>
      </c>
      <c r="D16" t="s">
        <v>1579</v>
      </c>
      <c r="E16" t="s">
        <v>1784</v>
      </c>
      <c r="F16">
        <v>4</v>
      </c>
      <c r="G16">
        <v>403.47</v>
      </c>
      <c r="H16">
        <v>0.28999999999999998</v>
      </c>
      <c r="I16" t="s">
        <v>1809</v>
      </c>
      <c r="J16">
        <v>1145.8548000000001</v>
      </c>
    </row>
    <row r="17" spans="1:10" x14ac:dyDescent="0.3">
      <c r="A17" t="s">
        <v>1824</v>
      </c>
      <c r="B17" s="1">
        <v>45636</v>
      </c>
      <c r="C17" t="s">
        <v>1333</v>
      </c>
      <c r="D17" t="s">
        <v>1603</v>
      </c>
      <c r="E17" t="s">
        <v>1769</v>
      </c>
      <c r="F17">
        <v>2</v>
      </c>
      <c r="G17">
        <v>871.34</v>
      </c>
      <c r="H17">
        <v>0.04</v>
      </c>
      <c r="I17" t="s">
        <v>1812</v>
      </c>
      <c r="J17">
        <v>2509.4591999999998</v>
      </c>
    </row>
    <row r="18" spans="1:10" x14ac:dyDescent="0.3">
      <c r="A18" t="s">
        <v>1825</v>
      </c>
      <c r="B18" s="1">
        <v>45913</v>
      </c>
      <c r="C18" t="s">
        <v>870</v>
      </c>
      <c r="D18" t="s">
        <v>1661</v>
      </c>
      <c r="E18" t="s">
        <v>1796</v>
      </c>
      <c r="F18">
        <v>2</v>
      </c>
      <c r="G18">
        <v>451.98</v>
      </c>
      <c r="H18">
        <v>0.25</v>
      </c>
      <c r="I18" t="s">
        <v>1807</v>
      </c>
      <c r="J18">
        <v>677.97</v>
      </c>
    </row>
    <row r="19" spans="1:10" x14ac:dyDescent="0.3">
      <c r="A19" t="s">
        <v>1826</v>
      </c>
      <c r="B19" s="1">
        <v>45637</v>
      </c>
      <c r="C19" t="s">
        <v>285</v>
      </c>
      <c r="D19" t="s">
        <v>1585</v>
      </c>
      <c r="E19" t="s">
        <v>1752</v>
      </c>
      <c r="F19">
        <v>2</v>
      </c>
      <c r="G19">
        <v>502.69</v>
      </c>
      <c r="H19">
        <v>0.23</v>
      </c>
      <c r="I19" t="s">
        <v>1807</v>
      </c>
      <c r="J19">
        <v>774.14260000000002</v>
      </c>
    </row>
    <row r="20" spans="1:10" x14ac:dyDescent="0.3">
      <c r="A20" t="s">
        <v>1827</v>
      </c>
      <c r="B20" s="1">
        <v>45517</v>
      </c>
      <c r="C20" t="s">
        <v>333</v>
      </c>
      <c r="D20" t="s">
        <v>1609</v>
      </c>
      <c r="E20" t="s">
        <v>1752</v>
      </c>
      <c r="F20">
        <v>2</v>
      </c>
      <c r="G20">
        <v>559.23</v>
      </c>
      <c r="H20">
        <v>0.25</v>
      </c>
      <c r="I20" t="s">
        <v>1812</v>
      </c>
      <c r="J20">
        <v>838.84500000000003</v>
      </c>
    </row>
    <row r="21" spans="1:10" x14ac:dyDescent="0.3">
      <c r="A21" t="s">
        <v>1828</v>
      </c>
      <c r="B21" s="1">
        <v>45369</v>
      </c>
      <c r="C21" t="s">
        <v>761</v>
      </c>
      <c r="D21" t="s">
        <v>1651</v>
      </c>
      <c r="E21" t="s">
        <v>1780</v>
      </c>
      <c r="F21">
        <v>4</v>
      </c>
      <c r="G21">
        <v>513.98</v>
      </c>
      <c r="H21">
        <v>0.04</v>
      </c>
      <c r="I21" t="s">
        <v>1812</v>
      </c>
      <c r="J21">
        <v>1782.4512</v>
      </c>
    </row>
    <row r="22" spans="1:10" x14ac:dyDescent="0.3">
      <c r="A22" t="s">
        <v>1829</v>
      </c>
      <c r="B22" s="1">
        <v>45843</v>
      </c>
      <c r="C22" t="s">
        <v>482</v>
      </c>
      <c r="D22" t="s">
        <v>1675</v>
      </c>
      <c r="E22" t="s">
        <v>1790</v>
      </c>
      <c r="F22">
        <v>3</v>
      </c>
      <c r="G22">
        <v>986.04</v>
      </c>
      <c r="H22">
        <v>0.27</v>
      </c>
      <c r="I22" t="s">
        <v>1812</v>
      </c>
      <c r="J22">
        <v>2159.4276</v>
      </c>
    </row>
    <row r="23" spans="1:10" x14ac:dyDescent="0.3">
      <c r="A23" t="s">
        <v>1830</v>
      </c>
      <c r="B23" s="1">
        <v>45447</v>
      </c>
      <c r="C23" t="s">
        <v>1222</v>
      </c>
      <c r="D23" t="s">
        <v>1617</v>
      </c>
      <c r="E23" t="s">
        <v>1793</v>
      </c>
      <c r="F23">
        <v>1</v>
      </c>
      <c r="G23">
        <v>589.55999999999995</v>
      </c>
      <c r="H23">
        <v>0.22</v>
      </c>
      <c r="I23" t="s">
        <v>1807</v>
      </c>
      <c r="J23">
        <v>459.85680000000002</v>
      </c>
    </row>
    <row r="24" spans="1:10" x14ac:dyDescent="0.3">
      <c r="A24" t="s">
        <v>1831</v>
      </c>
      <c r="B24" s="1">
        <v>45394</v>
      </c>
      <c r="C24" t="s">
        <v>1450</v>
      </c>
      <c r="D24" t="s">
        <v>1669</v>
      </c>
      <c r="E24" t="s">
        <v>1772</v>
      </c>
      <c r="F24">
        <v>3</v>
      </c>
      <c r="G24">
        <v>979.42</v>
      </c>
      <c r="H24">
        <v>0.03</v>
      </c>
      <c r="I24" t="s">
        <v>1809</v>
      </c>
      <c r="J24">
        <v>2850.1122</v>
      </c>
    </row>
    <row r="25" spans="1:10" x14ac:dyDescent="0.3">
      <c r="A25" t="s">
        <v>1832</v>
      </c>
      <c r="B25" s="1">
        <v>45466</v>
      </c>
      <c r="C25" t="s">
        <v>1138</v>
      </c>
      <c r="D25" t="s">
        <v>1555</v>
      </c>
      <c r="E25" t="s">
        <v>1765</v>
      </c>
      <c r="F25">
        <v>1</v>
      </c>
      <c r="G25">
        <v>719.28</v>
      </c>
      <c r="H25">
        <v>0.08</v>
      </c>
      <c r="I25" t="s">
        <v>1807</v>
      </c>
      <c r="J25">
        <v>661.73760000000004</v>
      </c>
    </row>
    <row r="26" spans="1:10" x14ac:dyDescent="0.3">
      <c r="A26" t="s">
        <v>1833</v>
      </c>
      <c r="B26" s="1">
        <v>45908</v>
      </c>
      <c r="C26" t="s">
        <v>607</v>
      </c>
      <c r="D26" t="s">
        <v>1665</v>
      </c>
      <c r="E26" t="s">
        <v>1759</v>
      </c>
      <c r="F26">
        <v>3</v>
      </c>
      <c r="G26">
        <v>77.599999999999994</v>
      </c>
      <c r="H26">
        <v>7.0000000000000007E-2</v>
      </c>
      <c r="I26" t="s">
        <v>1807</v>
      </c>
      <c r="J26">
        <v>216.50399999999999</v>
      </c>
    </row>
    <row r="27" spans="1:10" x14ac:dyDescent="0.3">
      <c r="A27" t="s">
        <v>1834</v>
      </c>
      <c r="B27" s="1">
        <v>45552</v>
      </c>
      <c r="C27" t="s">
        <v>1177</v>
      </c>
      <c r="D27" t="s">
        <v>1538</v>
      </c>
      <c r="E27" t="s">
        <v>1749</v>
      </c>
      <c r="F27">
        <v>4</v>
      </c>
      <c r="G27">
        <v>852.71</v>
      </c>
      <c r="H27">
        <v>0.14000000000000001</v>
      </c>
      <c r="I27" t="s">
        <v>1809</v>
      </c>
      <c r="J27">
        <v>2933.3224</v>
      </c>
    </row>
    <row r="28" spans="1:10" x14ac:dyDescent="0.3">
      <c r="A28" t="s">
        <v>1835</v>
      </c>
      <c r="B28" s="1">
        <v>45294</v>
      </c>
      <c r="C28" t="s">
        <v>687</v>
      </c>
      <c r="D28" t="s">
        <v>1727</v>
      </c>
      <c r="E28" t="s">
        <v>1765</v>
      </c>
      <c r="F28">
        <v>4</v>
      </c>
      <c r="G28">
        <v>156.16</v>
      </c>
      <c r="H28">
        <v>0.1</v>
      </c>
      <c r="I28" t="s">
        <v>1807</v>
      </c>
      <c r="J28">
        <v>599.65440000000001</v>
      </c>
    </row>
    <row r="29" spans="1:10" x14ac:dyDescent="0.3">
      <c r="A29" t="s">
        <v>1836</v>
      </c>
      <c r="B29" s="1">
        <v>45710</v>
      </c>
      <c r="C29" t="s">
        <v>648</v>
      </c>
      <c r="D29" t="s">
        <v>1685</v>
      </c>
      <c r="E29" t="s">
        <v>1765</v>
      </c>
      <c r="F29">
        <v>3</v>
      </c>
      <c r="G29">
        <v>815.49</v>
      </c>
      <c r="H29">
        <v>0.17</v>
      </c>
      <c r="I29" t="s">
        <v>1807</v>
      </c>
      <c r="J29">
        <v>2030.5700999999999</v>
      </c>
    </row>
    <row r="30" spans="1:10" x14ac:dyDescent="0.3">
      <c r="A30" t="s">
        <v>1837</v>
      </c>
      <c r="B30" s="1">
        <v>45923</v>
      </c>
      <c r="C30" t="s">
        <v>494</v>
      </c>
      <c r="D30" t="s">
        <v>1557</v>
      </c>
      <c r="E30" t="s">
        <v>1744</v>
      </c>
      <c r="F30">
        <v>2</v>
      </c>
      <c r="G30">
        <v>74.209999999999994</v>
      </c>
      <c r="H30">
        <v>0.11</v>
      </c>
      <c r="I30" t="s">
        <v>1809</v>
      </c>
      <c r="J30">
        <v>132.09379999999999</v>
      </c>
    </row>
    <row r="31" spans="1:10" x14ac:dyDescent="0.3">
      <c r="A31" t="s">
        <v>1838</v>
      </c>
      <c r="B31" s="1">
        <v>45302</v>
      </c>
      <c r="C31" t="s">
        <v>1080</v>
      </c>
      <c r="D31" t="s">
        <v>1729</v>
      </c>
      <c r="E31" t="s">
        <v>1749</v>
      </c>
      <c r="F31">
        <v>2</v>
      </c>
      <c r="G31">
        <v>451.67</v>
      </c>
      <c r="H31">
        <v>0.15</v>
      </c>
      <c r="I31" t="s">
        <v>1807</v>
      </c>
      <c r="J31">
        <v>1535.6780000000001</v>
      </c>
    </row>
    <row r="32" spans="1:10" x14ac:dyDescent="0.3">
      <c r="A32" t="s">
        <v>1839</v>
      </c>
      <c r="B32" s="1">
        <v>45217</v>
      </c>
      <c r="C32" t="s">
        <v>118</v>
      </c>
      <c r="D32" t="s">
        <v>1538</v>
      </c>
      <c r="E32" t="s">
        <v>1796</v>
      </c>
      <c r="F32">
        <v>1</v>
      </c>
      <c r="G32">
        <v>429.38</v>
      </c>
      <c r="H32">
        <v>0.13</v>
      </c>
      <c r="I32" t="s">
        <v>1809</v>
      </c>
      <c r="J32">
        <v>373.56060000000002</v>
      </c>
    </row>
    <row r="33" spans="1:10" x14ac:dyDescent="0.3">
      <c r="A33" t="s">
        <v>1840</v>
      </c>
      <c r="B33" s="1">
        <v>45593</v>
      </c>
      <c r="C33" t="s">
        <v>1267</v>
      </c>
      <c r="D33" t="s">
        <v>1637</v>
      </c>
      <c r="E33" t="s">
        <v>1777</v>
      </c>
      <c r="F33">
        <v>2</v>
      </c>
      <c r="G33">
        <v>148.96</v>
      </c>
      <c r="H33">
        <v>0.03</v>
      </c>
      <c r="I33" t="s">
        <v>1812</v>
      </c>
      <c r="J33">
        <v>288.98239999999998</v>
      </c>
    </row>
    <row r="34" spans="1:10" x14ac:dyDescent="0.3">
      <c r="A34" t="s">
        <v>1841</v>
      </c>
      <c r="B34" s="1">
        <v>45597</v>
      </c>
      <c r="C34" t="s">
        <v>1226</v>
      </c>
      <c r="D34" t="s">
        <v>1681</v>
      </c>
      <c r="E34" t="s">
        <v>1765</v>
      </c>
      <c r="F34">
        <v>4</v>
      </c>
      <c r="G34">
        <v>313.83</v>
      </c>
      <c r="H34">
        <v>0.08</v>
      </c>
      <c r="I34" t="s">
        <v>1807</v>
      </c>
      <c r="J34">
        <v>1154.8943999999999</v>
      </c>
    </row>
    <row r="35" spans="1:10" x14ac:dyDescent="0.3">
      <c r="A35" t="s">
        <v>1842</v>
      </c>
      <c r="B35" s="1">
        <v>45620</v>
      </c>
      <c r="C35" t="s">
        <v>1384</v>
      </c>
      <c r="D35" t="s">
        <v>1555</v>
      </c>
      <c r="E35" t="s">
        <v>1759</v>
      </c>
      <c r="F35">
        <v>2</v>
      </c>
      <c r="G35">
        <v>717.31</v>
      </c>
      <c r="H35">
        <v>0.15</v>
      </c>
      <c r="I35" t="s">
        <v>1807</v>
      </c>
      <c r="J35">
        <v>1219.4269999999999</v>
      </c>
    </row>
    <row r="36" spans="1:10" x14ac:dyDescent="0.3">
      <c r="A36" t="s">
        <v>1843</v>
      </c>
      <c r="B36" s="1">
        <v>45215</v>
      </c>
      <c r="C36" t="s">
        <v>1069</v>
      </c>
      <c r="D36" t="s">
        <v>1689</v>
      </c>
      <c r="E36" t="s">
        <v>1740</v>
      </c>
      <c r="F36">
        <v>2</v>
      </c>
      <c r="G36">
        <v>873.22</v>
      </c>
      <c r="H36">
        <v>0.18</v>
      </c>
      <c r="I36" t="s">
        <v>1807</v>
      </c>
      <c r="J36">
        <v>2148.1212</v>
      </c>
    </row>
    <row r="37" spans="1:10" x14ac:dyDescent="0.3">
      <c r="A37" t="s">
        <v>1844</v>
      </c>
      <c r="B37" s="1">
        <v>45878</v>
      </c>
      <c r="C37" t="s">
        <v>702</v>
      </c>
      <c r="D37" t="s">
        <v>1563</v>
      </c>
      <c r="E37" t="s">
        <v>1749</v>
      </c>
      <c r="F37">
        <v>4</v>
      </c>
      <c r="G37">
        <v>109.36</v>
      </c>
      <c r="H37">
        <v>0.19</v>
      </c>
      <c r="I37" t="s">
        <v>1812</v>
      </c>
      <c r="J37">
        <v>354.32639999999998</v>
      </c>
    </row>
    <row r="38" spans="1:10" x14ac:dyDescent="0.3">
      <c r="A38" t="s">
        <v>1845</v>
      </c>
      <c r="B38" s="1">
        <v>45635</v>
      </c>
      <c r="C38" t="s">
        <v>307</v>
      </c>
      <c r="D38" t="s">
        <v>1538</v>
      </c>
      <c r="E38" t="s">
        <v>1762</v>
      </c>
      <c r="F38">
        <v>3</v>
      </c>
      <c r="G38">
        <v>559.52</v>
      </c>
      <c r="H38">
        <v>0.16</v>
      </c>
      <c r="I38" t="s">
        <v>1809</v>
      </c>
      <c r="J38">
        <v>1409.9903999999999</v>
      </c>
    </row>
    <row r="39" spans="1:10" x14ac:dyDescent="0.3">
      <c r="A39" t="s">
        <v>1846</v>
      </c>
      <c r="B39" s="1">
        <v>45329</v>
      </c>
      <c r="C39" t="s">
        <v>1496</v>
      </c>
      <c r="D39" t="s">
        <v>1551</v>
      </c>
      <c r="E39" t="s">
        <v>1790</v>
      </c>
      <c r="F39">
        <v>3</v>
      </c>
      <c r="G39">
        <v>121.76</v>
      </c>
      <c r="H39">
        <v>0.27</v>
      </c>
      <c r="I39" t="s">
        <v>1809</v>
      </c>
      <c r="J39">
        <v>266.65440000000001</v>
      </c>
    </row>
    <row r="40" spans="1:10" x14ac:dyDescent="0.3">
      <c r="A40" t="s">
        <v>1847</v>
      </c>
      <c r="B40" s="1">
        <v>45378</v>
      </c>
      <c r="C40" t="s">
        <v>616</v>
      </c>
      <c r="D40" t="s">
        <v>1597</v>
      </c>
      <c r="E40" t="s">
        <v>1780</v>
      </c>
      <c r="F40">
        <v>4</v>
      </c>
      <c r="G40">
        <v>735.32</v>
      </c>
      <c r="H40">
        <v>0.06</v>
      </c>
      <c r="I40" t="s">
        <v>1812</v>
      </c>
      <c r="J40">
        <v>2764.8031999999998</v>
      </c>
    </row>
    <row r="41" spans="1:10" x14ac:dyDescent="0.3">
      <c r="A41" t="s">
        <v>1848</v>
      </c>
      <c r="B41" s="1">
        <v>45264</v>
      </c>
      <c r="C41" t="s">
        <v>1321</v>
      </c>
      <c r="D41" t="s">
        <v>1719</v>
      </c>
      <c r="E41" t="s">
        <v>1749</v>
      </c>
      <c r="F41">
        <v>2</v>
      </c>
      <c r="G41">
        <v>600.73</v>
      </c>
      <c r="H41">
        <v>0.08</v>
      </c>
      <c r="I41" t="s">
        <v>1807</v>
      </c>
      <c r="J41">
        <v>1105.3432</v>
      </c>
    </row>
    <row r="42" spans="1:10" x14ac:dyDescent="0.3">
      <c r="A42" t="s">
        <v>1849</v>
      </c>
      <c r="B42" s="1">
        <v>45486</v>
      </c>
      <c r="C42" t="s">
        <v>261</v>
      </c>
      <c r="D42" t="s">
        <v>1583</v>
      </c>
      <c r="E42" t="s">
        <v>1796</v>
      </c>
      <c r="F42">
        <v>2</v>
      </c>
      <c r="G42">
        <v>873.86</v>
      </c>
      <c r="H42">
        <v>7.0000000000000007E-2</v>
      </c>
      <c r="I42" t="s">
        <v>1812</v>
      </c>
      <c r="J42">
        <v>1625.3796</v>
      </c>
    </row>
    <row r="43" spans="1:10" x14ac:dyDescent="0.3">
      <c r="A43" t="s">
        <v>1850</v>
      </c>
      <c r="B43" s="1">
        <v>45241</v>
      </c>
      <c r="C43" t="s">
        <v>945</v>
      </c>
      <c r="D43" t="s">
        <v>1577</v>
      </c>
      <c r="E43" t="s">
        <v>1765</v>
      </c>
      <c r="F43">
        <v>3</v>
      </c>
      <c r="G43">
        <v>342.47</v>
      </c>
      <c r="H43">
        <v>0.08</v>
      </c>
      <c r="I43" t="s">
        <v>1809</v>
      </c>
      <c r="J43">
        <v>945.21720000000016</v>
      </c>
    </row>
    <row r="44" spans="1:10" x14ac:dyDescent="0.3">
      <c r="A44" t="s">
        <v>1851</v>
      </c>
      <c r="B44" s="1">
        <v>45649</v>
      </c>
      <c r="C44" t="s">
        <v>1042</v>
      </c>
      <c r="D44" t="s">
        <v>1589</v>
      </c>
      <c r="E44" t="s">
        <v>1769</v>
      </c>
      <c r="F44">
        <v>2</v>
      </c>
      <c r="G44">
        <v>915.15</v>
      </c>
      <c r="H44">
        <v>0.16</v>
      </c>
      <c r="I44" t="s">
        <v>1809</v>
      </c>
      <c r="J44">
        <v>1537.452</v>
      </c>
    </row>
    <row r="45" spans="1:10" x14ac:dyDescent="0.3">
      <c r="A45" t="s">
        <v>1852</v>
      </c>
      <c r="B45" s="1">
        <v>45677</v>
      </c>
      <c r="C45" t="s">
        <v>301</v>
      </c>
      <c r="D45" t="s">
        <v>1597</v>
      </c>
      <c r="E45" t="s">
        <v>1790</v>
      </c>
      <c r="F45">
        <v>2</v>
      </c>
      <c r="G45">
        <v>863.11</v>
      </c>
      <c r="H45">
        <v>0.28000000000000003</v>
      </c>
      <c r="I45" t="s">
        <v>1809</v>
      </c>
      <c r="J45">
        <v>1864.3176000000001</v>
      </c>
    </row>
    <row r="46" spans="1:10" x14ac:dyDescent="0.3">
      <c r="A46" t="s">
        <v>1853</v>
      </c>
      <c r="B46" s="1">
        <v>45538</v>
      </c>
      <c r="C46" t="s">
        <v>657</v>
      </c>
      <c r="D46" t="s">
        <v>1617</v>
      </c>
      <c r="E46" t="s">
        <v>1777</v>
      </c>
      <c r="F46">
        <v>2</v>
      </c>
      <c r="G46">
        <v>209.32</v>
      </c>
      <c r="H46">
        <v>0.23</v>
      </c>
      <c r="I46" t="s">
        <v>1812</v>
      </c>
      <c r="J46">
        <v>322.3528</v>
      </c>
    </row>
    <row r="47" spans="1:10" x14ac:dyDescent="0.3">
      <c r="A47" t="s">
        <v>1854</v>
      </c>
      <c r="B47" s="1">
        <v>45606</v>
      </c>
      <c r="C47" t="s">
        <v>1433</v>
      </c>
      <c r="D47" t="s">
        <v>1649</v>
      </c>
      <c r="E47" t="s">
        <v>1765</v>
      </c>
      <c r="F47">
        <v>4</v>
      </c>
      <c r="G47">
        <v>288.60000000000002</v>
      </c>
      <c r="H47">
        <v>0.09</v>
      </c>
      <c r="I47" t="s">
        <v>1809</v>
      </c>
      <c r="J47">
        <v>1050.5039999999999</v>
      </c>
    </row>
    <row r="48" spans="1:10" x14ac:dyDescent="0.3">
      <c r="A48" t="s">
        <v>1855</v>
      </c>
      <c r="B48" s="1">
        <v>45570</v>
      </c>
      <c r="C48" t="s">
        <v>255</v>
      </c>
      <c r="D48" t="s">
        <v>1687</v>
      </c>
      <c r="E48" t="s">
        <v>1787</v>
      </c>
      <c r="F48">
        <v>1</v>
      </c>
      <c r="G48">
        <v>418.69</v>
      </c>
      <c r="H48">
        <v>0.06</v>
      </c>
      <c r="I48" t="s">
        <v>1809</v>
      </c>
      <c r="J48">
        <v>393.5686</v>
      </c>
    </row>
    <row r="49" spans="1:10" x14ac:dyDescent="0.3">
      <c r="A49" t="s">
        <v>1856</v>
      </c>
      <c r="B49" s="1">
        <v>45466</v>
      </c>
      <c r="C49" t="s">
        <v>44</v>
      </c>
      <c r="D49" t="s">
        <v>1591</v>
      </c>
      <c r="E49" t="s">
        <v>1775</v>
      </c>
      <c r="F49">
        <v>1</v>
      </c>
      <c r="G49">
        <v>135.78</v>
      </c>
      <c r="H49">
        <v>0.14000000000000001</v>
      </c>
      <c r="I49" t="s">
        <v>1809</v>
      </c>
      <c r="J49">
        <v>116.77079999999999</v>
      </c>
    </row>
    <row r="50" spans="1:10" x14ac:dyDescent="0.3">
      <c r="A50" t="s">
        <v>1857</v>
      </c>
      <c r="B50" s="1">
        <v>45218</v>
      </c>
      <c r="C50" t="s">
        <v>657</v>
      </c>
      <c r="D50" t="s">
        <v>1619</v>
      </c>
      <c r="E50" t="s">
        <v>1790</v>
      </c>
      <c r="F50">
        <v>1</v>
      </c>
      <c r="G50">
        <v>517.13</v>
      </c>
      <c r="H50">
        <v>0.28000000000000003</v>
      </c>
      <c r="I50" t="s">
        <v>1807</v>
      </c>
      <c r="J50">
        <v>372.33359999999999</v>
      </c>
    </row>
    <row r="51" spans="1:10" x14ac:dyDescent="0.3">
      <c r="A51" t="s">
        <v>1858</v>
      </c>
      <c r="B51" s="1">
        <v>45607</v>
      </c>
      <c r="C51" t="s">
        <v>1290</v>
      </c>
      <c r="D51" t="s">
        <v>1573</v>
      </c>
      <c r="E51" t="s">
        <v>1787</v>
      </c>
      <c r="F51">
        <v>2</v>
      </c>
      <c r="G51">
        <v>384.66</v>
      </c>
      <c r="H51">
        <v>0.08</v>
      </c>
      <c r="I51" t="s">
        <v>1812</v>
      </c>
      <c r="J51">
        <v>707.77440000000013</v>
      </c>
    </row>
    <row r="52" spans="1:10" x14ac:dyDescent="0.3">
      <c r="A52" t="s">
        <v>1859</v>
      </c>
      <c r="B52" s="1">
        <v>45291</v>
      </c>
      <c r="C52" t="s">
        <v>255</v>
      </c>
      <c r="D52" t="s">
        <v>1635</v>
      </c>
      <c r="E52" t="s">
        <v>1769</v>
      </c>
      <c r="F52">
        <v>3</v>
      </c>
      <c r="G52">
        <v>83.7</v>
      </c>
      <c r="H52">
        <v>0.24</v>
      </c>
      <c r="I52" t="s">
        <v>1809</v>
      </c>
      <c r="J52">
        <v>190.83600000000001</v>
      </c>
    </row>
    <row r="53" spans="1:10" x14ac:dyDescent="0.3">
      <c r="A53" t="s">
        <v>1860</v>
      </c>
      <c r="B53" s="1">
        <v>45689</v>
      </c>
      <c r="C53" t="s">
        <v>476</v>
      </c>
      <c r="D53" t="s">
        <v>1669</v>
      </c>
      <c r="E53" t="s">
        <v>1762</v>
      </c>
      <c r="F53">
        <v>3</v>
      </c>
      <c r="G53">
        <v>76.569999999999993</v>
      </c>
      <c r="H53">
        <v>0.26</v>
      </c>
      <c r="I53" t="s">
        <v>1807</v>
      </c>
      <c r="J53">
        <v>169.9854</v>
      </c>
    </row>
    <row r="54" spans="1:10" x14ac:dyDescent="0.3">
      <c r="A54" t="s">
        <v>1861</v>
      </c>
      <c r="B54" s="1">
        <v>45894</v>
      </c>
      <c r="C54" t="s">
        <v>494</v>
      </c>
      <c r="D54" t="s">
        <v>1709</v>
      </c>
      <c r="E54" t="s">
        <v>1759</v>
      </c>
      <c r="F54">
        <v>3</v>
      </c>
      <c r="G54">
        <v>513.98</v>
      </c>
      <c r="H54">
        <v>0.1</v>
      </c>
      <c r="I54" t="s">
        <v>1807</v>
      </c>
      <c r="J54">
        <v>486.06330000000003</v>
      </c>
    </row>
    <row r="55" spans="1:10" x14ac:dyDescent="0.3">
      <c r="A55" t="s">
        <v>1862</v>
      </c>
      <c r="B55" s="1">
        <v>45677</v>
      </c>
      <c r="C55" t="s">
        <v>1010</v>
      </c>
      <c r="D55" t="s">
        <v>1571</v>
      </c>
      <c r="E55" t="s">
        <v>1765</v>
      </c>
      <c r="F55">
        <v>1</v>
      </c>
      <c r="G55">
        <v>900.35</v>
      </c>
      <c r="H55">
        <v>0.13</v>
      </c>
      <c r="I55" t="s">
        <v>1812</v>
      </c>
      <c r="J55">
        <v>783.30449999999996</v>
      </c>
    </row>
    <row r="56" spans="1:10" x14ac:dyDescent="0.3">
      <c r="A56" t="s">
        <v>1863</v>
      </c>
      <c r="B56" s="1">
        <v>45706</v>
      </c>
      <c r="C56" t="s">
        <v>336</v>
      </c>
      <c r="D56" t="s">
        <v>1611</v>
      </c>
      <c r="E56" t="s">
        <v>1772</v>
      </c>
      <c r="F56">
        <v>4</v>
      </c>
      <c r="G56">
        <v>428.09</v>
      </c>
      <c r="H56">
        <v>7.0000000000000007E-2</v>
      </c>
      <c r="I56" t="s">
        <v>1807</v>
      </c>
      <c r="J56">
        <v>1592.4947999999999</v>
      </c>
    </row>
    <row r="57" spans="1:10" x14ac:dyDescent="0.3">
      <c r="A57" t="s">
        <v>1864</v>
      </c>
      <c r="B57" s="1">
        <v>45589</v>
      </c>
      <c r="C57" t="s">
        <v>1278</v>
      </c>
      <c r="D57" t="s">
        <v>1629</v>
      </c>
      <c r="E57" t="s">
        <v>1775</v>
      </c>
      <c r="F57">
        <v>2</v>
      </c>
      <c r="G57">
        <v>559.71</v>
      </c>
      <c r="H57">
        <v>0.3</v>
      </c>
      <c r="I57" t="s">
        <v>1812</v>
      </c>
      <c r="J57">
        <v>783.59400000000005</v>
      </c>
    </row>
    <row r="58" spans="1:10" x14ac:dyDescent="0.3">
      <c r="A58" t="s">
        <v>1865</v>
      </c>
      <c r="B58" s="1">
        <v>45282</v>
      </c>
      <c r="C58" t="s">
        <v>289</v>
      </c>
      <c r="D58" t="s">
        <v>1599</v>
      </c>
      <c r="E58" t="s">
        <v>1759</v>
      </c>
      <c r="F58">
        <v>2</v>
      </c>
      <c r="G58">
        <v>833.7</v>
      </c>
      <c r="H58">
        <v>0.06</v>
      </c>
      <c r="I58" t="s">
        <v>1809</v>
      </c>
      <c r="J58">
        <v>1567.356</v>
      </c>
    </row>
    <row r="59" spans="1:10" x14ac:dyDescent="0.3">
      <c r="A59" t="s">
        <v>1866</v>
      </c>
      <c r="B59" s="1">
        <v>45462</v>
      </c>
      <c r="C59" t="s">
        <v>1424</v>
      </c>
      <c r="D59" t="s">
        <v>1625</v>
      </c>
      <c r="E59" t="s">
        <v>1782</v>
      </c>
      <c r="F59">
        <v>2</v>
      </c>
      <c r="G59">
        <v>680.16</v>
      </c>
      <c r="H59">
        <v>0.28000000000000003</v>
      </c>
      <c r="I59" t="s">
        <v>1807</v>
      </c>
      <c r="J59">
        <v>979.43039999999996</v>
      </c>
    </row>
    <row r="60" spans="1:10" x14ac:dyDescent="0.3">
      <c r="A60" t="s">
        <v>1867</v>
      </c>
      <c r="B60" s="1">
        <v>45633</v>
      </c>
      <c r="C60" t="s">
        <v>1243</v>
      </c>
      <c r="D60" t="s">
        <v>1561</v>
      </c>
      <c r="E60" t="s">
        <v>1762</v>
      </c>
      <c r="F60">
        <v>4</v>
      </c>
      <c r="G60">
        <v>733.42</v>
      </c>
      <c r="H60">
        <v>0.1</v>
      </c>
      <c r="I60" t="s">
        <v>1809</v>
      </c>
      <c r="J60">
        <v>2552.3015999999998</v>
      </c>
    </row>
    <row r="61" spans="1:10" x14ac:dyDescent="0.3">
      <c r="A61" t="s">
        <v>1868</v>
      </c>
      <c r="B61" s="1">
        <v>45257</v>
      </c>
      <c r="C61" t="s">
        <v>1135</v>
      </c>
      <c r="D61" t="s">
        <v>1709</v>
      </c>
      <c r="E61" t="s">
        <v>1775</v>
      </c>
      <c r="F61">
        <v>1</v>
      </c>
      <c r="G61">
        <v>996.33</v>
      </c>
      <c r="H61">
        <v>0.23</v>
      </c>
      <c r="I61" t="s">
        <v>1809</v>
      </c>
      <c r="J61">
        <v>767.17410000000007</v>
      </c>
    </row>
    <row r="62" spans="1:10" x14ac:dyDescent="0.3">
      <c r="A62" t="s">
        <v>1869</v>
      </c>
      <c r="B62" s="1">
        <v>45854</v>
      </c>
      <c r="C62" t="s">
        <v>1255</v>
      </c>
      <c r="D62" t="s">
        <v>1593</v>
      </c>
      <c r="E62" t="s">
        <v>1772</v>
      </c>
      <c r="F62">
        <v>1</v>
      </c>
      <c r="G62">
        <v>198.83</v>
      </c>
      <c r="H62">
        <v>0.09</v>
      </c>
      <c r="I62" t="s">
        <v>1812</v>
      </c>
      <c r="J62">
        <v>180.93530000000001</v>
      </c>
    </row>
    <row r="63" spans="1:10" x14ac:dyDescent="0.3">
      <c r="A63" t="s">
        <v>1870</v>
      </c>
      <c r="B63" s="1">
        <v>45716</v>
      </c>
      <c r="C63" t="s">
        <v>761</v>
      </c>
      <c r="D63" t="s">
        <v>1569</v>
      </c>
      <c r="E63" t="s">
        <v>1762</v>
      </c>
      <c r="F63">
        <v>1</v>
      </c>
      <c r="G63">
        <v>374.92</v>
      </c>
      <c r="H63">
        <v>0.18</v>
      </c>
      <c r="I63" t="s">
        <v>1809</v>
      </c>
      <c r="J63">
        <v>307.43439999999998</v>
      </c>
    </row>
    <row r="64" spans="1:10" x14ac:dyDescent="0.3">
      <c r="A64" t="s">
        <v>1871</v>
      </c>
      <c r="B64" s="1">
        <v>45515</v>
      </c>
      <c r="C64" t="s">
        <v>1415</v>
      </c>
      <c r="D64" t="s">
        <v>1717</v>
      </c>
      <c r="E64" t="s">
        <v>1787</v>
      </c>
      <c r="F64">
        <v>1</v>
      </c>
      <c r="G64">
        <v>468.94</v>
      </c>
      <c r="H64">
        <v>0.12</v>
      </c>
      <c r="I64" t="s">
        <v>1807</v>
      </c>
      <c r="J64">
        <v>412.66719999999998</v>
      </c>
    </row>
    <row r="65" spans="1:10" x14ac:dyDescent="0.3">
      <c r="A65" t="s">
        <v>1872</v>
      </c>
      <c r="B65" s="1">
        <v>45927</v>
      </c>
      <c r="C65" t="s">
        <v>430</v>
      </c>
      <c r="D65" t="s">
        <v>1709</v>
      </c>
      <c r="E65" t="s">
        <v>1777</v>
      </c>
      <c r="F65">
        <v>2</v>
      </c>
      <c r="G65">
        <v>121.37</v>
      </c>
      <c r="H65">
        <v>0.05</v>
      </c>
      <c r="I65" t="s">
        <v>1807</v>
      </c>
      <c r="J65">
        <v>230.60300000000001</v>
      </c>
    </row>
    <row r="66" spans="1:10" x14ac:dyDescent="0.3">
      <c r="A66" t="s">
        <v>1873</v>
      </c>
      <c r="B66" s="1">
        <v>45914</v>
      </c>
      <c r="C66" t="s">
        <v>808</v>
      </c>
      <c r="D66" t="s">
        <v>1637</v>
      </c>
      <c r="E66" t="s">
        <v>1772</v>
      </c>
      <c r="F66">
        <v>3</v>
      </c>
      <c r="G66">
        <v>480.06</v>
      </c>
      <c r="H66">
        <v>0.01</v>
      </c>
      <c r="I66" t="s">
        <v>1807</v>
      </c>
      <c r="J66">
        <f>Table6[[#This Row],[Quantity]]*Table6[[#This Row],[Unit_Price]]</f>
        <v>1440.18</v>
      </c>
    </row>
    <row r="67" spans="1:10" x14ac:dyDescent="0.3">
      <c r="A67" t="s">
        <v>1874</v>
      </c>
      <c r="B67" s="1">
        <v>45290</v>
      </c>
      <c r="C67" t="s">
        <v>536</v>
      </c>
      <c r="D67" t="s">
        <v>1729</v>
      </c>
      <c r="E67" t="s">
        <v>1790</v>
      </c>
      <c r="F67">
        <v>2</v>
      </c>
      <c r="G67">
        <v>856.57</v>
      </c>
      <c r="H67">
        <v>0.24</v>
      </c>
      <c r="I67" t="s">
        <v>1807</v>
      </c>
      <c r="J67">
        <v>1301.9864</v>
      </c>
    </row>
    <row r="68" spans="1:10" x14ac:dyDescent="0.3">
      <c r="A68" t="s">
        <v>1875</v>
      </c>
      <c r="B68" s="1">
        <v>45213</v>
      </c>
      <c r="C68" t="s">
        <v>850</v>
      </c>
      <c r="D68" t="s">
        <v>1685</v>
      </c>
      <c r="E68" t="s">
        <v>1744</v>
      </c>
      <c r="F68">
        <v>4</v>
      </c>
      <c r="G68">
        <v>814.25</v>
      </c>
      <c r="H68">
        <v>0.18</v>
      </c>
      <c r="I68" t="s">
        <v>1807</v>
      </c>
      <c r="J68">
        <v>2670.74</v>
      </c>
    </row>
    <row r="69" spans="1:10" x14ac:dyDescent="0.3">
      <c r="A69" t="s">
        <v>1876</v>
      </c>
      <c r="B69" s="1">
        <v>45255</v>
      </c>
      <c r="C69" t="s">
        <v>1470</v>
      </c>
      <c r="D69" t="s">
        <v>1555</v>
      </c>
      <c r="E69" t="s">
        <v>1744</v>
      </c>
      <c r="F69">
        <v>1</v>
      </c>
      <c r="G69">
        <v>989.17</v>
      </c>
      <c r="H69">
        <v>0.2</v>
      </c>
      <c r="I69" t="s">
        <v>1809</v>
      </c>
      <c r="J69">
        <v>791.33600000000001</v>
      </c>
    </row>
    <row r="70" spans="1:10" x14ac:dyDescent="0.3">
      <c r="A70" t="s">
        <v>1877</v>
      </c>
      <c r="B70" s="1">
        <v>45270</v>
      </c>
      <c r="C70" t="s">
        <v>1150</v>
      </c>
      <c r="D70" t="s">
        <v>1675</v>
      </c>
      <c r="E70" t="s">
        <v>1772</v>
      </c>
      <c r="F70">
        <v>4</v>
      </c>
      <c r="G70">
        <v>62.48</v>
      </c>
      <c r="H70">
        <v>0.18</v>
      </c>
      <c r="I70" t="s">
        <v>1807</v>
      </c>
      <c r="J70">
        <v>204.93440000000001</v>
      </c>
    </row>
    <row r="71" spans="1:10" x14ac:dyDescent="0.3">
      <c r="A71" t="s">
        <v>1878</v>
      </c>
      <c r="B71" s="1">
        <v>45897</v>
      </c>
      <c r="C71" t="s">
        <v>1297</v>
      </c>
      <c r="D71" t="s">
        <v>1557</v>
      </c>
      <c r="E71" t="s">
        <v>1787</v>
      </c>
      <c r="F71">
        <v>4</v>
      </c>
      <c r="G71">
        <v>561.24</v>
      </c>
      <c r="H71">
        <v>0.24</v>
      </c>
      <c r="I71" t="s">
        <v>1807</v>
      </c>
      <c r="J71">
        <v>1706.1695999999999</v>
      </c>
    </row>
    <row r="72" spans="1:10" x14ac:dyDescent="0.3">
      <c r="A72" t="s">
        <v>1879</v>
      </c>
      <c r="B72" s="1">
        <v>45849</v>
      </c>
      <c r="C72" t="s">
        <v>215</v>
      </c>
      <c r="D72" t="s">
        <v>1651</v>
      </c>
      <c r="E72" t="s">
        <v>1756</v>
      </c>
      <c r="F72">
        <v>3</v>
      </c>
      <c r="G72">
        <v>92.24</v>
      </c>
      <c r="H72">
        <v>0.28000000000000003</v>
      </c>
      <c r="I72" t="s">
        <v>1812</v>
      </c>
      <c r="J72">
        <f>Table6[[#This Row],[Quantity]]*Table6[[#This Row],[Unit_Price]]</f>
        <v>276.71999999999997</v>
      </c>
    </row>
    <row r="73" spans="1:10" x14ac:dyDescent="0.3">
      <c r="A73" t="s">
        <v>1880</v>
      </c>
      <c r="B73" s="1">
        <v>45889</v>
      </c>
      <c r="C73" t="s">
        <v>554</v>
      </c>
      <c r="D73" t="s">
        <v>1675</v>
      </c>
      <c r="E73" t="s">
        <v>1740</v>
      </c>
      <c r="F73">
        <v>2</v>
      </c>
      <c r="G73">
        <v>668.3</v>
      </c>
      <c r="H73">
        <v>7.0000000000000007E-2</v>
      </c>
      <c r="I73" t="s">
        <v>1807</v>
      </c>
      <c r="J73">
        <v>1243.038</v>
      </c>
    </row>
    <row r="74" spans="1:10" x14ac:dyDescent="0.3">
      <c r="A74" t="s">
        <v>1881</v>
      </c>
      <c r="B74" s="1">
        <v>45533</v>
      </c>
      <c r="C74" t="s">
        <v>1258</v>
      </c>
      <c r="D74" t="s">
        <v>1607</v>
      </c>
      <c r="E74" t="s">
        <v>1756</v>
      </c>
      <c r="F74">
        <v>1</v>
      </c>
      <c r="G74">
        <v>553.82000000000005</v>
      </c>
      <c r="H74">
        <v>0.09</v>
      </c>
      <c r="I74" t="s">
        <v>1807</v>
      </c>
      <c r="J74">
        <v>503.97620000000012</v>
      </c>
    </row>
    <row r="75" spans="1:10" x14ac:dyDescent="0.3">
      <c r="A75" t="s">
        <v>1882</v>
      </c>
      <c r="B75" s="1">
        <v>45626</v>
      </c>
      <c r="C75" t="s">
        <v>146</v>
      </c>
      <c r="D75" t="s">
        <v>1621</v>
      </c>
      <c r="E75" t="s">
        <v>1775</v>
      </c>
      <c r="F75">
        <v>2</v>
      </c>
      <c r="G75">
        <v>556.42999999999995</v>
      </c>
      <c r="H75">
        <v>0.13</v>
      </c>
      <c r="I75" t="s">
        <v>1807</v>
      </c>
      <c r="J75">
        <v>968.18819999999994</v>
      </c>
    </row>
    <row r="76" spans="1:10" x14ac:dyDescent="0.3">
      <c r="A76" t="s">
        <v>1883</v>
      </c>
      <c r="B76" s="1">
        <v>45942</v>
      </c>
      <c r="C76" t="s">
        <v>861</v>
      </c>
      <c r="D76" t="s">
        <v>1571</v>
      </c>
      <c r="E76" t="s">
        <v>1765</v>
      </c>
      <c r="F76">
        <v>1</v>
      </c>
      <c r="G76">
        <v>184.98</v>
      </c>
      <c r="H76">
        <v>0.1</v>
      </c>
      <c r="I76" t="s">
        <v>1812</v>
      </c>
      <c r="J76">
        <v>166.482</v>
      </c>
    </row>
    <row r="77" spans="1:10" x14ac:dyDescent="0.3">
      <c r="A77" t="s">
        <v>1884</v>
      </c>
      <c r="B77" s="1">
        <v>45500</v>
      </c>
      <c r="C77" t="s">
        <v>140</v>
      </c>
      <c r="D77" t="s">
        <v>1725</v>
      </c>
      <c r="E77" t="s">
        <v>1777</v>
      </c>
      <c r="F77">
        <v>4</v>
      </c>
      <c r="G77">
        <v>700.18</v>
      </c>
      <c r="H77">
        <v>0.23</v>
      </c>
      <c r="I77" t="s">
        <v>1807</v>
      </c>
      <c r="J77">
        <v>2156.5544</v>
      </c>
    </row>
    <row r="78" spans="1:10" x14ac:dyDescent="0.3">
      <c r="A78" t="s">
        <v>1885</v>
      </c>
      <c r="B78" s="1">
        <v>45285</v>
      </c>
      <c r="C78" t="s">
        <v>85</v>
      </c>
      <c r="D78" t="s">
        <v>1683</v>
      </c>
      <c r="E78" t="s">
        <v>1772</v>
      </c>
      <c r="F78">
        <v>2</v>
      </c>
      <c r="G78">
        <v>686.31</v>
      </c>
      <c r="H78">
        <v>0.25</v>
      </c>
      <c r="I78" t="s">
        <v>1807</v>
      </c>
      <c r="J78">
        <v>1029.4649999999999</v>
      </c>
    </row>
    <row r="79" spans="1:10" x14ac:dyDescent="0.3">
      <c r="A79" t="s">
        <v>1886</v>
      </c>
      <c r="B79" s="1">
        <v>45800</v>
      </c>
      <c r="C79" t="s">
        <v>40</v>
      </c>
      <c r="D79" t="s">
        <v>1665</v>
      </c>
      <c r="E79" t="s">
        <v>1784</v>
      </c>
      <c r="F79">
        <v>1</v>
      </c>
      <c r="G79">
        <v>687.82</v>
      </c>
      <c r="H79">
        <v>0.27</v>
      </c>
      <c r="I79" t="s">
        <v>1812</v>
      </c>
      <c r="J79">
        <v>502.10860000000002</v>
      </c>
    </row>
    <row r="80" spans="1:10" x14ac:dyDescent="0.3">
      <c r="A80" t="s">
        <v>1887</v>
      </c>
      <c r="B80" s="1">
        <v>45609</v>
      </c>
      <c r="C80" t="s">
        <v>710</v>
      </c>
      <c r="D80" t="s">
        <v>1697</v>
      </c>
      <c r="E80" t="s">
        <v>1765</v>
      </c>
      <c r="F80">
        <v>2</v>
      </c>
      <c r="G80">
        <v>900.55</v>
      </c>
      <c r="H80">
        <v>0.16</v>
      </c>
      <c r="I80" t="s">
        <v>1807</v>
      </c>
      <c r="J80">
        <v>1512.924</v>
      </c>
    </row>
    <row r="81" spans="1:10" x14ac:dyDescent="0.3">
      <c r="A81" t="s">
        <v>1888</v>
      </c>
      <c r="B81" s="1">
        <v>45268</v>
      </c>
      <c r="C81" t="s">
        <v>397</v>
      </c>
      <c r="D81" t="s">
        <v>1573</v>
      </c>
      <c r="E81" t="s">
        <v>1744</v>
      </c>
      <c r="F81">
        <v>1</v>
      </c>
      <c r="G81">
        <v>341.17</v>
      </c>
      <c r="H81">
        <v>0.15</v>
      </c>
      <c r="I81" t="s">
        <v>1807</v>
      </c>
      <c r="J81">
        <v>289.99450000000002</v>
      </c>
    </row>
    <row r="82" spans="1:10" x14ac:dyDescent="0.3">
      <c r="A82" t="s">
        <v>1889</v>
      </c>
      <c r="B82" s="1">
        <v>45885</v>
      </c>
      <c r="C82" t="s">
        <v>576</v>
      </c>
      <c r="D82" t="s">
        <v>1635</v>
      </c>
      <c r="E82" t="s">
        <v>1765</v>
      </c>
      <c r="F82">
        <v>1</v>
      </c>
      <c r="G82">
        <v>442.27</v>
      </c>
      <c r="H82">
        <v>0.06</v>
      </c>
      <c r="I82" t="s">
        <v>1812</v>
      </c>
      <c r="J82">
        <v>415.73379999999997</v>
      </c>
    </row>
    <row r="83" spans="1:10" x14ac:dyDescent="0.3">
      <c r="A83" t="s">
        <v>1890</v>
      </c>
      <c r="B83" s="1">
        <v>45616</v>
      </c>
      <c r="C83" t="s">
        <v>803</v>
      </c>
      <c r="D83" t="s">
        <v>1673</v>
      </c>
      <c r="E83" t="s">
        <v>1769</v>
      </c>
      <c r="F83">
        <v>1</v>
      </c>
      <c r="G83">
        <v>363.73</v>
      </c>
      <c r="H83">
        <v>0.25</v>
      </c>
      <c r="I83" t="s">
        <v>1809</v>
      </c>
      <c r="J83">
        <v>272.79750000000001</v>
      </c>
    </row>
    <row r="84" spans="1:10" x14ac:dyDescent="0.3">
      <c r="A84" t="s">
        <v>1891</v>
      </c>
      <c r="B84" s="1">
        <v>45518</v>
      </c>
      <c r="C84" t="s">
        <v>1168</v>
      </c>
      <c r="D84" t="s">
        <v>1713</v>
      </c>
      <c r="E84" t="s">
        <v>1790</v>
      </c>
      <c r="F84">
        <v>2</v>
      </c>
      <c r="G84">
        <v>601.33000000000004</v>
      </c>
      <c r="H84">
        <v>0.16</v>
      </c>
      <c r="I84" t="s">
        <v>1809</v>
      </c>
      <c r="J84">
        <v>1010.2344000000001</v>
      </c>
    </row>
    <row r="85" spans="1:10" x14ac:dyDescent="0.3">
      <c r="A85" t="s">
        <v>1892</v>
      </c>
      <c r="B85" s="1">
        <v>45427</v>
      </c>
      <c r="C85" t="s">
        <v>1240</v>
      </c>
      <c r="D85" t="s">
        <v>1565</v>
      </c>
      <c r="E85" t="s">
        <v>1793</v>
      </c>
      <c r="F85">
        <v>4</v>
      </c>
      <c r="G85">
        <v>34.39</v>
      </c>
      <c r="H85">
        <v>0.03</v>
      </c>
      <c r="I85" t="s">
        <v>1809</v>
      </c>
      <c r="J85">
        <v>133.4332</v>
      </c>
    </row>
    <row r="86" spans="1:10" x14ac:dyDescent="0.3">
      <c r="A86" t="s">
        <v>1893</v>
      </c>
      <c r="B86" s="1">
        <v>45268</v>
      </c>
      <c r="C86" t="s">
        <v>1297</v>
      </c>
      <c r="D86" t="s">
        <v>1623</v>
      </c>
      <c r="E86" t="s">
        <v>1790</v>
      </c>
      <c r="F86">
        <v>1</v>
      </c>
      <c r="G86">
        <v>773.57</v>
      </c>
      <c r="H86">
        <v>0.05</v>
      </c>
      <c r="I86" t="s">
        <v>1812</v>
      </c>
      <c r="J86">
        <f>Table6[[#This Row],[Quantity]]*Table6[[#This Row],[Unit_Price]]</f>
        <v>773.57</v>
      </c>
    </row>
    <row r="87" spans="1:10" x14ac:dyDescent="0.3">
      <c r="A87" t="s">
        <v>1894</v>
      </c>
      <c r="B87" s="1">
        <v>45282</v>
      </c>
      <c r="C87" t="s">
        <v>202</v>
      </c>
      <c r="D87" t="s">
        <v>1707</v>
      </c>
      <c r="E87" t="s">
        <v>1762</v>
      </c>
      <c r="F87">
        <v>4</v>
      </c>
      <c r="G87">
        <v>127.1</v>
      </c>
      <c r="H87">
        <v>0.24</v>
      </c>
      <c r="I87" t="s">
        <v>1812</v>
      </c>
      <c r="J87">
        <v>386.38400000000001</v>
      </c>
    </row>
    <row r="88" spans="1:10" x14ac:dyDescent="0.3">
      <c r="A88" t="s">
        <v>1895</v>
      </c>
      <c r="B88" s="1">
        <v>45545</v>
      </c>
      <c r="C88" t="s">
        <v>948</v>
      </c>
      <c r="D88" t="s">
        <v>1571</v>
      </c>
      <c r="E88" t="s">
        <v>1749</v>
      </c>
      <c r="F88">
        <v>3</v>
      </c>
      <c r="G88">
        <v>899.58</v>
      </c>
      <c r="H88">
        <v>0.28000000000000003</v>
      </c>
      <c r="I88" t="s">
        <v>1809</v>
      </c>
      <c r="J88">
        <v>1943.0927999999999</v>
      </c>
    </row>
    <row r="89" spans="1:10" x14ac:dyDescent="0.3">
      <c r="A89" t="s">
        <v>1896</v>
      </c>
      <c r="B89" s="1">
        <v>45755</v>
      </c>
      <c r="C89" t="s">
        <v>1018</v>
      </c>
      <c r="D89" t="s">
        <v>1529</v>
      </c>
      <c r="E89" t="s">
        <v>1772</v>
      </c>
      <c r="F89">
        <v>3</v>
      </c>
      <c r="G89">
        <v>964.39</v>
      </c>
      <c r="H89">
        <v>0.04</v>
      </c>
      <c r="I89" t="s">
        <v>1807</v>
      </c>
      <c r="J89">
        <v>2777.4432000000002</v>
      </c>
    </row>
    <row r="90" spans="1:10" x14ac:dyDescent="0.3">
      <c r="A90" t="s">
        <v>1897</v>
      </c>
      <c r="B90" s="1">
        <v>45588</v>
      </c>
      <c r="C90" t="s">
        <v>598</v>
      </c>
      <c r="D90" t="s">
        <v>1607</v>
      </c>
      <c r="E90" t="s">
        <v>1735</v>
      </c>
      <c r="F90">
        <v>2</v>
      </c>
      <c r="G90">
        <v>217.83</v>
      </c>
      <c r="H90">
        <v>0.14000000000000001</v>
      </c>
      <c r="I90" t="s">
        <v>1809</v>
      </c>
      <c r="J90">
        <v>374.66759999999999</v>
      </c>
    </row>
    <row r="91" spans="1:10" x14ac:dyDescent="0.3">
      <c r="A91" t="s">
        <v>1898</v>
      </c>
      <c r="B91" s="1">
        <v>45848</v>
      </c>
      <c r="C91" t="s">
        <v>479</v>
      </c>
      <c r="D91" t="s">
        <v>1565</v>
      </c>
      <c r="E91" t="s">
        <v>1740</v>
      </c>
      <c r="F91">
        <v>4</v>
      </c>
      <c r="G91">
        <v>187.71</v>
      </c>
      <c r="H91">
        <v>0.06</v>
      </c>
      <c r="I91" t="s">
        <v>1812</v>
      </c>
      <c r="J91">
        <v>705.78959999999995</v>
      </c>
    </row>
    <row r="92" spans="1:10" x14ac:dyDescent="0.3">
      <c r="A92" t="s">
        <v>1899</v>
      </c>
      <c r="B92" s="1">
        <v>45577</v>
      </c>
      <c r="C92" t="s">
        <v>52</v>
      </c>
      <c r="D92" t="s">
        <v>1597</v>
      </c>
      <c r="E92" t="s">
        <v>1793</v>
      </c>
      <c r="F92">
        <v>2</v>
      </c>
      <c r="G92">
        <v>350.12</v>
      </c>
      <c r="H92">
        <v>0.12</v>
      </c>
      <c r="I92" t="s">
        <v>1812</v>
      </c>
      <c r="J92">
        <v>616.21119999999996</v>
      </c>
    </row>
    <row r="93" spans="1:10" x14ac:dyDescent="0.3">
      <c r="A93" t="s">
        <v>1900</v>
      </c>
      <c r="B93" s="1">
        <v>45312</v>
      </c>
      <c r="C93" t="s">
        <v>1249</v>
      </c>
      <c r="D93" t="s">
        <v>1563</v>
      </c>
      <c r="E93" t="s">
        <v>1740</v>
      </c>
      <c r="F93">
        <v>4</v>
      </c>
      <c r="G93">
        <v>102.19</v>
      </c>
      <c r="H93">
        <v>0.17</v>
      </c>
      <c r="I93" t="s">
        <v>1809</v>
      </c>
      <c r="J93">
        <v>339.27080000000001</v>
      </c>
    </row>
    <row r="94" spans="1:10" x14ac:dyDescent="0.3">
      <c r="A94" t="s">
        <v>1901</v>
      </c>
      <c r="B94" s="1">
        <v>45350</v>
      </c>
      <c r="C94" t="s">
        <v>40</v>
      </c>
      <c r="D94" t="s">
        <v>1703</v>
      </c>
      <c r="E94" t="s">
        <v>1752</v>
      </c>
      <c r="F94">
        <v>1</v>
      </c>
      <c r="G94">
        <v>696.53</v>
      </c>
      <c r="H94">
        <v>0.17</v>
      </c>
      <c r="I94" t="s">
        <v>1807</v>
      </c>
      <c r="J94">
        <v>578.11989999999992</v>
      </c>
    </row>
    <row r="95" spans="1:10" x14ac:dyDescent="0.3">
      <c r="A95" t="s">
        <v>1902</v>
      </c>
      <c r="B95" s="1">
        <v>45657</v>
      </c>
      <c r="C95" t="s">
        <v>238</v>
      </c>
      <c r="D95" t="s">
        <v>1569</v>
      </c>
      <c r="E95" t="s">
        <v>1752</v>
      </c>
      <c r="F95">
        <v>2</v>
      </c>
      <c r="G95">
        <v>327.52</v>
      </c>
      <c r="H95">
        <v>0.15</v>
      </c>
      <c r="I95" t="s">
        <v>1809</v>
      </c>
      <c r="J95">
        <v>556.78399999999999</v>
      </c>
    </row>
    <row r="96" spans="1:10" x14ac:dyDescent="0.3">
      <c r="A96" t="s">
        <v>1903</v>
      </c>
      <c r="B96" s="1">
        <v>45530</v>
      </c>
      <c r="C96" t="s">
        <v>933</v>
      </c>
      <c r="D96" t="s">
        <v>1725</v>
      </c>
      <c r="E96" t="s">
        <v>1796</v>
      </c>
      <c r="F96">
        <v>2</v>
      </c>
      <c r="G96">
        <v>569.36</v>
      </c>
      <c r="H96">
        <v>0.01</v>
      </c>
      <c r="I96" t="s">
        <v>1809</v>
      </c>
      <c r="J96">
        <f>Table6[[#This Row],[Quantity]]*Table6[[#This Row],[Unit_Price]]</f>
        <v>1138.72</v>
      </c>
    </row>
    <row r="97" spans="1:10" x14ac:dyDescent="0.3">
      <c r="A97" t="s">
        <v>1904</v>
      </c>
      <c r="B97" s="1">
        <v>45556</v>
      </c>
      <c r="C97" t="s">
        <v>1001</v>
      </c>
      <c r="D97" t="s">
        <v>1729</v>
      </c>
      <c r="E97" t="s">
        <v>1759</v>
      </c>
      <c r="F97">
        <v>2</v>
      </c>
      <c r="G97">
        <v>68.290000000000006</v>
      </c>
      <c r="H97">
        <v>0.14000000000000001</v>
      </c>
      <c r="I97" t="s">
        <v>1812</v>
      </c>
      <c r="J97">
        <v>117.4588</v>
      </c>
    </row>
    <row r="98" spans="1:10" x14ac:dyDescent="0.3">
      <c r="A98" t="s">
        <v>1905</v>
      </c>
      <c r="B98" s="1">
        <v>45523</v>
      </c>
      <c r="C98" t="s">
        <v>776</v>
      </c>
      <c r="D98" t="s">
        <v>1631</v>
      </c>
      <c r="E98" t="s">
        <v>1772</v>
      </c>
      <c r="F98">
        <v>1</v>
      </c>
      <c r="G98">
        <v>842.9</v>
      </c>
      <c r="H98">
        <v>0.06</v>
      </c>
      <c r="I98" t="s">
        <v>1812</v>
      </c>
      <c r="J98">
        <v>792.32599999999991</v>
      </c>
    </row>
    <row r="99" spans="1:10" x14ac:dyDescent="0.3">
      <c r="A99" t="s">
        <v>1906</v>
      </c>
      <c r="B99" s="1">
        <v>45587</v>
      </c>
      <c r="C99" t="s">
        <v>903</v>
      </c>
      <c r="D99" t="s">
        <v>1534</v>
      </c>
      <c r="E99" t="s">
        <v>1749</v>
      </c>
      <c r="F99">
        <v>3</v>
      </c>
      <c r="G99">
        <v>751.94</v>
      </c>
      <c r="H99">
        <v>0.26</v>
      </c>
      <c r="I99" t="s">
        <v>1809</v>
      </c>
      <c r="J99">
        <v>1669.3068000000001</v>
      </c>
    </row>
    <row r="100" spans="1:10" x14ac:dyDescent="0.3">
      <c r="A100" t="s">
        <v>1907</v>
      </c>
      <c r="B100" s="1">
        <v>45580</v>
      </c>
      <c r="C100" t="s">
        <v>444</v>
      </c>
      <c r="D100" t="s">
        <v>1643</v>
      </c>
      <c r="E100" t="s">
        <v>1762</v>
      </c>
      <c r="F100">
        <v>4</v>
      </c>
      <c r="G100">
        <v>476.28</v>
      </c>
      <c r="H100">
        <v>0.17</v>
      </c>
      <c r="I100" t="s">
        <v>1807</v>
      </c>
      <c r="J100">
        <v>1581.2496000000001</v>
      </c>
    </row>
    <row r="101" spans="1:10" x14ac:dyDescent="0.3">
      <c r="A101" t="s">
        <v>1908</v>
      </c>
      <c r="B101" s="1">
        <v>45479</v>
      </c>
      <c r="C101" t="s">
        <v>1012</v>
      </c>
      <c r="D101" t="s">
        <v>1639</v>
      </c>
      <c r="E101" t="s">
        <v>1749</v>
      </c>
      <c r="F101">
        <v>3</v>
      </c>
      <c r="G101">
        <v>541.99</v>
      </c>
      <c r="H101">
        <v>0.24</v>
      </c>
      <c r="I101" t="s">
        <v>1812</v>
      </c>
      <c r="J101">
        <v>1235.7372</v>
      </c>
    </row>
    <row r="102" spans="1:10" x14ac:dyDescent="0.3">
      <c r="A102" t="s">
        <v>1909</v>
      </c>
      <c r="B102" s="1">
        <v>45677</v>
      </c>
      <c r="C102" t="s">
        <v>1141</v>
      </c>
      <c r="D102" t="s">
        <v>1597</v>
      </c>
      <c r="E102" t="s">
        <v>1756</v>
      </c>
      <c r="F102">
        <v>2</v>
      </c>
      <c r="G102">
        <v>401.5</v>
      </c>
      <c r="H102">
        <v>0.18</v>
      </c>
      <c r="I102" t="s">
        <v>1807</v>
      </c>
      <c r="J102">
        <v>658.46</v>
      </c>
    </row>
    <row r="103" spans="1:10" x14ac:dyDescent="0.3">
      <c r="A103" t="s">
        <v>1910</v>
      </c>
      <c r="B103" s="1">
        <v>45453</v>
      </c>
      <c r="C103" t="s">
        <v>301</v>
      </c>
      <c r="D103" t="s">
        <v>1581</v>
      </c>
      <c r="E103" t="s">
        <v>1780</v>
      </c>
      <c r="F103">
        <v>3</v>
      </c>
      <c r="G103">
        <v>359.56</v>
      </c>
      <c r="H103">
        <v>0.17</v>
      </c>
      <c r="I103" t="s">
        <v>1809</v>
      </c>
      <c r="J103">
        <v>895.30439999999999</v>
      </c>
    </row>
    <row r="104" spans="1:10" x14ac:dyDescent="0.3">
      <c r="A104" t="s">
        <v>1911</v>
      </c>
      <c r="B104" s="1">
        <v>45552</v>
      </c>
      <c r="C104" t="s">
        <v>342</v>
      </c>
      <c r="D104" t="s">
        <v>1691</v>
      </c>
      <c r="E104" t="s">
        <v>1777</v>
      </c>
      <c r="F104">
        <v>2</v>
      </c>
      <c r="G104">
        <v>471.88</v>
      </c>
      <c r="H104">
        <v>0.24</v>
      </c>
      <c r="I104" t="s">
        <v>1809</v>
      </c>
      <c r="J104">
        <v>717.25760000000002</v>
      </c>
    </row>
    <row r="105" spans="1:10" x14ac:dyDescent="0.3">
      <c r="A105" t="s">
        <v>1912</v>
      </c>
      <c r="B105" s="1">
        <v>45907</v>
      </c>
      <c r="C105" t="s">
        <v>595</v>
      </c>
      <c r="D105" t="s">
        <v>1599</v>
      </c>
      <c r="E105" t="s">
        <v>1752</v>
      </c>
      <c r="F105">
        <v>4</v>
      </c>
      <c r="G105">
        <v>925.19</v>
      </c>
      <c r="H105">
        <v>0.19</v>
      </c>
      <c r="I105" t="s">
        <v>1809</v>
      </c>
      <c r="J105">
        <v>2997.615600000001</v>
      </c>
    </row>
    <row r="106" spans="1:10" x14ac:dyDescent="0.3">
      <c r="A106" t="s">
        <v>1913</v>
      </c>
      <c r="B106" s="1">
        <v>45330</v>
      </c>
      <c r="C106" t="s">
        <v>121</v>
      </c>
      <c r="D106" t="s">
        <v>1703</v>
      </c>
      <c r="E106" t="s">
        <v>1775</v>
      </c>
      <c r="F106">
        <v>2</v>
      </c>
      <c r="G106">
        <v>879.63</v>
      </c>
      <c r="H106">
        <v>7.0000000000000007E-2</v>
      </c>
      <c r="I106" t="s">
        <v>1812</v>
      </c>
      <c r="J106">
        <v>1636.1117999999999</v>
      </c>
    </row>
    <row r="107" spans="1:10" x14ac:dyDescent="0.3">
      <c r="A107" t="s">
        <v>1914</v>
      </c>
      <c r="B107" s="1">
        <v>45214</v>
      </c>
      <c r="C107" t="s">
        <v>20</v>
      </c>
      <c r="D107" t="s">
        <v>1689</v>
      </c>
      <c r="E107" t="s">
        <v>1790</v>
      </c>
      <c r="F107">
        <v>2</v>
      </c>
      <c r="G107">
        <v>418.23</v>
      </c>
      <c r="H107">
        <v>0.28000000000000003</v>
      </c>
      <c r="I107" t="s">
        <v>1807</v>
      </c>
      <c r="J107">
        <v>602.25120000000004</v>
      </c>
    </row>
    <row r="108" spans="1:10" x14ac:dyDescent="0.3">
      <c r="A108" t="s">
        <v>1915</v>
      </c>
      <c r="B108" s="1">
        <v>45891</v>
      </c>
      <c r="C108" t="s">
        <v>850</v>
      </c>
      <c r="D108" t="s">
        <v>1569</v>
      </c>
      <c r="E108" t="s">
        <v>1793</v>
      </c>
      <c r="F108">
        <v>3</v>
      </c>
      <c r="G108">
        <v>551.72</v>
      </c>
      <c r="H108">
        <v>0.03</v>
      </c>
      <c r="I108" t="s">
        <v>1812</v>
      </c>
      <c r="J108">
        <v>1605.5052000000001</v>
      </c>
    </row>
    <row r="109" spans="1:10" x14ac:dyDescent="0.3">
      <c r="A109" t="s">
        <v>1916</v>
      </c>
      <c r="B109" s="1">
        <v>45323</v>
      </c>
      <c r="C109" t="s">
        <v>1051</v>
      </c>
      <c r="D109" t="s">
        <v>1703</v>
      </c>
      <c r="E109" t="s">
        <v>1762</v>
      </c>
      <c r="F109">
        <v>4</v>
      </c>
      <c r="G109">
        <v>525.61</v>
      </c>
      <c r="H109">
        <v>0.02</v>
      </c>
      <c r="I109" t="s">
        <v>1809</v>
      </c>
      <c r="J109">
        <v>2060.3912</v>
      </c>
    </row>
    <row r="110" spans="1:10" x14ac:dyDescent="0.3">
      <c r="A110" t="s">
        <v>1917</v>
      </c>
      <c r="B110" s="1">
        <v>45785</v>
      </c>
      <c r="C110" t="s">
        <v>159</v>
      </c>
      <c r="D110" t="s">
        <v>1575</v>
      </c>
      <c r="E110" t="s">
        <v>1780</v>
      </c>
      <c r="F110">
        <v>3</v>
      </c>
      <c r="G110">
        <v>815.3</v>
      </c>
      <c r="H110">
        <v>0.03</v>
      </c>
      <c r="I110" t="s">
        <v>1807</v>
      </c>
      <c r="J110">
        <v>2372.5230000000001</v>
      </c>
    </row>
    <row r="111" spans="1:10" x14ac:dyDescent="0.3">
      <c r="A111" t="s">
        <v>1918</v>
      </c>
      <c r="B111" s="1">
        <v>45738</v>
      </c>
      <c r="C111" t="s">
        <v>690</v>
      </c>
      <c r="D111" t="s">
        <v>1713</v>
      </c>
      <c r="E111" t="s">
        <v>1735</v>
      </c>
      <c r="F111">
        <v>3</v>
      </c>
      <c r="G111">
        <v>376.46</v>
      </c>
      <c r="H111">
        <v>0.09</v>
      </c>
      <c r="I111" t="s">
        <v>1812</v>
      </c>
      <c r="J111">
        <v>1027.7357999999999</v>
      </c>
    </row>
    <row r="112" spans="1:10" x14ac:dyDescent="0.3">
      <c r="A112" t="s">
        <v>1919</v>
      </c>
      <c r="B112" s="1">
        <v>45851</v>
      </c>
      <c r="C112" t="s">
        <v>40</v>
      </c>
      <c r="D112" t="s">
        <v>1615</v>
      </c>
      <c r="E112" t="s">
        <v>1765</v>
      </c>
      <c r="F112">
        <v>4</v>
      </c>
      <c r="G112">
        <v>239.83</v>
      </c>
      <c r="H112">
        <v>0.08</v>
      </c>
      <c r="I112" t="s">
        <v>1807</v>
      </c>
      <c r="J112">
        <v>882.57440000000008</v>
      </c>
    </row>
    <row r="113" spans="1:10" x14ac:dyDescent="0.3">
      <c r="A113" t="s">
        <v>1920</v>
      </c>
      <c r="B113" s="1">
        <v>45798</v>
      </c>
      <c r="C113" t="s">
        <v>409</v>
      </c>
      <c r="D113" t="s">
        <v>1711</v>
      </c>
      <c r="E113" t="s">
        <v>1749</v>
      </c>
      <c r="F113">
        <v>2</v>
      </c>
      <c r="G113">
        <v>845.71</v>
      </c>
      <c r="H113">
        <v>0.01</v>
      </c>
      <c r="I113" t="s">
        <v>1809</v>
      </c>
      <c r="J113">
        <v>1674.5057999999999</v>
      </c>
    </row>
    <row r="114" spans="1:10" x14ac:dyDescent="0.3">
      <c r="A114" t="s">
        <v>1921</v>
      </c>
      <c r="B114" s="1">
        <v>45705</v>
      </c>
      <c r="C114" t="s">
        <v>310</v>
      </c>
      <c r="D114" t="s">
        <v>1683</v>
      </c>
      <c r="E114" t="s">
        <v>1780</v>
      </c>
      <c r="F114">
        <v>3</v>
      </c>
      <c r="G114">
        <v>948.69</v>
      </c>
      <c r="H114">
        <v>0.28999999999999998</v>
      </c>
      <c r="I114" t="s">
        <v>1807</v>
      </c>
      <c r="J114">
        <v>2020.7097000000001</v>
      </c>
    </row>
    <row r="115" spans="1:10" x14ac:dyDescent="0.3">
      <c r="A115" t="s">
        <v>1922</v>
      </c>
      <c r="B115" s="1">
        <v>45413</v>
      </c>
      <c r="C115" t="s">
        <v>1424</v>
      </c>
      <c r="D115" t="s">
        <v>1585</v>
      </c>
      <c r="E115" t="s">
        <v>1772</v>
      </c>
      <c r="F115">
        <v>1</v>
      </c>
      <c r="G115">
        <v>281.97000000000003</v>
      </c>
      <c r="H115">
        <v>0.2</v>
      </c>
      <c r="I115" t="s">
        <v>1809</v>
      </c>
      <c r="J115">
        <v>225.57599999999999</v>
      </c>
    </row>
    <row r="116" spans="1:10" x14ac:dyDescent="0.3">
      <c r="A116" t="s">
        <v>1923</v>
      </c>
      <c r="B116" s="1">
        <v>45482</v>
      </c>
      <c r="C116" t="s">
        <v>506</v>
      </c>
      <c r="D116" t="s">
        <v>1713</v>
      </c>
      <c r="E116" t="s">
        <v>1752</v>
      </c>
      <c r="F116">
        <v>2</v>
      </c>
      <c r="G116">
        <v>731.01</v>
      </c>
      <c r="H116">
        <v>0.05</v>
      </c>
      <c r="I116" t="s">
        <v>1809</v>
      </c>
      <c r="J116">
        <v>1388.9190000000001</v>
      </c>
    </row>
    <row r="117" spans="1:10" x14ac:dyDescent="0.3">
      <c r="A117" t="s">
        <v>1924</v>
      </c>
      <c r="B117" s="1">
        <v>45925</v>
      </c>
      <c r="C117" t="s">
        <v>814</v>
      </c>
      <c r="D117" t="s">
        <v>1701</v>
      </c>
      <c r="E117" t="s">
        <v>1762</v>
      </c>
      <c r="F117">
        <v>4</v>
      </c>
      <c r="G117">
        <v>930.85</v>
      </c>
      <c r="H117">
        <v>0.13</v>
      </c>
      <c r="I117" t="s">
        <v>1809</v>
      </c>
      <c r="J117">
        <v>3239.3580000000002</v>
      </c>
    </row>
    <row r="118" spans="1:10" x14ac:dyDescent="0.3">
      <c r="A118" t="s">
        <v>1925</v>
      </c>
      <c r="B118" s="1">
        <v>45420</v>
      </c>
      <c r="C118" t="s">
        <v>1287</v>
      </c>
      <c r="D118" t="s">
        <v>1534</v>
      </c>
      <c r="E118" t="s">
        <v>1765</v>
      </c>
      <c r="F118">
        <v>4</v>
      </c>
      <c r="G118">
        <v>770.77</v>
      </c>
      <c r="H118">
        <v>0.22</v>
      </c>
      <c r="I118" t="s">
        <v>1807</v>
      </c>
      <c r="J118">
        <v>2404.8024</v>
      </c>
    </row>
    <row r="119" spans="1:10" x14ac:dyDescent="0.3">
      <c r="A119" t="s">
        <v>1926</v>
      </c>
      <c r="B119" s="1">
        <v>45554</v>
      </c>
      <c r="C119" t="s">
        <v>244</v>
      </c>
      <c r="D119" t="s">
        <v>1623</v>
      </c>
      <c r="E119" t="s">
        <v>1752</v>
      </c>
      <c r="F119">
        <v>3</v>
      </c>
      <c r="G119">
        <v>479.63</v>
      </c>
      <c r="H119">
        <v>0.3</v>
      </c>
      <c r="I119" t="s">
        <v>1809</v>
      </c>
      <c r="J119">
        <v>1007.223</v>
      </c>
    </row>
    <row r="120" spans="1:10" x14ac:dyDescent="0.3">
      <c r="A120" t="s">
        <v>1927</v>
      </c>
      <c r="B120" s="1">
        <v>45405</v>
      </c>
      <c r="C120" t="s">
        <v>367</v>
      </c>
      <c r="D120" t="s">
        <v>1609</v>
      </c>
      <c r="E120" t="s">
        <v>1775</v>
      </c>
      <c r="F120">
        <v>1</v>
      </c>
      <c r="G120">
        <v>165</v>
      </c>
      <c r="H120">
        <v>0.3</v>
      </c>
      <c r="I120" t="s">
        <v>1812</v>
      </c>
      <c r="J120">
        <v>115.5</v>
      </c>
    </row>
    <row r="121" spans="1:10" x14ac:dyDescent="0.3">
      <c r="A121" t="s">
        <v>1928</v>
      </c>
      <c r="B121" s="1">
        <v>45503</v>
      </c>
      <c r="C121" t="s">
        <v>524</v>
      </c>
      <c r="D121" t="s">
        <v>1569</v>
      </c>
      <c r="E121" t="s">
        <v>1765</v>
      </c>
      <c r="F121">
        <v>2</v>
      </c>
      <c r="G121">
        <v>151.51</v>
      </c>
      <c r="H121">
        <v>0.28999999999999998</v>
      </c>
      <c r="I121" t="s">
        <v>1812</v>
      </c>
      <c r="J121">
        <v>215.14420000000001</v>
      </c>
    </row>
    <row r="122" spans="1:10" x14ac:dyDescent="0.3">
      <c r="A122" t="s">
        <v>1929</v>
      </c>
      <c r="B122" s="1">
        <v>45274</v>
      </c>
      <c r="C122" t="s">
        <v>737</v>
      </c>
      <c r="D122" t="s">
        <v>1593</v>
      </c>
      <c r="E122" t="s">
        <v>1790</v>
      </c>
      <c r="F122">
        <v>2</v>
      </c>
      <c r="G122">
        <v>872.93</v>
      </c>
      <c r="H122">
        <v>0.28999999999999998</v>
      </c>
      <c r="I122" t="s">
        <v>1812</v>
      </c>
      <c r="J122">
        <v>1239.5606</v>
      </c>
    </row>
    <row r="123" spans="1:10" x14ac:dyDescent="0.3">
      <c r="A123" t="s">
        <v>1930</v>
      </c>
      <c r="B123" s="1">
        <v>45558</v>
      </c>
      <c r="C123" t="s">
        <v>835</v>
      </c>
      <c r="D123" t="s">
        <v>1575</v>
      </c>
      <c r="E123" t="s">
        <v>1772</v>
      </c>
      <c r="F123">
        <v>3</v>
      </c>
      <c r="G123">
        <v>432.4</v>
      </c>
      <c r="H123">
        <v>0.04</v>
      </c>
      <c r="I123" t="s">
        <v>1807</v>
      </c>
      <c r="J123">
        <v>1245.3119999999999</v>
      </c>
    </row>
    <row r="124" spans="1:10" x14ac:dyDescent="0.3">
      <c r="A124" t="s">
        <v>1931</v>
      </c>
      <c r="B124" s="1">
        <v>45886</v>
      </c>
      <c r="C124" t="s">
        <v>1051</v>
      </c>
      <c r="D124" t="s">
        <v>1631</v>
      </c>
      <c r="E124" t="s">
        <v>1762</v>
      </c>
      <c r="F124">
        <v>2</v>
      </c>
      <c r="G124">
        <v>197.76</v>
      </c>
      <c r="H124">
        <v>0.04</v>
      </c>
      <c r="I124" t="s">
        <v>1807</v>
      </c>
      <c r="J124">
        <v>379.69920000000002</v>
      </c>
    </row>
    <row r="125" spans="1:10" x14ac:dyDescent="0.3">
      <c r="A125" t="s">
        <v>1932</v>
      </c>
      <c r="B125" s="1">
        <v>45674</v>
      </c>
      <c r="C125" t="s">
        <v>1450</v>
      </c>
      <c r="D125" t="s">
        <v>1611</v>
      </c>
      <c r="E125" t="s">
        <v>1744</v>
      </c>
      <c r="F125">
        <v>3</v>
      </c>
      <c r="G125">
        <v>334.6</v>
      </c>
      <c r="H125">
        <v>0.11</v>
      </c>
      <c r="I125" t="s">
        <v>1809</v>
      </c>
      <c r="J125">
        <v>893.38200000000006</v>
      </c>
    </row>
    <row r="126" spans="1:10" x14ac:dyDescent="0.3">
      <c r="A126" t="s">
        <v>1933</v>
      </c>
      <c r="B126" s="1">
        <v>45777</v>
      </c>
      <c r="C126" t="s">
        <v>310</v>
      </c>
      <c r="D126" t="s">
        <v>1559</v>
      </c>
      <c r="E126" t="s">
        <v>1749</v>
      </c>
      <c r="F126">
        <v>2</v>
      </c>
      <c r="G126">
        <v>44.35</v>
      </c>
      <c r="H126">
        <v>0.2</v>
      </c>
      <c r="I126" t="s">
        <v>1812</v>
      </c>
      <c r="J126">
        <v>70.960000000000008</v>
      </c>
    </row>
    <row r="127" spans="1:10" x14ac:dyDescent="0.3">
      <c r="A127" t="s">
        <v>1934</v>
      </c>
      <c r="B127" s="1">
        <v>45598</v>
      </c>
      <c r="C127" t="s">
        <v>1513</v>
      </c>
      <c r="D127" t="s">
        <v>1545</v>
      </c>
      <c r="E127" t="s">
        <v>1759</v>
      </c>
      <c r="F127">
        <v>1</v>
      </c>
      <c r="G127">
        <v>846.31</v>
      </c>
      <c r="H127">
        <v>0.05</v>
      </c>
      <c r="I127" t="s">
        <v>1809</v>
      </c>
      <c r="J127">
        <v>803.9944999999999</v>
      </c>
    </row>
    <row r="128" spans="1:10" x14ac:dyDescent="0.3">
      <c r="A128" t="s">
        <v>1935</v>
      </c>
      <c r="B128" s="1">
        <v>45884</v>
      </c>
      <c r="C128" t="s">
        <v>444</v>
      </c>
      <c r="D128" t="s">
        <v>1601</v>
      </c>
      <c r="E128" t="s">
        <v>1777</v>
      </c>
      <c r="F128">
        <v>1</v>
      </c>
      <c r="G128">
        <v>996.48</v>
      </c>
      <c r="H128">
        <v>7.0000000000000007E-2</v>
      </c>
      <c r="I128" t="s">
        <v>1812</v>
      </c>
      <c r="J128">
        <v>926.7263999999999</v>
      </c>
    </row>
    <row r="129" spans="1:10" x14ac:dyDescent="0.3">
      <c r="A129" t="s">
        <v>1936</v>
      </c>
      <c r="B129" s="1">
        <v>45916</v>
      </c>
      <c r="C129" t="s">
        <v>873</v>
      </c>
      <c r="D129" t="s">
        <v>1717</v>
      </c>
      <c r="E129" t="s">
        <v>1759</v>
      </c>
      <c r="F129">
        <v>3</v>
      </c>
      <c r="G129">
        <v>949.19</v>
      </c>
      <c r="H129">
        <v>0.03</v>
      </c>
      <c r="I129" t="s">
        <v>1812</v>
      </c>
      <c r="J129">
        <v>2762.1428999999998</v>
      </c>
    </row>
    <row r="130" spans="1:10" x14ac:dyDescent="0.3">
      <c r="A130" t="s">
        <v>1937</v>
      </c>
      <c r="B130" s="1">
        <v>45347</v>
      </c>
      <c r="C130" t="s">
        <v>1225</v>
      </c>
      <c r="D130" t="s">
        <v>1719</v>
      </c>
      <c r="E130" t="s">
        <v>1769</v>
      </c>
      <c r="F130">
        <v>2</v>
      </c>
      <c r="G130">
        <v>724.97</v>
      </c>
      <c r="H130">
        <v>0.1</v>
      </c>
      <c r="I130" t="s">
        <v>1807</v>
      </c>
      <c r="J130">
        <v>1304.9459999999999</v>
      </c>
    </row>
    <row r="131" spans="1:10" x14ac:dyDescent="0.3">
      <c r="A131" t="s">
        <v>1938</v>
      </c>
      <c r="B131" s="1">
        <v>45723</v>
      </c>
      <c r="C131" t="s">
        <v>983</v>
      </c>
      <c r="D131" t="s">
        <v>1529</v>
      </c>
      <c r="E131" t="s">
        <v>1787</v>
      </c>
      <c r="F131">
        <v>1</v>
      </c>
      <c r="G131">
        <v>783.25</v>
      </c>
      <c r="H131">
        <v>0.3</v>
      </c>
      <c r="I131" t="s">
        <v>1807</v>
      </c>
      <c r="J131">
        <v>548.27499999999998</v>
      </c>
    </row>
    <row r="132" spans="1:10" x14ac:dyDescent="0.3">
      <c r="A132" t="s">
        <v>1939</v>
      </c>
      <c r="B132" s="1">
        <v>45495</v>
      </c>
      <c r="C132" t="s">
        <v>1066</v>
      </c>
      <c r="D132" t="s">
        <v>1565</v>
      </c>
      <c r="E132" t="s">
        <v>1749</v>
      </c>
      <c r="F132">
        <v>1</v>
      </c>
      <c r="G132">
        <v>942.38</v>
      </c>
      <c r="H132">
        <v>0.17</v>
      </c>
      <c r="I132" t="s">
        <v>1807</v>
      </c>
      <c r="J132">
        <v>782.17539999999997</v>
      </c>
    </row>
    <row r="133" spans="1:10" x14ac:dyDescent="0.3">
      <c r="A133" t="s">
        <v>1940</v>
      </c>
      <c r="B133" s="1">
        <v>45444</v>
      </c>
      <c r="C133" t="s">
        <v>1507</v>
      </c>
      <c r="D133" t="s">
        <v>1633</v>
      </c>
      <c r="E133" t="s">
        <v>1775</v>
      </c>
      <c r="F133">
        <v>3</v>
      </c>
      <c r="G133">
        <v>298.35000000000002</v>
      </c>
      <c r="H133">
        <v>0.05</v>
      </c>
      <c r="I133" t="s">
        <v>1812</v>
      </c>
      <c r="J133">
        <v>850.29750000000001</v>
      </c>
    </row>
    <row r="134" spans="1:10" x14ac:dyDescent="0.3">
      <c r="A134" t="s">
        <v>1941</v>
      </c>
      <c r="B134" s="1">
        <v>45662</v>
      </c>
      <c r="C134" t="s">
        <v>542</v>
      </c>
      <c r="D134" t="s">
        <v>1627</v>
      </c>
      <c r="E134" t="s">
        <v>1777</v>
      </c>
      <c r="F134">
        <v>4</v>
      </c>
      <c r="G134">
        <v>950.04</v>
      </c>
      <c r="H134">
        <v>0.13</v>
      </c>
      <c r="I134" t="s">
        <v>1809</v>
      </c>
      <c r="J134">
        <v>3306.1392000000001</v>
      </c>
    </row>
    <row r="135" spans="1:10" x14ac:dyDescent="0.3">
      <c r="A135" t="s">
        <v>1942</v>
      </c>
      <c r="B135" s="1">
        <v>45910</v>
      </c>
      <c r="C135" t="s">
        <v>1024</v>
      </c>
      <c r="D135" t="s">
        <v>1645</v>
      </c>
      <c r="E135" t="s">
        <v>1752</v>
      </c>
      <c r="F135">
        <v>2</v>
      </c>
      <c r="G135">
        <v>267.19</v>
      </c>
      <c r="H135">
        <v>7.0000000000000007E-2</v>
      </c>
      <c r="I135" t="s">
        <v>1807</v>
      </c>
      <c r="J135">
        <v>496.97340000000003</v>
      </c>
    </row>
    <row r="136" spans="1:10" x14ac:dyDescent="0.3">
      <c r="A136" t="s">
        <v>1943</v>
      </c>
      <c r="B136" s="1">
        <v>45827</v>
      </c>
      <c r="C136" t="s">
        <v>651</v>
      </c>
      <c r="D136" t="s">
        <v>1705</v>
      </c>
      <c r="E136" t="s">
        <v>1784</v>
      </c>
      <c r="F136">
        <v>4</v>
      </c>
      <c r="G136">
        <v>72.63</v>
      </c>
      <c r="H136">
        <v>0.06</v>
      </c>
      <c r="I136" t="s">
        <v>1809</v>
      </c>
      <c r="J136">
        <v>273.08879999999999</v>
      </c>
    </row>
    <row r="137" spans="1:10" x14ac:dyDescent="0.3">
      <c r="A137" t="s">
        <v>1944</v>
      </c>
      <c r="B137" s="1">
        <v>45544</v>
      </c>
      <c r="C137" t="s">
        <v>1309</v>
      </c>
      <c r="D137" t="s">
        <v>1637</v>
      </c>
      <c r="E137" t="s">
        <v>1756</v>
      </c>
      <c r="F137">
        <v>3</v>
      </c>
      <c r="G137">
        <v>576.52</v>
      </c>
      <c r="H137">
        <v>0.22</v>
      </c>
      <c r="I137" t="s">
        <v>1812</v>
      </c>
      <c r="J137">
        <v>1349.0568000000001</v>
      </c>
    </row>
    <row r="138" spans="1:10" x14ac:dyDescent="0.3">
      <c r="A138" t="s">
        <v>1945</v>
      </c>
      <c r="B138" s="1">
        <v>45751</v>
      </c>
      <c r="C138" t="s">
        <v>1083</v>
      </c>
      <c r="D138" t="s">
        <v>1673</v>
      </c>
      <c r="E138" t="s">
        <v>1769</v>
      </c>
      <c r="F138">
        <v>3</v>
      </c>
      <c r="G138">
        <v>849.36</v>
      </c>
      <c r="H138">
        <v>0.03</v>
      </c>
      <c r="I138" t="s">
        <v>1807</v>
      </c>
      <c r="J138">
        <v>2471.6376</v>
      </c>
    </row>
    <row r="139" spans="1:10" x14ac:dyDescent="0.3">
      <c r="A139" t="s">
        <v>1946</v>
      </c>
      <c r="B139" s="1">
        <v>45392</v>
      </c>
      <c r="C139" t="s">
        <v>1442</v>
      </c>
      <c r="D139" t="s">
        <v>1631</v>
      </c>
      <c r="E139" t="s">
        <v>1759</v>
      </c>
      <c r="F139">
        <v>1</v>
      </c>
      <c r="G139">
        <v>245.85</v>
      </c>
      <c r="H139">
        <v>0.18</v>
      </c>
      <c r="I139" t="s">
        <v>1812</v>
      </c>
      <c r="J139">
        <v>201.59700000000001</v>
      </c>
    </row>
    <row r="140" spans="1:10" x14ac:dyDescent="0.3">
      <c r="A140" t="s">
        <v>1947</v>
      </c>
      <c r="B140" s="1">
        <v>45589</v>
      </c>
      <c r="C140" t="s">
        <v>583</v>
      </c>
      <c r="D140" t="s">
        <v>1725</v>
      </c>
      <c r="E140" t="s">
        <v>1772</v>
      </c>
      <c r="F140">
        <v>3</v>
      </c>
      <c r="G140">
        <v>237.68</v>
      </c>
      <c r="H140">
        <v>0.1</v>
      </c>
      <c r="I140" t="s">
        <v>1812</v>
      </c>
      <c r="J140">
        <v>641.73599999999999</v>
      </c>
    </row>
    <row r="141" spans="1:10" x14ac:dyDescent="0.3">
      <c r="A141" t="s">
        <v>1948</v>
      </c>
      <c r="B141" s="1">
        <v>45756</v>
      </c>
      <c r="C141" t="s">
        <v>1048</v>
      </c>
      <c r="D141" t="s">
        <v>1673</v>
      </c>
      <c r="E141" t="s">
        <v>1782</v>
      </c>
      <c r="F141">
        <v>4</v>
      </c>
      <c r="G141">
        <v>715.85</v>
      </c>
      <c r="H141">
        <v>0.25</v>
      </c>
      <c r="I141" t="s">
        <v>1809</v>
      </c>
      <c r="J141">
        <v>2147.5500000000002</v>
      </c>
    </row>
    <row r="142" spans="1:10" x14ac:dyDescent="0.3">
      <c r="A142" t="s">
        <v>1949</v>
      </c>
      <c r="B142" s="1">
        <v>45255</v>
      </c>
      <c r="C142" t="s">
        <v>562</v>
      </c>
      <c r="D142" t="s">
        <v>1711</v>
      </c>
      <c r="E142" t="s">
        <v>1756</v>
      </c>
      <c r="F142">
        <v>2</v>
      </c>
      <c r="G142">
        <v>478.85</v>
      </c>
      <c r="H142">
        <v>0.01</v>
      </c>
      <c r="I142" t="s">
        <v>1812</v>
      </c>
      <c r="J142">
        <v>948.12300000000005</v>
      </c>
    </row>
    <row r="143" spans="1:10" x14ac:dyDescent="0.3">
      <c r="A143" t="s">
        <v>1950</v>
      </c>
      <c r="B143" s="1">
        <v>45718</v>
      </c>
      <c r="C143" t="s">
        <v>391</v>
      </c>
      <c r="D143" t="s">
        <v>1625</v>
      </c>
      <c r="E143" t="s">
        <v>1735</v>
      </c>
      <c r="F143">
        <v>1</v>
      </c>
      <c r="G143">
        <v>503.95</v>
      </c>
      <c r="H143">
        <v>0.26</v>
      </c>
      <c r="I143" t="s">
        <v>1812</v>
      </c>
      <c r="J143">
        <v>372.923</v>
      </c>
    </row>
    <row r="144" spans="1:10" x14ac:dyDescent="0.3">
      <c r="A144" t="s">
        <v>1951</v>
      </c>
      <c r="B144" s="1">
        <v>45573</v>
      </c>
      <c r="C144" t="s">
        <v>1229</v>
      </c>
      <c r="D144" t="s">
        <v>1663</v>
      </c>
      <c r="E144" t="s">
        <v>1777</v>
      </c>
      <c r="F144">
        <v>2</v>
      </c>
      <c r="G144">
        <v>975.48</v>
      </c>
      <c r="H144">
        <v>0.26</v>
      </c>
      <c r="I144" t="s">
        <v>1812</v>
      </c>
      <c r="J144">
        <v>1443.7103999999999</v>
      </c>
    </row>
    <row r="145" spans="1:10" x14ac:dyDescent="0.3">
      <c r="A145" t="s">
        <v>1952</v>
      </c>
      <c r="B145" s="1">
        <v>45884</v>
      </c>
      <c r="C145" t="s">
        <v>1235</v>
      </c>
      <c r="D145" t="s">
        <v>1599</v>
      </c>
      <c r="E145" t="s">
        <v>1787</v>
      </c>
      <c r="F145">
        <v>4</v>
      </c>
      <c r="G145">
        <v>450.12</v>
      </c>
      <c r="H145">
        <v>0.28999999999999998</v>
      </c>
      <c r="I145" t="s">
        <v>1812</v>
      </c>
      <c r="J145">
        <v>1278.3407999999999</v>
      </c>
    </row>
    <row r="146" spans="1:10" x14ac:dyDescent="0.3">
      <c r="A146" t="s">
        <v>1953</v>
      </c>
      <c r="B146" s="1">
        <v>45448</v>
      </c>
      <c r="C146" t="s">
        <v>1333</v>
      </c>
      <c r="D146" t="s">
        <v>1603</v>
      </c>
      <c r="E146" t="s">
        <v>1765</v>
      </c>
      <c r="F146">
        <v>3</v>
      </c>
      <c r="G146">
        <v>237.24</v>
      </c>
      <c r="H146">
        <v>0.24</v>
      </c>
      <c r="I146" t="s">
        <v>1809</v>
      </c>
      <c r="J146">
        <v>540.90719999999999</v>
      </c>
    </row>
    <row r="147" spans="1:10" x14ac:dyDescent="0.3">
      <c r="A147" t="s">
        <v>1954</v>
      </c>
      <c r="B147" s="1">
        <v>45522</v>
      </c>
      <c r="C147" t="s">
        <v>1401</v>
      </c>
      <c r="D147" t="s">
        <v>1639</v>
      </c>
      <c r="E147" t="s">
        <v>1784</v>
      </c>
      <c r="F147">
        <v>2</v>
      </c>
      <c r="G147">
        <v>536.84</v>
      </c>
      <c r="H147">
        <v>0.09</v>
      </c>
      <c r="I147" t="s">
        <v>1812</v>
      </c>
      <c r="J147">
        <v>977.04880000000014</v>
      </c>
    </row>
    <row r="148" spans="1:10" x14ac:dyDescent="0.3">
      <c r="A148" t="s">
        <v>1955</v>
      </c>
      <c r="B148" s="1">
        <v>45626</v>
      </c>
      <c r="C148" t="s">
        <v>1355</v>
      </c>
      <c r="D148" t="s">
        <v>1603</v>
      </c>
      <c r="E148" t="s">
        <v>1796</v>
      </c>
      <c r="F148">
        <v>3</v>
      </c>
      <c r="G148">
        <v>584.41</v>
      </c>
      <c r="H148">
        <v>0</v>
      </c>
      <c r="I148" t="s">
        <v>1812</v>
      </c>
      <c r="J148">
        <v>1753.23</v>
      </c>
    </row>
    <row r="149" spans="1:10" x14ac:dyDescent="0.3">
      <c r="A149" t="s">
        <v>1956</v>
      </c>
      <c r="B149" s="1">
        <v>45617</v>
      </c>
      <c r="C149" t="s">
        <v>923</v>
      </c>
      <c r="D149" t="s">
        <v>1695</v>
      </c>
      <c r="E149" t="s">
        <v>1796</v>
      </c>
      <c r="F149">
        <v>1</v>
      </c>
      <c r="G149">
        <v>653.87</v>
      </c>
      <c r="H149">
        <v>0.14000000000000001</v>
      </c>
      <c r="I149" t="s">
        <v>1809</v>
      </c>
      <c r="J149">
        <v>562.32820000000004</v>
      </c>
    </row>
    <row r="150" spans="1:10" x14ac:dyDescent="0.3">
      <c r="A150" t="s">
        <v>1957</v>
      </c>
      <c r="B150" s="1">
        <v>45878</v>
      </c>
      <c r="C150" t="s">
        <v>1499</v>
      </c>
      <c r="D150" t="s">
        <v>1705</v>
      </c>
      <c r="E150" t="s">
        <v>1735</v>
      </c>
      <c r="F150">
        <v>1</v>
      </c>
      <c r="G150">
        <v>652.03</v>
      </c>
      <c r="H150">
        <v>0.27</v>
      </c>
      <c r="I150" t="s">
        <v>1807</v>
      </c>
      <c r="J150">
        <v>475.9819</v>
      </c>
    </row>
    <row r="151" spans="1:10" x14ac:dyDescent="0.3">
      <c r="A151" t="s">
        <v>1958</v>
      </c>
      <c r="B151" s="1">
        <v>45502</v>
      </c>
      <c r="C151" t="s">
        <v>330</v>
      </c>
      <c r="D151" t="s">
        <v>1538</v>
      </c>
      <c r="E151" t="s">
        <v>1777</v>
      </c>
      <c r="F151">
        <v>3</v>
      </c>
      <c r="G151">
        <v>513.36</v>
      </c>
      <c r="H151">
        <v>7.0000000000000007E-2</v>
      </c>
      <c r="I151" t="s">
        <v>1812</v>
      </c>
      <c r="J151">
        <v>1432.2744</v>
      </c>
    </row>
    <row r="152" spans="1:10" x14ac:dyDescent="0.3">
      <c r="A152" t="s">
        <v>1959</v>
      </c>
      <c r="B152" s="1">
        <v>45433</v>
      </c>
      <c r="C152" t="s">
        <v>248</v>
      </c>
      <c r="D152" t="s">
        <v>1635</v>
      </c>
      <c r="E152" t="s">
        <v>1756</v>
      </c>
      <c r="F152">
        <v>4</v>
      </c>
      <c r="G152">
        <v>355.64</v>
      </c>
      <c r="H152">
        <v>0.16</v>
      </c>
      <c r="I152" t="s">
        <v>1812</v>
      </c>
      <c r="J152">
        <v>1194.9503999999999</v>
      </c>
    </row>
    <row r="153" spans="1:10" x14ac:dyDescent="0.3">
      <c r="A153" t="s">
        <v>1960</v>
      </c>
      <c r="B153" s="1">
        <v>45594</v>
      </c>
      <c r="C153" t="s">
        <v>97</v>
      </c>
      <c r="D153" t="s">
        <v>1557</v>
      </c>
      <c r="E153" t="s">
        <v>1765</v>
      </c>
      <c r="F153">
        <v>4</v>
      </c>
      <c r="G153">
        <v>535.4</v>
      </c>
      <c r="H153">
        <v>0.26</v>
      </c>
      <c r="I153" t="s">
        <v>1809</v>
      </c>
      <c r="J153">
        <v>1584.7840000000001</v>
      </c>
    </row>
    <row r="154" spans="1:10" x14ac:dyDescent="0.3">
      <c r="A154" t="s">
        <v>1961</v>
      </c>
      <c r="B154" s="1">
        <v>45798</v>
      </c>
      <c r="C154" t="s">
        <v>773</v>
      </c>
      <c r="D154" t="s">
        <v>1669</v>
      </c>
      <c r="E154" t="s">
        <v>1796</v>
      </c>
      <c r="F154">
        <v>2</v>
      </c>
      <c r="G154">
        <v>108.74</v>
      </c>
      <c r="H154">
        <v>0.11</v>
      </c>
      <c r="I154" t="s">
        <v>1809</v>
      </c>
      <c r="J154">
        <v>193.55719999999999</v>
      </c>
    </row>
    <row r="155" spans="1:10" x14ac:dyDescent="0.3">
      <c r="A155" t="s">
        <v>1962</v>
      </c>
      <c r="B155" s="1">
        <v>45579</v>
      </c>
      <c r="C155" t="s">
        <v>980</v>
      </c>
      <c r="D155" t="s">
        <v>1553</v>
      </c>
      <c r="E155" t="s">
        <v>1796</v>
      </c>
      <c r="F155">
        <v>3</v>
      </c>
      <c r="G155">
        <v>591.98</v>
      </c>
      <c r="H155">
        <v>0.16</v>
      </c>
      <c r="I155" t="s">
        <v>1807</v>
      </c>
      <c r="J155">
        <v>1491.7896000000001</v>
      </c>
    </row>
    <row r="156" spans="1:10" x14ac:dyDescent="0.3">
      <c r="A156" t="s">
        <v>1963</v>
      </c>
      <c r="B156" s="1">
        <v>45613</v>
      </c>
      <c r="C156" t="s">
        <v>1246</v>
      </c>
      <c r="D156" t="s">
        <v>1627</v>
      </c>
      <c r="E156" t="s">
        <v>1744</v>
      </c>
      <c r="F156">
        <v>1</v>
      </c>
      <c r="G156">
        <v>345.06</v>
      </c>
      <c r="H156">
        <v>0.13</v>
      </c>
      <c r="I156" t="s">
        <v>1812</v>
      </c>
      <c r="J156">
        <v>300.2022</v>
      </c>
    </row>
    <row r="157" spans="1:10" x14ac:dyDescent="0.3">
      <c r="A157" t="s">
        <v>1964</v>
      </c>
      <c r="B157" s="1">
        <v>45745</v>
      </c>
      <c r="C157" t="s">
        <v>959</v>
      </c>
      <c r="D157" t="s">
        <v>1717</v>
      </c>
      <c r="E157" t="s">
        <v>1777</v>
      </c>
      <c r="F157">
        <v>4</v>
      </c>
      <c r="G157">
        <v>986.41</v>
      </c>
      <c r="H157">
        <v>0.22</v>
      </c>
      <c r="I157" t="s">
        <v>1807</v>
      </c>
      <c r="J157">
        <v>3077.5992000000001</v>
      </c>
    </row>
    <row r="158" spans="1:10" x14ac:dyDescent="0.3">
      <c r="A158" t="s">
        <v>1965</v>
      </c>
      <c r="B158" s="1">
        <v>45494</v>
      </c>
      <c r="C158" t="s">
        <v>995</v>
      </c>
      <c r="D158" t="s">
        <v>1629</v>
      </c>
      <c r="E158" t="s">
        <v>1735</v>
      </c>
      <c r="F158">
        <v>2</v>
      </c>
      <c r="G158">
        <v>921.52</v>
      </c>
      <c r="H158">
        <v>0</v>
      </c>
      <c r="I158" t="s">
        <v>1809</v>
      </c>
      <c r="J158">
        <v>1843.04</v>
      </c>
    </row>
    <row r="159" spans="1:10" x14ac:dyDescent="0.3">
      <c r="A159" t="s">
        <v>1966</v>
      </c>
      <c r="B159" s="1">
        <v>45883</v>
      </c>
      <c r="C159" t="s">
        <v>342</v>
      </c>
      <c r="D159" t="s">
        <v>1641</v>
      </c>
      <c r="E159" t="s">
        <v>1756</v>
      </c>
      <c r="F159">
        <v>1</v>
      </c>
      <c r="G159">
        <v>83.1</v>
      </c>
      <c r="H159">
        <v>0.04</v>
      </c>
      <c r="I159" t="s">
        <v>1809</v>
      </c>
      <c r="J159">
        <v>79.775999999999996</v>
      </c>
    </row>
    <row r="160" spans="1:10" x14ac:dyDescent="0.3">
      <c r="A160" t="s">
        <v>1967</v>
      </c>
      <c r="B160" s="1">
        <v>45601</v>
      </c>
      <c r="C160" t="s">
        <v>1141</v>
      </c>
      <c r="D160" t="s">
        <v>1587</v>
      </c>
      <c r="E160" t="s">
        <v>1775</v>
      </c>
      <c r="F160">
        <v>2</v>
      </c>
      <c r="G160">
        <v>60.98</v>
      </c>
      <c r="H160">
        <v>0.23</v>
      </c>
      <c r="I160" t="s">
        <v>1809</v>
      </c>
      <c r="J160">
        <v>93.909199999999998</v>
      </c>
    </row>
    <row r="161" spans="1:10" x14ac:dyDescent="0.3">
      <c r="A161" t="s">
        <v>1968</v>
      </c>
      <c r="B161" s="1">
        <v>45454</v>
      </c>
      <c r="C161" t="s">
        <v>1216</v>
      </c>
      <c r="D161" t="s">
        <v>1709</v>
      </c>
      <c r="E161" t="s">
        <v>1787</v>
      </c>
      <c r="F161">
        <v>2</v>
      </c>
      <c r="G161">
        <v>122.23</v>
      </c>
      <c r="H161">
        <v>0.21</v>
      </c>
      <c r="I161" t="s">
        <v>1812</v>
      </c>
      <c r="J161">
        <v>193.1234</v>
      </c>
    </row>
    <row r="162" spans="1:10" x14ac:dyDescent="0.3">
      <c r="A162" t="s">
        <v>1969</v>
      </c>
      <c r="B162" s="1">
        <v>45918</v>
      </c>
      <c r="C162" t="s">
        <v>89</v>
      </c>
      <c r="D162" t="s">
        <v>1671</v>
      </c>
      <c r="E162" t="s">
        <v>1793</v>
      </c>
      <c r="F162">
        <v>2</v>
      </c>
      <c r="G162">
        <v>623.38</v>
      </c>
      <c r="H162">
        <v>0.13</v>
      </c>
      <c r="I162" t="s">
        <v>1807</v>
      </c>
      <c r="J162">
        <v>1084.6812</v>
      </c>
    </row>
    <row r="163" spans="1:10" x14ac:dyDescent="0.3">
      <c r="A163" t="s">
        <v>1970</v>
      </c>
      <c r="B163" s="1">
        <v>45729</v>
      </c>
      <c r="C163" t="s">
        <v>215</v>
      </c>
      <c r="D163" t="s">
        <v>1671</v>
      </c>
      <c r="E163" t="s">
        <v>1735</v>
      </c>
      <c r="F163">
        <v>1</v>
      </c>
      <c r="G163">
        <v>479.58</v>
      </c>
      <c r="H163">
        <v>0.05</v>
      </c>
      <c r="I163" t="s">
        <v>1809</v>
      </c>
      <c r="J163">
        <v>455.60099999999989</v>
      </c>
    </row>
    <row r="164" spans="1:10" x14ac:dyDescent="0.3">
      <c r="A164" t="s">
        <v>1971</v>
      </c>
      <c r="B164" s="1">
        <v>45276</v>
      </c>
      <c r="C164" t="s">
        <v>933</v>
      </c>
      <c r="D164" t="s">
        <v>1677</v>
      </c>
      <c r="E164" t="s">
        <v>1759</v>
      </c>
      <c r="F164">
        <v>3</v>
      </c>
      <c r="G164">
        <v>369.32</v>
      </c>
      <c r="H164">
        <v>0.14000000000000001</v>
      </c>
      <c r="I164" t="s">
        <v>1809</v>
      </c>
      <c r="J164">
        <v>952.84559999999999</v>
      </c>
    </row>
    <row r="165" spans="1:10" x14ac:dyDescent="0.3">
      <c r="A165" t="s">
        <v>1972</v>
      </c>
      <c r="B165" s="1">
        <v>45851</v>
      </c>
      <c r="C165" t="s">
        <v>275</v>
      </c>
      <c r="D165" t="s">
        <v>1595</v>
      </c>
      <c r="E165" t="s">
        <v>1740</v>
      </c>
      <c r="F165">
        <v>1</v>
      </c>
      <c r="G165">
        <v>488.31</v>
      </c>
      <c r="H165">
        <v>0.03</v>
      </c>
      <c r="I165" t="s">
        <v>1809</v>
      </c>
      <c r="J165">
        <v>473.66070000000002</v>
      </c>
    </row>
    <row r="166" spans="1:10" x14ac:dyDescent="0.3">
      <c r="A166" t="s">
        <v>1973</v>
      </c>
      <c r="B166" s="1">
        <v>45418</v>
      </c>
      <c r="C166" t="s">
        <v>870</v>
      </c>
      <c r="D166" t="s">
        <v>1639</v>
      </c>
      <c r="E166" t="s">
        <v>1777</v>
      </c>
      <c r="F166">
        <v>4</v>
      </c>
      <c r="G166">
        <v>164.04</v>
      </c>
      <c r="H166">
        <v>0.26</v>
      </c>
      <c r="I166" t="s">
        <v>1807</v>
      </c>
      <c r="J166">
        <v>485.55839999999989</v>
      </c>
    </row>
    <row r="167" spans="1:10" x14ac:dyDescent="0.3">
      <c r="A167" t="s">
        <v>1974</v>
      </c>
      <c r="B167" s="1">
        <v>45508</v>
      </c>
      <c r="C167" t="s">
        <v>265</v>
      </c>
      <c r="D167" t="s">
        <v>1551</v>
      </c>
      <c r="E167" t="s">
        <v>1790</v>
      </c>
      <c r="F167">
        <v>3</v>
      </c>
      <c r="G167">
        <v>707.95</v>
      </c>
      <c r="H167">
        <v>0.18</v>
      </c>
      <c r="I167" t="s">
        <v>1809</v>
      </c>
      <c r="J167">
        <v>1741.557</v>
      </c>
    </row>
    <row r="168" spans="1:10" x14ac:dyDescent="0.3">
      <c r="A168" t="s">
        <v>1975</v>
      </c>
      <c r="B168" s="1">
        <v>45269</v>
      </c>
      <c r="C168" t="s">
        <v>925</v>
      </c>
      <c r="D168" t="s">
        <v>1669</v>
      </c>
      <c r="E168" t="s">
        <v>1765</v>
      </c>
      <c r="F168">
        <v>4</v>
      </c>
      <c r="G168">
        <v>714.47</v>
      </c>
      <c r="H168">
        <v>0.18</v>
      </c>
      <c r="I168" t="s">
        <v>1812</v>
      </c>
      <c r="J168">
        <v>2343.4616000000001</v>
      </c>
    </row>
    <row r="169" spans="1:10" x14ac:dyDescent="0.3">
      <c r="A169" t="s">
        <v>1976</v>
      </c>
      <c r="B169" s="1">
        <v>45866</v>
      </c>
      <c r="C169" t="s">
        <v>1275</v>
      </c>
      <c r="D169" t="s">
        <v>1689</v>
      </c>
      <c r="E169" t="s">
        <v>1762</v>
      </c>
      <c r="F169">
        <v>4</v>
      </c>
      <c r="G169">
        <v>422.09</v>
      </c>
      <c r="H169">
        <v>0.04</v>
      </c>
      <c r="I169" t="s">
        <v>1807</v>
      </c>
      <c r="J169">
        <v>1620.8255999999999</v>
      </c>
    </row>
    <row r="170" spans="1:10" x14ac:dyDescent="0.3">
      <c r="A170" t="s">
        <v>1977</v>
      </c>
      <c r="B170" s="1">
        <v>45462</v>
      </c>
      <c r="C170" t="s">
        <v>376</v>
      </c>
      <c r="D170" t="s">
        <v>1591</v>
      </c>
      <c r="E170" t="s">
        <v>1769</v>
      </c>
      <c r="F170">
        <v>1</v>
      </c>
      <c r="G170">
        <v>998.19</v>
      </c>
      <c r="H170">
        <v>0.2</v>
      </c>
      <c r="I170" t="s">
        <v>1807</v>
      </c>
      <c r="J170">
        <v>798.55200000000013</v>
      </c>
    </row>
    <row r="171" spans="1:10" x14ac:dyDescent="0.3">
      <c r="A171" t="s">
        <v>1978</v>
      </c>
      <c r="B171" s="1">
        <v>45313</v>
      </c>
      <c r="C171" t="s">
        <v>1153</v>
      </c>
      <c r="D171" t="s">
        <v>1675</v>
      </c>
      <c r="E171" t="s">
        <v>1762</v>
      </c>
      <c r="F171">
        <v>2</v>
      </c>
      <c r="G171">
        <v>343.42</v>
      </c>
      <c r="H171">
        <v>0.12</v>
      </c>
      <c r="I171" t="s">
        <v>1812</v>
      </c>
      <c r="J171">
        <v>604.41920000000005</v>
      </c>
    </row>
    <row r="172" spans="1:10" x14ac:dyDescent="0.3">
      <c r="A172" t="s">
        <v>1979</v>
      </c>
      <c r="B172" s="1">
        <v>45390</v>
      </c>
      <c r="C172" t="s">
        <v>811</v>
      </c>
      <c r="D172" t="s">
        <v>1599</v>
      </c>
      <c r="E172" t="s">
        <v>1759</v>
      </c>
      <c r="F172">
        <v>1</v>
      </c>
      <c r="G172">
        <v>152.16999999999999</v>
      </c>
      <c r="H172">
        <v>0.28000000000000003</v>
      </c>
      <c r="I172" t="s">
        <v>1812</v>
      </c>
      <c r="J172">
        <v>109.5624</v>
      </c>
    </row>
    <row r="173" spans="1:10" x14ac:dyDescent="0.3">
      <c r="A173" t="s">
        <v>1980</v>
      </c>
      <c r="B173" s="1">
        <v>45795</v>
      </c>
      <c r="C173" t="s">
        <v>573</v>
      </c>
      <c r="D173" t="s">
        <v>1629</v>
      </c>
      <c r="E173" t="s">
        <v>1775</v>
      </c>
      <c r="F173">
        <v>1</v>
      </c>
      <c r="G173">
        <v>325.08</v>
      </c>
      <c r="H173">
        <v>0.26</v>
      </c>
      <c r="I173" t="s">
        <v>1809</v>
      </c>
      <c r="J173">
        <v>240.5592</v>
      </c>
    </row>
    <row r="174" spans="1:10" x14ac:dyDescent="0.3">
      <c r="A174" t="s">
        <v>1981</v>
      </c>
      <c r="B174" s="1">
        <v>45267</v>
      </c>
      <c r="C174" t="s">
        <v>1069</v>
      </c>
      <c r="D174" t="s">
        <v>1709</v>
      </c>
      <c r="E174" t="s">
        <v>1772</v>
      </c>
      <c r="F174">
        <v>2</v>
      </c>
      <c r="G174">
        <v>827.92</v>
      </c>
      <c r="H174">
        <v>0.25</v>
      </c>
      <c r="I174" t="s">
        <v>1812</v>
      </c>
      <c r="J174">
        <v>1241.8800000000001</v>
      </c>
    </row>
    <row r="175" spans="1:10" x14ac:dyDescent="0.3">
      <c r="A175" t="s">
        <v>1982</v>
      </c>
      <c r="B175" s="1">
        <v>45314</v>
      </c>
      <c r="C175" t="s">
        <v>1475</v>
      </c>
      <c r="D175" t="s">
        <v>1583</v>
      </c>
      <c r="E175" t="s">
        <v>1744</v>
      </c>
      <c r="F175">
        <v>2</v>
      </c>
      <c r="G175">
        <v>593.47</v>
      </c>
      <c r="H175">
        <v>0.1</v>
      </c>
      <c r="I175" t="s">
        <v>1812</v>
      </c>
      <c r="J175">
        <v>1068.2460000000001</v>
      </c>
    </row>
    <row r="176" spans="1:10" x14ac:dyDescent="0.3">
      <c r="A176" t="s">
        <v>1983</v>
      </c>
      <c r="B176" s="1">
        <v>45267</v>
      </c>
      <c r="C176" t="s">
        <v>920</v>
      </c>
      <c r="D176" t="s">
        <v>1571</v>
      </c>
      <c r="E176" t="s">
        <v>1762</v>
      </c>
      <c r="F176">
        <v>4</v>
      </c>
      <c r="G176">
        <v>756.28</v>
      </c>
      <c r="H176">
        <v>0.05</v>
      </c>
      <c r="I176" t="s">
        <v>1812</v>
      </c>
      <c r="J176">
        <v>2873.864</v>
      </c>
    </row>
    <row r="177" spans="1:10" x14ac:dyDescent="0.3">
      <c r="A177" t="s">
        <v>1984</v>
      </c>
      <c r="B177" s="1">
        <v>45641</v>
      </c>
      <c r="C177" t="s">
        <v>1165</v>
      </c>
      <c r="D177" t="s">
        <v>1715</v>
      </c>
      <c r="E177" t="s">
        <v>1740</v>
      </c>
      <c r="F177">
        <v>2</v>
      </c>
      <c r="G177">
        <v>707.65</v>
      </c>
      <c r="H177">
        <v>0.14000000000000001</v>
      </c>
      <c r="I177" t="s">
        <v>1807</v>
      </c>
      <c r="J177">
        <v>1217.1579999999999</v>
      </c>
    </row>
    <row r="178" spans="1:10" x14ac:dyDescent="0.3">
      <c r="A178" t="s">
        <v>1985</v>
      </c>
      <c r="B178" s="1">
        <v>45371</v>
      </c>
      <c r="C178" t="s">
        <v>436</v>
      </c>
      <c r="D178" t="s">
        <v>1581</v>
      </c>
      <c r="E178" t="s">
        <v>1784</v>
      </c>
      <c r="F178">
        <v>1</v>
      </c>
      <c r="G178">
        <v>857.35</v>
      </c>
      <c r="H178">
        <v>0.28000000000000003</v>
      </c>
      <c r="I178" t="s">
        <v>1809</v>
      </c>
      <c r="J178">
        <v>617.29200000000003</v>
      </c>
    </row>
    <row r="179" spans="1:10" x14ac:dyDescent="0.3">
      <c r="A179" t="s">
        <v>1986</v>
      </c>
      <c r="B179" s="1">
        <v>45670</v>
      </c>
      <c r="C179" t="s">
        <v>1516</v>
      </c>
      <c r="D179" t="s">
        <v>1641</v>
      </c>
      <c r="E179" t="s">
        <v>1765</v>
      </c>
      <c r="F179">
        <v>1</v>
      </c>
      <c r="G179">
        <v>79</v>
      </c>
      <c r="H179">
        <v>0.04</v>
      </c>
      <c r="I179" t="s">
        <v>1809</v>
      </c>
      <c r="J179">
        <v>75.84</v>
      </c>
    </row>
    <row r="180" spans="1:10" x14ac:dyDescent="0.3">
      <c r="A180" t="s">
        <v>1987</v>
      </c>
      <c r="B180" s="1">
        <v>45885</v>
      </c>
      <c r="C180" t="s">
        <v>241</v>
      </c>
      <c r="D180" t="s">
        <v>1719</v>
      </c>
      <c r="E180" t="s">
        <v>1756</v>
      </c>
      <c r="F180">
        <v>4</v>
      </c>
      <c r="G180">
        <v>638.91</v>
      </c>
      <c r="H180">
        <v>0</v>
      </c>
      <c r="I180" t="s">
        <v>1812</v>
      </c>
      <c r="J180">
        <v>2555.64</v>
      </c>
    </row>
    <row r="181" spans="1:10" x14ac:dyDescent="0.3">
      <c r="A181" t="s">
        <v>1988</v>
      </c>
      <c r="B181" s="1">
        <v>45812</v>
      </c>
      <c r="C181" t="s">
        <v>292</v>
      </c>
      <c r="D181" t="s">
        <v>1621</v>
      </c>
      <c r="E181" t="s">
        <v>1735</v>
      </c>
      <c r="F181">
        <v>2</v>
      </c>
      <c r="G181">
        <v>522.16999999999996</v>
      </c>
      <c r="H181">
        <v>0.27</v>
      </c>
      <c r="I181" t="s">
        <v>1807</v>
      </c>
      <c r="J181">
        <v>762.36819999999989</v>
      </c>
    </row>
    <row r="182" spans="1:10" x14ac:dyDescent="0.3">
      <c r="A182" t="s">
        <v>1989</v>
      </c>
      <c r="B182" s="1">
        <v>45235</v>
      </c>
      <c r="C182" t="s">
        <v>1456</v>
      </c>
      <c r="D182" t="s">
        <v>1609</v>
      </c>
      <c r="E182" t="s">
        <v>1777</v>
      </c>
      <c r="F182">
        <v>3</v>
      </c>
      <c r="G182">
        <v>954.29</v>
      </c>
      <c r="H182">
        <v>0.27</v>
      </c>
      <c r="I182" t="s">
        <v>1807</v>
      </c>
      <c r="J182">
        <v>2089.8951000000002</v>
      </c>
    </row>
    <row r="183" spans="1:10" x14ac:dyDescent="0.3">
      <c r="A183" t="s">
        <v>1990</v>
      </c>
      <c r="B183" s="1">
        <v>45710</v>
      </c>
      <c r="C183" t="s">
        <v>1409</v>
      </c>
      <c r="D183" t="s">
        <v>1597</v>
      </c>
      <c r="E183" t="s">
        <v>1780</v>
      </c>
      <c r="F183">
        <v>3</v>
      </c>
      <c r="G183">
        <v>53.92</v>
      </c>
      <c r="H183">
        <v>0.15</v>
      </c>
      <c r="I183" t="s">
        <v>1809</v>
      </c>
      <c r="J183">
        <v>137.49600000000001</v>
      </c>
    </row>
    <row r="184" spans="1:10" x14ac:dyDescent="0.3">
      <c r="A184" t="s">
        <v>1991</v>
      </c>
      <c r="B184" s="1">
        <v>45753</v>
      </c>
      <c r="C184" t="s">
        <v>1222</v>
      </c>
      <c r="D184" t="s">
        <v>1599</v>
      </c>
      <c r="E184" t="s">
        <v>1735</v>
      </c>
      <c r="F184">
        <v>4</v>
      </c>
      <c r="G184">
        <v>741.88</v>
      </c>
      <c r="H184">
        <v>0.02</v>
      </c>
      <c r="I184" t="s">
        <v>1812</v>
      </c>
      <c r="J184">
        <v>2908.1696000000002</v>
      </c>
    </row>
    <row r="185" spans="1:10" x14ac:dyDescent="0.3">
      <c r="A185" t="s">
        <v>1992</v>
      </c>
      <c r="B185" s="1">
        <v>45594</v>
      </c>
      <c r="C185" t="s">
        <v>134</v>
      </c>
      <c r="D185" t="s">
        <v>1623</v>
      </c>
      <c r="E185" t="s">
        <v>1749</v>
      </c>
      <c r="F185">
        <v>1</v>
      </c>
      <c r="G185">
        <v>547.09</v>
      </c>
      <c r="H185">
        <v>0.01</v>
      </c>
      <c r="I185" t="s">
        <v>1809</v>
      </c>
      <c r="J185">
        <v>541.6191</v>
      </c>
    </row>
    <row r="186" spans="1:10" x14ac:dyDescent="0.3">
      <c r="A186" t="s">
        <v>1993</v>
      </c>
      <c r="B186" s="1">
        <v>45686</v>
      </c>
      <c r="C186" t="s">
        <v>1487</v>
      </c>
      <c r="D186" t="s">
        <v>1709</v>
      </c>
      <c r="E186" t="s">
        <v>1749</v>
      </c>
      <c r="F186">
        <v>1</v>
      </c>
      <c r="G186">
        <v>789.35</v>
      </c>
      <c r="H186">
        <v>0.14000000000000001</v>
      </c>
      <c r="I186" t="s">
        <v>1809</v>
      </c>
      <c r="J186">
        <v>678.84100000000001</v>
      </c>
    </row>
    <row r="187" spans="1:10" x14ac:dyDescent="0.3">
      <c r="A187" t="s">
        <v>1994</v>
      </c>
      <c r="B187" s="1">
        <v>45354</v>
      </c>
      <c r="C187" t="s">
        <v>1312</v>
      </c>
      <c r="D187" t="s">
        <v>1657</v>
      </c>
      <c r="E187" t="s">
        <v>1749</v>
      </c>
      <c r="F187">
        <v>3</v>
      </c>
      <c r="G187">
        <v>476.78</v>
      </c>
      <c r="H187">
        <v>0.09</v>
      </c>
      <c r="I187" t="s">
        <v>1812</v>
      </c>
      <c r="J187">
        <v>1301.6094000000001</v>
      </c>
    </row>
    <row r="188" spans="1:10" x14ac:dyDescent="0.3">
      <c r="A188" t="s">
        <v>1995</v>
      </c>
      <c r="B188" s="1">
        <v>45600</v>
      </c>
      <c r="C188" t="s">
        <v>1384</v>
      </c>
      <c r="D188" t="s">
        <v>1689</v>
      </c>
      <c r="E188" t="s">
        <v>1793</v>
      </c>
      <c r="F188">
        <v>2</v>
      </c>
      <c r="G188">
        <v>504.26</v>
      </c>
      <c r="H188">
        <v>0.04</v>
      </c>
      <c r="I188" t="s">
        <v>1809</v>
      </c>
      <c r="J188">
        <v>968.17919999999992</v>
      </c>
    </row>
    <row r="189" spans="1:10" x14ac:dyDescent="0.3">
      <c r="A189" t="s">
        <v>1996</v>
      </c>
      <c r="B189" s="1">
        <v>45538</v>
      </c>
      <c r="C189" t="s">
        <v>858</v>
      </c>
      <c r="D189" t="s">
        <v>1693</v>
      </c>
      <c r="E189" t="s">
        <v>1759</v>
      </c>
      <c r="F189">
        <v>2</v>
      </c>
      <c r="G189">
        <v>549.33000000000004</v>
      </c>
      <c r="H189">
        <v>0.01</v>
      </c>
      <c r="I189" t="s">
        <v>1812</v>
      </c>
      <c r="J189">
        <v>1087.6733999999999</v>
      </c>
    </row>
    <row r="190" spans="1:10" x14ac:dyDescent="0.3">
      <c r="A190" t="s">
        <v>1997</v>
      </c>
      <c r="B190" s="1">
        <v>45411</v>
      </c>
      <c r="C190" t="s">
        <v>1180</v>
      </c>
      <c r="D190" t="s">
        <v>1536</v>
      </c>
      <c r="E190" t="s">
        <v>1749</v>
      </c>
      <c r="F190">
        <v>3</v>
      </c>
      <c r="G190">
        <v>620.22</v>
      </c>
      <c r="H190">
        <v>0.04</v>
      </c>
      <c r="I190" t="s">
        <v>1807</v>
      </c>
      <c r="J190">
        <v>1786.2336</v>
      </c>
    </row>
    <row r="191" spans="1:10" x14ac:dyDescent="0.3">
      <c r="A191" t="s">
        <v>1998</v>
      </c>
      <c r="B191" s="1">
        <v>45411</v>
      </c>
      <c r="C191" t="s">
        <v>324</v>
      </c>
      <c r="D191" t="s">
        <v>1623</v>
      </c>
      <c r="E191" t="s">
        <v>1749</v>
      </c>
      <c r="F191">
        <v>1</v>
      </c>
      <c r="G191">
        <v>580.76</v>
      </c>
      <c r="H191">
        <v>0.1</v>
      </c>
      <c r="I191" t="s">
        <v>1812</v>
      </c>
      <c r="J191">
        <v>522.68399999999997</v>
      </c>
    </row>
    <row r="192" spans="1:10" x14ac:dyDescent="0.3">
      <c r="A192" t="s">
        <v>1999</v>
      </c>
      <c r="B192" s="1">
        <v>45775</v>
      </c>
      <c r="C192" t="s">
        <v>1039</v>
      </c>
      <c r="D192" t="s">
        <v>1673</v>
      </c>
      <c r="E192" t="s">
        <v>1769</v>
      </c>
      <c r="F192">
        <v>3</v>
      </c>
      <c r="G192">
        <v>444.55</v>
      </c>
      <c r="H192">
        <v>0.14000000000000001</v>
      </c>
      <c r="I192" t="s">
        <v>1809</v>
      </c>
      <c r="J192">
        <v>1146.9390000000001</v>
      </c>
    </row>
    <row r="193" spans="1:10" x14ac:dyDescent="0.3">
      <c r="A193" t="s">
        <v>2000</v>
      </c>
      <c r="B193" s="1">
        <v>45459</v>
      </c>
      <c r="C193" t="s">
        <v>465</v>
      </c>
      <c r="D193" t="s">
        <v>1623</v>
      </c>
      <c r="E193" t="s">
        <v>1793</v>
      </c>
      <c r="F193">
        <v>1</v>
      </c>
      <c r="G193">
        <v>804.9</v>
      </c>
      <c r="H193">
        <v>0.03</v>
      </c>
      <c r="I193" t="s">
        <v>1809</v>
      </c>
      <c r="J193">
        <v>780.75299999999993</v>
      </c>
    </row>
    <row r="194" spans="1:10" x14ac:dyDescent="0.3">
      <c r="A194" t="s">
        <v>2001</v>
      </c>
      <c r="B194" s="1">
        <v>45617</v>
      </c>
      <c r="C194" t="s">
        <v>1300</v>
      </c>
      <c r="D194" t="s">
        <v>1715</v>
      </c>
      <c r="E194" t="s">
        <v>1782</v>
      </c>
      <c r="F194">
        <v>3</v>
      </c>
      <c r="G194">
        <v>361.65</v>
      </c>
      <c r="H194">
        <v>0.15</v>
      </c>
      <c r="I194" t="s">
        <v>1812</v>
      </c>
      <c r="J194">
        <v>922.20749999999987</v>
      </c>
    </row>
    <row r="195" spans="1:10" x14ac:dyDescent="0.3">
      <c r="A195" t="s">
        <v>2002</v>
      </c>
      <c r="B195" s="1">
        <v>45763</v>
      </c>
      <c r="C195" t="s">
        <v>536</v>
      </c>
      <c r="D195" t="s">
        <v>1543</v>
      </c>
      <c r="E195" t="s">
        <v>1752</v>
      </c>
      <c r="F195">
        <v>1</v>
      </c>
      <c r="G195">
        <v>271.76</v>
      </c>
      <c r="H195">
        <v>0.03</v>
      </c>
      <c r="I195" t="s">
        <v>1807</v>
      </c>
      <c r="J195">
        <v>263.60719999999998</v>
      </c>
    </row>
    <row r="196" spans="1:10" x14ac:dyDescent="0.3">
      <c r="A196" t="s">
        <v>2003</v>
      </c>
      <c r="B196" s="1">
        <v>45618</v>
      </c>
      <c r="C196" t="s">
        <v>1007</v>
      </c>
      <c r="D196" t="s">
        <v>1629</v>
      </c>
      <c r="E196" t="s">
        <v>1772</v>
      </c>
      <c r="F196">
        <v>3</v>
      </c>
      <c r="G196">
        <v>958.15</v>
      </c>
      <c r="H196">
        <v>0.24</v>
      </c>
      <c r="I196" t="s">
        <v>1812</v>
      </c>
      <c r="J196">
        <v>2184.5819999999999</v>
      </c>
    </row>
    <row r="197" spans="1:10" x14ac:dyDescent="0.3">
      <c r="A197" t="s">
        <v>2004</v>
      </c>
      <c r="B197" s="1">
        <v>45290</v>
      </c>
      <c r="C197" t="s">
        <v>1309</v>
      </c>
      <c r="D197" t="s">
        <v>1651</v>
      </c>
      <c r="E197" t="s">
        <v>1790</v>
      </c>
      <c r="F197">
        <v>1</v>
      </c>
      <c r="G197">
        <v>889.19</v>
      </c>
      <c r="H197">
        <v>0.03</v>
      </c>
      <c r="I197" t="s">
        <v>1807</v>
      </c>
      <c r="J197">
        <v>862.51430000000005</v>
      </c>
    </row>
    <row r="198" spans="1:10" x14ac:dyDescent="0.3">
      <c r="A198" t="s">
        <v>2005</v>
      </c>
      <c r="B198" s="1">
        <v>45904</v>
      </c>
      <c r="C198" t="s">
        <v>1415</v>
      </c>
      <c r="D198" t="s">
        <v>1645</v>
      </c>
      <c r="E198" t="s">
        <v>1787</v>
      </c>
      <c r="F198">
        <v>4</v>
      </c>
      <c r="G198">
        <v>689.67</v>
      </c>
      <c r="H198">
        <v>0.05</v>
      </c>
      <c r="I198" t="s">
        <v>1812</v>
      </c>
      <c r="J198">
        <v>2620.7460000000001</v>
      </c>
    </row>
    <row r="199" spans="1:10" x14ac:dyDescent="0.3">
      <c r="A199" t="s">
        <v>2006</v>
      </c>
      <c r="B199" s="1">
        <v>45227</v>
      </c>
      <c r="C199" t="s">
        <v>456</v>
      </c>
      <c r="D199" t="s">
        <v>1619</v>
      </c>
      <c r="E199" t="s">
        <v>1775</v>
      </c>
      <c r="F199">
        <v>1</v>
      </c>
      <c r="G199">
        <v>541.24</v>
      </c>
      <c r="H199">
        <v>0.03</v>
      </c>
      <c r="I199" t="s">
        <v>1809</v>
      </c>
      <c r="J199">
        <v>525.00279999999998</v>
      </c>
    </row>
    <row r="200" spans="1:10" x14ac:dyDescent="0.3">
      <c r="A200" t="s">
        <v>2007</v>
      </c>
      <c r="B200" s="1">
        <v>45600</v>
      </c>
      <c r="C200" t="s">
        <v>1370</v>
      </c>
      <c r="D200" t="s">
        <v>1693</v>
      </c>
      <c r="E200" t="s">
        <v>1759</v>
      </c>
      <c r="F200">
        <v>1</v>
      </c>
      <c r="G200">
        <v>454.71</v>
      </c>
      <c r="H200">
        <v>0.16</v>
      </c>
      <c r="I200" t="s">
        <v>1809</v>
      </c>
      <c r="J200">
        <v>381.95639999999997</v>
      </c>
    </row>
    <row r="201" spans="1:10" x14ac:dyDescent="0.3">
      <c r="A201" t="s">
        <v>2008</v>
      </c>
      <c r="B201" s="1">
        <v>45646</v>
      </c>
      <c r="C201" t="s">
        <v>149</v>
      </c>
      <c r="D201" t="s">
        <v>1663</v>
      </c>
      <c r="E201" t="s">
        <v>1756</v>
      </c>
      <c r="F201">
        <v>2</v>
      </c>
      <c r="G201">
        <v>397.63</v>
      </c>
      <c r="H201">
        <v>0.26</v>
      </c>
      <c r="I201" t="s">
        <v>1807</v>
      </c>
      <c r="J201">
        <v>588.49239999999998</v>
      </c>
    </row>
    <row r="202" spans="1:10" x14ac:dyDescent="0.3">
      <c r="A202" t="s">
        <v>2009</v>
      </c>
      <c r="B202" s="1">
        <v>45725</v>
      </c>
      <c r="C202" t="s">
        <v>560</v>
      </c>
      <c r="D202" t="s">
        <v>1697</v>
      </c>
      <c r="E202" t="s">
        <v>1759</v>
      </c>
      <c r="F202">
        <v>3</v>
      </c>
      <c r="G202">
        <v>748.56</v>
      </c>
      <c r="H202">
        <v>0.26</v>
      </c>
      <c r="I202" t="s">
        <v>1809</v>
      </c>
      <c r="J202">
        <v>1661.8032000000001</v>
      </c>
    </row>
    <row r="203" spans="1:10" x14ac:dyDescent="0.3">
      <c r="A203" t="s">
        <v>2010</v>
      </c>
      <c r="B203" s="1">
        <v>45742</v>
      </c>
      <c r="C203" t="s">
        <v>482</v>
      </c>
      <c r="D203" t="s">
        <v>1597</v>
      </c>
      <c r="E203" t="s">
        <v>1752</v>
      </c>
      <c r="F203">
        <v>1</v>
      </c>
      <c r="G203">
        <v>885.72</v>
      </c>
      <c r="H203">
        <v>0.15</v>
      </c>
      <c r="I203" t="s">
        <v>1807</v>
      </c>
      <c r="J203">
        <v>752.86199999999997</v>
      </c>
    </row>
    <row r="204" spans="1:10" x14ac:dyDescent="0.3">
      <c r="A204" t="s">
        <v>2011</v>
      </c>
      <c r="B204" s="1">
        <v>45750</v>
      </c>
      <c r="C204" t="s">
        <v>376</v>
      </c>
      <c r="D204" t="s">
        <v>1655</v>
      </c>
      <c r="E204" t="s">
        <v>1740</v>
      </c>
      <c r="F204">
        <v>4</v>
      </c>
      <c r="G204">
        <v>408.07</v>
      </c>
      <c r="H204">
        <v>0.28000000000000003</v>
      </c>
      <c r="I204" t="s">
        <v>1812</v>
      </c>
      <c r="J204">
        <v>1175.2416000000001</v>
      </c>
    </row>
    <row r="205" spans="1:10" x14ac:dyDescent="0.3">
      <c r="A205" t="s">
        <v>2012</v>
      </c>
      <c r="B205" s="1">
        <v>45327</v>
      </c>
      <c r="C205" t="s">
        <v>1439</v>
      </c>
      <c r="D205" t="s">
        <v>1599</v>
      </c>
      <c r="E205" t="s">
        <v>1769</v>
      </c>
      <c r="F205">
        <v>2</v>
      </c>
      <c r="G205">
        <v>597.07000000000005</v>
      </c>
      <c r="H205">
        <v>0.28000000000000003</v>
      </c>
      <c r="I205" t="s">
        <v>1809</v>
      </c>
      <c r="J205">
        <v>859.7808</v>
      </c>
    </row>
    <row r="206" spans="1:10" x14ac:dyDescent="0.3">
      <c r="A206" t="s">
        <v>2013</v>
      </c>
      <c r="B206" s="1">
        <v>45465</v>
      </c>
      <c r="C206" t="s">
        <v>97</v>
      </c>
      <c r="D206" t="s">
        <v>1665</v>
      </c>
      <c r="E206" t="s">
        <v>1769</v>
      </c>
      <c r="F206">
        <v>3</v>
      </c>
      <c r="G206">
        <v>723.47</v>
      </c>
      <c r="H206">
        <v>0.12</v>
      </c>
      <c r="I206" t="s">
        <v>1812</v>
      </c>
      <c r="J206">
        <v>1909.9608000000001</v>
      </c>
    </row>
    <row r="207" spans="1:10" x14ac:dyDescent="0.3">
      <c r="A207" t="s">
        <v>2014</v>
      </c>
      <c r="B207" s="1">
        <v>45883</v>
      </c>
      <c r="C207" t="s">
        <v>1339</v>
      </c>
      <c r="D207" t="s">
        <v>1707</v>
      </c>
      <c r="E207" t="s">
        <v>1756</v>
      </c>
      <c r="F207">
        <v>1</v>
      </c>
      <c r="G207">
        <v>479.93</v>
      </c>
      <c r="H207">
        <v>0.22</v>
      </c>
      <c r="I207" t="s">
        <v>1807</v>
      </c>
      <c r="J207">
        <v>374.34539999999998</v>
      </c>
    </row>
    <row r="208" spans="1:10" x14ac:dyDescent="0.3">
      <c r="A208" t="s">
        <v>2015</v>
      </c>
      <c r="B208" s="1">
        <v>45445</v>
      </c>
      <c r="C208" t="s">
        <v>773</v>
      </c>
      <c r="D208" t="s">
        <v>1599</v>
      </c>
      <c r="E208" t="s">
        <v>1787</v>
      </c>
      <c r="F208">
        <v>4</v>
      </c>
      <c r="G208">
        <v>362.81</v>
      </c>
      <c r="H208">
        <v>0.21</v>
      </c>
      <c r="I208" t="s">
        <v>1812</v>
      </c>
      <c r="J208">
        <v>1146.4795999999999</v>
      </c>
    </row>
    <row r="209" spans="1:10" x14ac:dyDescent="0.3">
      <c r="A209" t="s">
        <v>2016</v>
      </c>
      <c r="B209" s="1">
        <v>45640</v>
      </c>
      <c r="C209" t="s">
        <v>604</v>
      </c>
      <c r="D209" t="s">
        <v>1689</v>
      </c>
      <c r="E209" t="s">
        <v>1749</v>
      </c>
      <c r="F209">
        <v>1</v>
      </c>
      <c r="G209">
        <v>127.11</v>
      </c>
      <c r="H209">
        <v>0.01</v>
      </c>
      <c r="I209" t="s">
        <v>1809</v>
      </c>
      <c r="J209">
        <v>125.8389</v>
      </c>
    </row>
    <row r="210" spans="1:10" x14ac:dyDescent="0.3">
      <c r="A210" t="s">
        <v>2017</v>
      </c>
      <c r="B210" s="1">
        <v>45411</v>
      </c>
      <c r="C210" t="s">
        <v>601</v>
      </c>
      <c r="D210" t="s">
        <v>1599</v>
      </c>
      <c r="E210" t="s">
        <v>1790</v>
      </c>
      <c r="F210">
        <v>4</v>
      </c>
      <c r="G210">
        <v>931.26</v>
      </c>
      <c r="H210">
        <v>0.04</v>
      </c>
      <c r="I210" t="s">
        <v>1807</v>
      </c>
      <c r="J210">
        <v>3576.0383999999999</v>
      </c>
    </row>
    <row r="211" spans="1:10" x14ac:dyDescent="0.3">
      <c r="A211" t="s">
        <v>2018</v>
      </c>
      <c r="B211" s="1">
        <v>45224</v>
      </c>
      <c r="C211" t="s">
        <v>1147</v>
      </c>
      <c r="D211" t="s">
        <v>1665</v>
      </c>
      <c r="E211" t="s">
        <v>1765</v>
      </c>
      <c r="F211">
        <v>1</v>
      </c>
      <c r="G211">
        <v>620.80999999999995</v>
      </c>
      <c r="H211">
        <v>0.04</v>
      </c>
      <c r="I211" t="s">
        <v>1809</v>
      </c>
      <c r="J211">
        <v>595.97759999999994</v>
      </c>
    </row>
    <row r="212" spans="1:10" x14ac:dyDescent="0.3">
      <c r="A212" t="s">
        <v>2019</v>
      </c>
      <c r="B212" s="1">
        <v>45497</v>
      </c>
      <c r="C212" t="s">
        <v>333</v>
      </c>
      <c r="D212" t="s">
        <v>1631</v>
      </c>
      <c r="E212" t="s">
        <v>1744</v>
      </c>
      <c r="F212">
        <v>1</v>
      </c>
      <c r="G212">
        <v>823.26</v>
      </c>
      <c r="H212">
        <v>0.27</v>
      </c>
      <c r="I212" t="s">
        <v>1812</v>
      </c>
      <c r="J212">
        <v>600.97979999999995</v>
      </c>
    </row>
    <row r="213" spans="1:10" x14ac:dyDescent="0.3">
      <c r="A213" t="s">
        <v>2020</v>
      </c>
      <c r="B213" s="1">
        <v>45807</v>
      </c>
      <c r="C213" t="s">
        <v>59</v>
      </c>
      <c r="D213" t="s">
        <v>1585</v>
      </c>
      <c r="E213" t="s">
        <v>1765</v>
      </c>
      <c r="F213">
        <v>3</v>
      </c>
      <c r="G213">
        <v>681.01</v>
      </c>
      <c r="H213">
        <v>0.27</v>
      </c>
      <c r="I213" t="s">
        <v>1812</v>
      </c>
      <c r="J213">
        <v>1491.4119000000001</v>
      </c>
    </row>
    <row r="214" spans="1:10" x14ac:dyDescent="0.3">
      <c r="A214" t="s">
        <v>2021</v>
      </c>
      <c r="B214" s="1">
        <v>45942</v>
      </c>
      <c r="C214" t="s">
        <v>1352</v>
      </c>
      <c r="D214" t="s">
        <v>1643</v>
      </c>
      <c r="E214" t="s">
        <v>1796</v>
      </c>
      <c r="F214">
        <v>4</v>
      </c>
      <c r="G214">
        <v>119.83</v>
      </c>
      <c r="H214">
        <v>0.13</v>
      </c>
      <c r="I214" t="s">
        <v>1807</v>
      </c>
      <c r="J214">
        <v>417.00839999999999</v>
      </c>
    </row>
    <row r="215" spans="1:10" x14ac:dyDescent="0.3">
      <c r="A215" t="s">
        <v>2022</v>
      </c>
      <c r="B215" s="1">
        <v>45314</v>
      </c>
      <c r="C215" t="s">
        <v>959</v>
      </c>
      <c r="D215" t="s">
        <v>1687</v>
      </c>
      <c r="E215" t="s">
        <v>1744</v>
      </c>
      <c r="F215">
        <v>1</v>
      </c>
      <c r="G215">
        <v>575.66</v>
      </c>
      <c r="H215">
        <v>0.03</v>
      </c>
      <c r="I215" t="s">
        <v>1809</v>
      </c>
      <c r="J215">
        <v>558.39019999999994</v>
      </c>
    </row>
    <row r="216" spans="1:10" x14ac:dyDescent="0.3">
      <c r="A216" t="s">
        <v>2023</v>
      </c>
      <c r="B216" s="1">
        <v>45943</v>
      </c>
      <c r="C216" t="s">
        <v>645</v>
      </c>
      <c r="D216" t="s">
        <v>1627</v>
      </c>
      <c r="E216" t="s">
        <v>1787</v>
      </c>
      <c r="F216">
        <v>1</v>
      </c>
      <c r="G216">
        <v>775.84</v>
      </c>
      <c r="H216">
        <v>0.26</v>
      </c>
      <c r="I216" t="s">
        <v>1807</v>
      </c>
      <c r="J216">
        <v>574.12160000000006</v>
      </c>
    </row>
    <row r="217" spans="1:10" x14ac:dyDescent="0.3">
      <c r="A217" t="s">
        <v>2024</v>
      </c>
      <c r="B217" s="1">
        <v>45356</v>
      </c>
      <c r="C217" t="s">
        <v>1355</v>
      </c>
      <c r="D217" t="s">
        <v>1559</v>
      </c>
      <c r="E217" t="s">
        <v>1769</v>
      </c>
      <c r="F217">
        <v>3</v>
      </c>
      <c r="G217">
        <v>318.43</v>
      </c>
      <c r="H217">
        <v>0.05</v>
      </c>
      <c r="I217" t="s">
        <v>1807</v>
      </c>
      <c r="J217">
        <v>907.52549999999997</v>
      </c>
    </row>
    <row r="218" spans="1:10" x14ac:dyDescent="0.3">
      <c r="A218" t="s">
        <v>2025</v>
      </c>
      <c r="B218" s="1">
        <v>45854</v>
      </c>
      <c r="C218" t="s">
        <v>509</v>
      </c>
      <c r="D218" t="s">
        <v>1675</v>
      </c>
      <c r="E218" t="s">
        <v>1765</v>
      </c>
      <c r="F218">
        <v>3</v>
      </c>
      <c r="G218">
        <v>141.6</v>
      </c>
      <c r="H218">
        <v>0.08</v>
      </c>
      <c r="I218" t="s">
        <v>1812</v>
      </c>
      <c r="J218">
        <v>390.81599999999997</v>
      </c>
    </row>
    <row r="219" spans="1:10" x14ac:dyDescent="0.3">
      <c r="A219" t="s">
        <v>2026</v>
      </c>
      <c r="B219" s="1">
        <v>45219</v>
      </c>
      <c r="C219" t="s">
        <v>842</v>
      </c>
      <c r="D219" t="s">
        <v>1561</v>
      </c>
      <c r="E219" t="s">
        <v>1796</v>
      </c>
      <c r="F219">
        <v>1</v>
      </c>
      <c r="G219">
        <v>332.82</v>
      </c>
      <c r="H219">
        <v>0.14000000000000001</v>
      </c>
      <c r="I219" t="s">
        <v>1809</v>
      </c>
      <c r="J219">
        <v>286.22519999999997</v>
      </c>
    </row>
    <row r="220" spans="1:10" x14ac:dyDescent="0.3">
      <c r="A220" t="s">
        <v>2027</v>
      </c>
      <c r="B220" s="1">
        <v>45447</v>
      </c>
      <c r="C220" t="s">
        <v>782</v>
      </c>
      <c r="D220" t="s">
        <v>1675</v>
      </c>
      <c r="E220" t="s">
        <v>1740</v>
      </c>
      <c r="F220">
        <v>4</v>
      </c>
      <c r="G220">
        <v>640.97</v>
      </c>
      <c r="H220">
        <v>0.11</v>
      </c>
      <c r="I220" t="s">
        <v>1812</v>
      </c>
      <c r="J220">
        <v>2281.8532</v>
      </c>
    </row>
    <row r="221" spans="1:10" x14ac:dyDescent="0.3">
      <c r="A221" t="s">
        <v>2028</v>
      </c>
      <c r="B221" s="1">
        <v>45225</v>
      </c>
      <c r="C221" t="s">
        <v>657</v>
      </c>
      <c r="D221" t="s">
        <v>1711</v>
      </c>
      <c r="E221" t="s">
        <v>1784</v>
      </c>
      <c r="F221">
        <v>4</v>
      </c>
      <c r="G221">
        <v>75.37</v>
      </c>
      <c r="H221">
        <v>0.02</v>
      </c>
      <c r="I221" t="s">
        <v>1812</v>
      </c>
      <c r="J221">
        <v>295.4504</v>
      </c>
    </row>
    <row r="222" spans="1:10" x14ac:dyDescent="0.3">
      <c r="A222" t="s">
        <v>2029</v>
      </c>
      <c r="B222" s="1">
        <v>45754</v>
      </c>
      <c r="C222" t="s">
        <v>272</v>
      </c>
      <c r="D222" t="s">
        <v>1563</v>
      </c>
      <c r="E222" t="s">
        <v>1793</v>
      </c>
      <c r="F222">
        <v>3</v>
      </c>
      <c r="G222">
        <v>434.55</v>
      </c>
      <c r="H222">
        <v>0.08</v>
      </c>
      <c r="I222" t="s">
        <v>1812</v>
      </c>
      <c r="J222">
        <v>1199.3579999999999</v>
      </c>
    </row>
    <row r="223" spans="1:10" x14ac:dyDescent="0.3">
      <c r="A223" t="s">
        <v>2030</v>
      </c>
      <c r="B223" s="1">
        <v>45729</v>
      </c>
      <c r="C223" t="s">
        <v>348</v>
      </c>
      <c r="D223" t="s">
        <v>1583</v>
      </c>
      <c r="E223" t="s">
        <v>1782</v>
      </c>
      <c r="F223">
        <v>4</v>
      </c>
      <c r="G223">
        <v>652.28</v>
      </c>
      <c r="H223">
        <v>0.15</v>
      </c>
      <c r="I223" t="s">
        <v>1807</v>
      </c>
      <c r="J223">
        <v>2217.752</v>
      </c>
    </row>
    <row r="224" spans="1:10" x14ac:dyDescent="0.3">
      <c r="A224" t="s">
        <v>2031</v>
      </c>
      <c r="B224" s="1">
        <v>45480</v>
      </c>
      <c r="C224" t="s">
        <v>850</v>
      </c>
      <c r="D224" t="s">
        <v>1683</v>
      </c>
      <c r="E224" t="s">
        <v>1790</v>
      </c>
      <c r="F224">
        <v>3</v>
      </c>
      <c r="G224">
        <v>207.8</v>
      </c>
      <c r="H224">
        <v>0.15</v>
      </c>
      <c r="I224" t="s">
        <v>1807</v>
      </c>
      <c r="J224">
        <v>529.8900000000001</v>
      </c>
    </row>
    <row r="225" spans="1:10" x14ac:dyDescent="0.3">
      <c r="A225" t="s">
        <v>2032</v>
      </c>
      <c r="B225" s="1">
        <v>45361</v>
      </c>
      <c r="C225" t="s">
        <v>1504</v>
      </c>
      <c r="D225" t="s">
        <v>1653</v>
      </c>
      <c r="E225" t="s">
        <v>1784</v>
      </c>
      <c r="F225">
        <v>4</v>
      </c>
      <c r="G225">
        <v>385.5</v>
      </c>
      <c r="H225">
        <v>0.03</v>
      </c>
      <c r="I225" t="s">
        <v>1809</v>
      </c>
      <c r="J225">
        <v>1495.74</v>
      </c>
    </row>
    <row r="226" spans="1:10" x14ac:dyDescent="0.3">
      <c r="A226" t="s">
        <v>2033</v>
      </c>
      <c r="B226" s="1">
        <v>45915</v>
      </c>
      <c r="C226" t="s">
        <v>339</v>
      </c>
      <c r="D226" t="s">
        <v>1661</v>
      </c>
      <c r="E226" t="s">
        <v>1759</v>
      </c>
      <c r="F226">
        <v>3</v>
      </c>
      <c r="G226">
        <v>548.19000000000005</v>
      </c>
      <c r="H226">
        <v>0.12</v>
      </c>
      <c r="I226" t="s">
        <v>1807</v>
      </c>
      <c r="J226">
        <v>1447.2216000000001</v>
      </c>
    </row>
    <row r="227" spans="1:10" x14ac:dyDescent="0.3">
      <c r="A227" t="s">
        <v>2034</v>
      </c>
      <c r="B227" s="1">
        <v>45607</v>
      </c>
      <c r="C227" t="s">
        <v>252</v>
      </c>
      <c r="D227" t="s">
        <v>1677</v>
      </c>
      <c r="E227" t="s">
        <v>1769</v>
      </c>
      <c r="F227">
        <v>3</v>
      </c>
      <c r="G227">
        <v>927.6</v>
      </c>
      <c r="H227">
        <v>0.09</v>
      </c>
      <c r="I227" t="s">
        <v>1807</v>
      </c>
      <c r="J227">
        <v>2532.348</v>
      </c>
    </row>
    <row r="228" spans="1:10" x14ac:dyDescent="0.3">
      <c r="A228" t="s">
        <v>2035</v>
      </c>
      <c r="B228" s="1">
        <v>45666</v>
      </c>
      <c r="C228" t="s">
        <v>842</v>
      </c>
      <c r="D228" t="s">
        <v>1653</v>
      </c>
      <c r="E228" t="s">
        <v>1749</v>
      </c>
      <c r="F228">
        <v>4</v>
      </c>
      <c r="G228">
        <v>585.04</v>
      </c>
      <c r="H228">
        <v>0.22</v>
      </c>
      <c r="I228" t="s">
        <v>1809</v>
      </c>
      <c r="J228">
        <v>1825.3248000000001</v>
      </c>
    </row>
    <row r="229" spans="1:10" x14ac:dyDescent="0.3">
      <c r="A229" t="s">
        <v>2036</v>
      </c>
      <c r="B229" s="1">
        <v>45406</v>
      </c>
      <c r="C229" t="s">
        <v>1516</v>
      </c>
      <c r="D229" t="s">
        <v>1609</v>
      </c>
      <c r="E229" t="s">
        <v>1744</v>
      </c>
      <c r="F229">
        <v>2</v>
      </c>
      <c r="G229">
        <v>999.89</v>
      </c>
      <c r="H229">
        <v>0.09</v>
      </c>
      <c r="I229" t="s">
        <v>1807</v>
      </c>
      <c r="J229">
        <v>1819.7998</v>
      </c>
    </row>
    <row r="230" spans="1:10" x14ac:dyDescent="0.3">
      <c r="A230" t="s">
        <v>2037</v>
      </c>
      <c r="B230" s="1">
        <v>45284</v>
      </c>
      <c r="C230" t="s">
        <v>373</v>
      </c>
      <c r="D230" t="s">
        <v>1681</v>
      </c>
      <c r="E230" t="s">
        <v>1749</v>
      </c>
      <c r="F230">
        <v>2</v>
      </c>
      <c r="G230">
        <v>848.98</v>
      </c>
      <c r="H230">
        <v>0.04</v>
      </c>
      <c r="I230" t="s">
        <v>1809</v>
      </c>
      <c r="J230">
        <v>1630.0416</v>
      </c>
    </row>
    <row r="231" spans="1:10" x14ac:dyDescent="0.3">
      <c r="A231" t="s">
        <v>2038</v>
      </c>
      <c r="B231" s="1">
        <v>45348</v>
      </c>
      <c r="C231" t="s">
        <v>476</v>
      </c>
      <c r="D231" t="s">
        <v>1651</v>
      </c>
      <c r="E231" t="s">
        <v>1782</v>
      </c>
      <c r="F231">
        <v>3</v>
      </c>
      <c r="G231">
        <v>769.56</v>
      </c>
      <c r="H231">
        <v>0.08</v>
      </c>
      <c r="I231" t="s">
        <v>1807</v>
      </c>
      <c r="J231">
        <v>2123.9856</v>
      </c>
    </row>
    <row r="232" spans="1:10" x14ac:dyDescent="0.3">
      <c r="A232" t="s">
        <v>2039</v>
      </c>
      <c r="B232" s="1">
        <v>45676</v>
      </c>
      <c r="C232" t="s">
        <v>185</v>
      </c>
      <c r="D232" t="s">
        <v>1627</v>
      </c>
      <c r="E232" t="s">
        <v>1780</v>
      </c>
      <c r="F232">
        <v>3</v>
      </c>
      <c r="G232">
        <v>449.88</v>
      </c>
      <c r="H232">
        <v>0.1</v>
      </c>
      <c r="I232" t="s">
        <v>1809</v>
      </c>
      <c r="J232">
        <v>1214.6759999999999</v>
      </c>
    </row>
    <row r="233" spans="1:10" x14ac:dyDescent="0.3">
      <c r="A233" t="s">
        <v>2040</v>
      </c>
      <c r="B233" s="1">
        <v>45863</v>
      </c>
      <c r="C233" t="s">
        <v>867</v>
      </c>
      <c r="D233" t="s">
        <v>1669</v>
      </c>
      <c r="E233" t="s">
        <v>1777</v>
      </c>
      <c r="F233">
        <v>4</v>
      </c>
      <c r="G233">
        <v>383.74</v>
      </c>
      <c r="H233">
        <v>0.01</v>
      </c>
      <c r="I233" t="s">
        <v>1807</v>
      </c>
      <c r="J233">
        <v>1519.6104</v>
      </c>
    </row>
    <row r="234" spans="1:10" x14ac:dyDescent="0.3">
      <c r="A234" t="s">
        <v>2041</v>
      </c>
      <c r="B234" s="1">
        <v>45409</v>
      </c>
      <c r="C234" t="s">
        <v>494</v>
      </c>
      <c r="D234" t="s">
        <v>1647</v>
      </c>
      <c r="E234" t="s">
        <v>1772</v>
      </c>
      <c r="F234">
        <v>4</v>
      </c>
      <c r="G234">
        <v>794.97</v>
      </c>
      <c r="H234">
        <v>0.24</v>
      </c>
      <c r="I234" t="s">
        <v>1809</v>
      </c>
      <c r="J234">
        <v>2416.7087999999999</v>
      </c>
    </row>
    <row r="235" spans="1:10" x14ac:dyDescent="0.3">
      <c r="A235" t="s">
        <v>2042</v>
      </c>
      <c r="B235" s="1">
        <v>45880</v>
      </c>
      <c r="C235" t="s">
        <v>52</v>
      </c>
      <c r="D235" t="s">
        <v>1689</v>
      </c>
      <c r="E235" t="s">
        <v>1756</v>
      </c>
      <c r="F235">
        <v>1</v>
      </c>
      <c r="G235">
        <v>989.63</v>
      </c>
      <c r="H235">
        <v>0.05</v>
      </c>
      <c r="I235" t="s">
        <v>1809</v>
      </c>
      <c r="J235">
        <v>940.1484999999999</v>
      </c>
    </row>
    <row r="236" spans="1:10" x14ac:dyDescent="0.3">
      <c r="A236" t="s">
        <v>2043</v>
      </c>
      <c r="B236" s="1">
        <v>45731</v>
      </c>
      <c r="C236" t="s">
        <v>1042</v>
      </c>
      <c r="D236" t="s">
        <v>1639</v>
      </c>
      <c r="E236" t="s">
        <v>1735</v>
      </c>
      <c r="F236">
        <v>1</v>
      </c>
      <c r="G236">
        <v>447.16</v>
      </c>
      <c r="H236">
        <v>0.22</v>
      </c>
      <c r="I236" t="s">
        <v>1812</v>
      </c>
      <c r="J236">
        <v>348.78480000000002</v>
      </c>
    </row>
    <row r="237" spans="1:10" x14ac:dyDescent="0.3">
      <c r="A237" t="s">
        <v>2044</v>
      </c>
      <c r="B237" s="1">
        <v>45671</v>
      </c>
      <c r="C237" t="s">
        <v>44</v>
      </c>
      <c r="D237" t="s">
        <v>1719</v>
      </c>
      <c r="E237" t="s">
        <v>1759</v>
      </c>
      <c r="F237">
        <v>1</v>
      </c>
      <c r="G237">
        <v>946.9</v>
      </c>
      <c r="H237">
        <v>0.28999999999999998</v>
      </c>
      <c r="I237" t="s">
        <v>1812</v>
      </c>
      <c r="J237">
        <v>672.29899999999998</v>
      </c>
    </row>
    <row r="238" spans="1:10" x14ac:dyDescent="0.3">
      <c r="A238" t="s">
        <v>2045</v>
      </c>
      <c r="B238" s="1">
        <v>45809</v>
      </c>
      <c r="C238" t="s">
        <v>557</v>
      </c>
      <c r="D238" t="s">
        <v>1565</v>
      </c>
      <c r="E238" t="s">
        <v>1735</v>
      </c>
      <c r="F238">
        <v>4</v>
      </c>
      <c r="G238">
        <v>469.68</v>
      </c>
      <c r="H238">
        <v>0.19</v>
      </c>
      <c r="I238" t="s">
        <v>1807</v>
      </c>
      <c r="J238">
        <v>1521.7632000000001</v>
      </c>
    </row>
    <row r="239" spans="1:10" x14ac:dyDescent="0.3">
      <c r="A239" t="s">
        <v>2046</v>
      </c>
      <c r="B239" s="1">
        <v>45559</v>
      </c>
      <c r="C239" t="s">
        <v>1501</v>
      </c>
      <c r="D239" t="s">
        <v>1587</v>
      </c>
      <c r="E239" t="s">
        <v>1790</v>
      </c>
      <c r="F239">
        <v>4</v>
      </c>
      <c r="G239">
        <v>320.64</v>
      </c>
      <c r="H239">
        <v>0.2</v>
      </c>
      <c r="I239" t="s">
        <v>1812</v>
      </c>
      <c r="J239">
        <v>1026.048</v>
      </c>
    </row>
    <row r="240" spans="1:10" x14ac:dyDescent="0.3">
      <c r="A240" t="s">
        <v>2047</v>
      </c>
      <c r="B240" s="1">
        <v>45253</v>
      </c>
      <c r="C240" t="s">
        <v>456</v>
      </c>
      <c r="D240" t="s">
        <v>1561</v>
      </c>
      <c r="E240" t="s">
        <v>1756</v>
      </c>
      <c r="F240">
        <v>1</v>
      </c>
      <c r="G240">
        <v>594.44000000000005</v>
      </c>
      <c r="H240">
        <v>0.21</v>
      </c>
      <c r="I240" t="s">
        <v>1807</v>
      </c>
      <c r="J240">
        <v>469.60759999999999</v>
      </c>
    </row>
    <row r="241" spans="1:10" x14ac:dyDescent="0.3">
      <c r="A241" t="s">
        <v>2048</v>
      </c>
      <c r="B241" s="1">
        <v>45861</v>
      </c>
      <c r="C241" t="s">
        <v>696</v>
      </c>
      <c r="D241" t="s">
        <v>1703</v>
      </c>
      <c r="E241" t="s">
        <v>1765</v>
      </c>
      <c r="F241">
        <v>3</v>
      </c>
      <c r="G241">
        <v>91.7</v>
      </c>
      <c r="H241">
        <v>0.08</v>
      </c>
      <c r="I241" t="s">
        <v>1812</v>
      </c>
      <c r="J241">
        <v>253.09200000000001</v>
      </c>
    </row>
    <row r="242" spans="1:10" x14ac:dyDescent="0.3">
      <c r="A242" t="s">
        <v>2049</v>
      </c>
      <c r="B242" s="1">
        <v>45917</v>
      </c>
      <c r="C242" t="s">
        <v>127</v>
      </c>
      <c r="D242" t="s">
        <v>1655</v>
      </c>
      <c r="E242" t="s">
        <v>1777</v>
      </c>
      <c r="F242">
        <v>3</v>
      </c>
      <c r="G242">
        <v>741.33</v>
      </c>
      <c r="H242">
        <v>0.03</v>
      </c>
      <c r="I242" t="s">
        <v>1807</v>
      </c>
      <c r="J242">
        <v>2157.2703000000001</v>
      </c>
    </row>
    <row r="243" spans="1:10" x14ac:dyDescent="0.3">
      <c r="A243" t="s">
        <v>2050</v>
      </c>
      <c r="B243" s="1">
        <v>45754</v>
      </c>
      <c r="C243" t="s">
        <v>1450</v>
      </c>
      <c r="D243" t="s">
        <v>1563</v>
      </c>
      <c r="E243" t="s">
        <v>1796</v>
      </c>
      <c r="F243">
        <v>1</v>
      </c>
      <c r="G243">
        <v>922.78</v>
      </c>
      <c r="H243">
        <v>0.28999999999999998</v>
      </c>
      <c r="I243" t="s">
        <v>1812</v>
      </c>
      <c r="J243">
        <v>655.17379999999991</v>
      </c>
    </row>
    <row r="244" spans="1:10" x14ac:dyDescent="0.3">
      <c r="A244" t="s">
        <v>2051</v>
      </c>
      <c r="B244" s="1">
        <v>45312</v>
      </c>
      <c r="C244" t="s">
        <v>1012</v>
      </c>
      <c r="D244" t="s">
        <v>1545</v>
      </c>
      <c r="E244" t="s">
        <v>1787</v>
      </c>
      <c r="F244">
        <v>1</v>
      </c>
      <c r="G244">
        <v>394.35</v>
      </c>
      <c r="H244">
        <v>0.09</v>
      </c>
      <c r="I244" t="s">
        <v>1809</v>
      </c>
      <c r="J244">
        <v>358.85849999999999</v>
      </c>
    </row>
    <row r="245" spans="1:10" x14ac:dyDescent="0.3">
      <c r="A245" t="s">
        <v>2052</v>
      </c>
      <c r="B245" s="1">
        <v>45480</v>
      </c>
      <c r="C245" t="s">
        <v>1126</v>
      </c>
      <c r="D245" t="s">
        <v>1661</v>
      </c>
      <c r="E245" t="s">
        <v>1775</v>
      </c>
      <c r="F245">
        <v>2</v>
      </c>
      <c r="G245">
        <v>703.95</v>
      </c>
      <c r="H245">
        <v>0.03</v>
      </c>
      <c r="I245" t="s">
        <v>1807</v>
      </c>
      <c r="J245">
        <v>1365.663</v>
      </c>
    </row>
    <row r="246" spans="1:10" x14ac:dyDescent="0.3">
      <c r="A246" t="s">
        <v>2053</v>
      </c>
      <c r="B246" s="1">
        <v>45780</v>
      </c>
      <c r="C246" t="s">
        <v>648</v>
      </c>
      <c r="D246" t="s">
        <v>1559</v>
      </c>
      <c r="E246" t="s">
        <v>1735</v>
      </c>
      <c r="F246">
        <v>4</v>
      </c>
      <c r="G246">
        <v>452.67</v>
      </c>
      <c r="H246">
        <v>0.28000000000000003</v>
      </c>
      <c r="I246" t="s">
        <v>1809</v>
      </c>
      <c r="J246">
        <v>1303.6895999999999</v>
      </c>
    </row>
    <row r="247" spans="1:10" x14ac:dyDescent="0.3">
      <c r="A247" t="s">
        <v>2054</v>
      </c>
      <c r="B247" s="1">
        <v>45349</v>
      </c>
      <c r="C247" t="s">
        <v>1412</v>
      </c>
      <c r="D247" t="s">
        <v>1545</v>
      </c>
      <c r="E247" t="s">
        <v>1762</v>
      </c>
      <c r="F247">
        <v>2</v>
      </c>
      <c r="G247">
        <v>377.3</v>
      </c>
      <c r="H247">
        <v>0.15</v>
      </c>
      <c r="I247" t="s">
        <v>1809</v>
      </c>
      <c r="J247">
        <v>641.41</v>
      </c>
    </row>
    <row r="248" spans="1:10" x14ac:dyDescent="0.3">
      <c r="A248" t="s">
        <v>2055</v>
      </c>
      <c r="B248" s="1">
        <v>45846</v>
      </c>
      <c r="C248" t="s">
        <v>1069</v>
      </c>
      <c r="D248" t="s">
        <v>1679</v>
      </c>
      <c r="E248" t="s">
        <v>1762</v>
      </c>
      <c r="F248">
        <v>2</v>
      </c>
      <c r="G248">
        <v>130.47999999999999</v>
      </c>
      <c r="H248">
        <v>0.23</v>
      </c>
      <c r="I248" t="s">
        <v>1809</v>
      </c>
      <c r="J248">
        <v>200.9392</v>
      </c>
    </row>
    <row r="249" spans="1:10" x14ac:dyDescent="0.3">
      <c r="A249" t="s">
        <v>2056</v>
      </c>
      <c r="B249" s="1">
        <v>45729</v>
      </c>
      <c r="C249" t="s">
        <v>1333</v>
      </c>
      <c r="D249" t="s">
        <v>1719</v>
      </c>
      <c r="E249" t="s">
        <v>1777</v>
      </c>
      <c r="F249">
        <v>1</v>
      </c>
      <c r="G249">
        <v>809.45</v>
      </c>
      <c r="H249">
        <v>0.09</v>
      </c>
      <c r="I249" t="s">
        <v>1812</v>
      </c>
      <c r="J249">
        <v>736.59950000000003</v>
      </c>
    </row>
    <row r="250" spans="1:10" x14ac:dyDescent="0.3">
      <c r="A250" t="s">
        <v>2057</v>
      </c>
      <c r="B250" s="1">
        <v>45768</v>
      </c>
      <c r="C250" t="s">
        <v>298</v>
      </c>
      <c r="D250" t="s">
        <v>1621</v>
      </c>
      <c r="E250" t="s">
        <v>1769</v>
      </c>
      <c r="F250">
        <v>3</v>
      </c>
      <c r="G250">
        <v>499.12</v>
      </c>
      <c r="H250">
        <v>0.05</v>
      </c>
      <c r="I250" t="s">
        <v>1809</v>
      </c>
      <c r="J250">
        <v>1422.492</v>
      </c>
    </row>
    <row r="251" spans="1:10" x14ac:dyDescent="0.3">
      <c r="A251" t="s">
        <v>2058</v>
      </c>
      <c r="B251" s="1">
        <v>45606</v>
      </c>
      <c r="C251" t="s">
        <v>100</v>
      </c>
      <c r="D251" t="s">
        <v>1667</v>
      </c>
      <c r="E251" t="s">
        <v>1749</v>
      </c>
      <c r="F251">
        <v>2</v>
      </c>
      <c r="G251">
        <v>894.58</v>
      </c>
      <c r="H251">
        <v>0.25</v>
      </c>
      <c r="I251" t="s">
        <v>1807</v>
      </c>
      <c r="J251">
        <v>1341.87</v>
      </c>
    </row>
    <row r="252" spans="1:10" x14ac:dyDescent="0.3">
      <c r="A252" t="s">
        <v>2059</v>
      </c>
      <c r="B252" s="1">
        <v>45513</v>
      </c>
      <c r="C252" t="s">
        <v>444</v>
      </c>
      <c r="D252" t="s">
        <v>1681</v>
      </c>
      <c r="E252" t="s">
        <v>1769</v>
      </c>
      <c r="F252">
        <v>4</v>
      </c>
      <c r="G252">
        <v>578.39</v>
      </c>
      <c r="H252">
        <v>0.01</v>
      </c>
      <c r="I252" t="s">
        <v>1807</v>
      </c>
      <c r="J252">
        <v>2290.4243999999999</v>
      </c>
    </row>
    <row r="253" spans="1:10" x14ac:dyDescent="0.3">
      <c r="A253" t="s">
        <v>2060</v>
      </c>
      <c r="B253" s="1">
        <v>45356</v>
      </c>
      <c r="C253" t="s">
        <v>1475</v>
      </c>
      <c r="D253" t="s">
        <v>1613</v>
      </c>
      <c r="E253" t="s">
        <v>1790</v>
      </c>
      <c r="F253">
        <v>4</v>
      </c>
      <c r="G253">
        <v>982.45</v>
      </c>
      <c r="H253">
        <v>0.2</v>
      </c>
      <c r="I253" t="s">
        <v>1809</v>
      </c>
      <c r="J253">
        <v>3143.84</v>
      </c>
    </row>
    <row r="254" spans="1:10" x14ac:dyDescent="0.3">
      <c r="A254" t="s">
        <v>2061</v>
      </c>
      <c r="B254" s="1">
        <v>45925</v>
      </c>
      <c r="C254" t="s">
        <v>1373</v>
      </c>
      <c r="D254" t="s">
        <v>1727</v>
      </c>
      <c r="E254" t="s">
        <v>1796</v>
      </c>
      <c r="F254">
        <v>1</v>
      </c>
      <c r="G254">
        <v>549.52</v>
      </c>
      <c r="H254">
        <v>0.1</v>
      </c>
      <c r="I254" t="s">
        <v>1809</v>
      </c>
      <c r="J254">
        <v>494.56799999999998</v>
      </c>
    </row>
    <row r="255" spans="1:10" x14ac:dyDescent="0.3">
      <c r="A255" t="s">
        <v>2062</v>
      </c>
      <c r="B255" s="1">
        <v>45876</v>
      </c>
      <c r="C255" t="s">
        <v>764</v>
      </c>
      <c r="D255" t="s">
        <v>1715</v>
      </c>
      <c r="E255" t="s">
        <v>1793</v>
      </c>
      <c r="F255">
        <v>2</v>
      </c>
      <c r="G255">
        <v>239.92</v>
      </c>
      <c r="H255">
        <v>0.16</v>
      </c>
      <c r="I255" t="s">
        <v>1807</v>
      </c>
      <c r="J255">
        <v>403.06560000000002</v>
      </c>
    </row>
    <row r="256" spans="1:10" x14ac:dyDescent="0.3">
      <c r="A256" t="s">
        <v>2063</v>
      </c>
      <c r="B256" s="1">
        <v>45338</v>
      </c>
      <c r="C256" t="s">
        <v>295</v>
      </c>
      <c r="D256" t="s">
        <v>1715</v>
      </c>
      <c r="E256" t="s">
        <v>1759</v>
      </c>
      <c r="F256">
        <v>2</v>
      </c>
      <c r="G256">
        <v>878.05</v>
      </c>
      <c r="H256">
        <v>0.11</v>
      </c>
      <c r="I256" t="s">
        <v>1809</v>
      </c>
      <c r="J256">
        <v>1562.9290000000001</v>
      </c>
    </row>
    <row r="257" spans="1:10" x14ac:dyDescent="0.3">
      <c r="A257" t="s">
        <v>2064</v>
      </c>
      <c r="B257" s="1">
        <v>45746</v>
      </c>
      <c r="C257" t="s">
        <v>171</v>
      </c>
      <c r="D257" t="s">
        <v>1529</v>
      </c>
      <c r="E257" t="s">
        <v>1769</v>
      </c>
      <c r="F257">
        <v>3</v>
      </c>
      <c r="G257">
        <v>546.96</v>
      </c>
      <c r="H257">
        <v>0.19</v>
      </c>
      <c r="I257" t="s">
        <v>1807</v>
      </c>
      <c r="J257">
        <v>1329.1128000000001</v>
      </c>
    </row>
    <row r="258" spans="1:10" x14ac:dyDescent="0.3">
      <c r="A258" t="s">
        <v>2065</v>
      </c>
      <c r="B258" s="1">
        <v>45706</v>
      </c>
      <c r="C258" t="s">
        <v>1436</v>
      </c>
      <c r="D258" t="s">
        <v>1565</v>
      </c>
      <c r="E258" t="s">
        <v>1772</v>
      </c>
      <c r="F258">
        <v>2</v>
      </c>
      <c r="G258">
        <v>71.77</v>
      </c>
      <c r="H258">
        <v>0.22</v>
      </c>
      <c r="I258" t="s">
        <v>1807</v>
      </c>
      <c r="J258">
        <v>111.96120000000001</v>
      </c>
    </row>
    <row r="259" spans="1:10" x14ac:dyDescent="0.3">
      <c r="A259" t="s">
        <v>2066</v>
      </c>
      <c r="B259" s="1">
        <v>45717</v>
      </c>
      <c r="C259" t="s">
        <v>63</v>
      </c>
      <c r="D259" t="s">
        <v>1579</v>
      </c>
      <c r="E259" t="s">
        <v>1740</v>
      </c>
      <c r="F259">
        <v>2</v>
      </c>
      <c r="G259">
        <v>679.86</v>
      </c>
      <c r="H259">
        <v>0.22</v>
      </c>
      <c r="I259" t="s">
        <v>1812</v>
      </c>
      <c r="J259">
        <v>1060.5816</v>
      </c>
    </row>
    <row r="260" spans="1:10" x14ac:dyDescent="0.3">
      <c r="A260" t="s">
        <v>2067</v>
      </c>
      <c r="B260" s="1">
        <v>45300</v>
      </c>
      <c r="C260" t="s">
        <v>459</v>
      </c>
      <c r="D260" t="s">
        <v>1601</v>
      </c>
      <c r="E260" t="s">
        <v>1790</v>
      </c>
      <c r="F260">
        <v>1</v>
      </c>
      <c r="G260">
        <v>222.94</v>
      </c>
      <c r="H260">
        <v>0.19</v>
      </c>
      <c r="I260" t="s">
        <v>1807</v>
      </c>
      <c r="J260">
        <v>180.5814</v>
      </c>
    </row>
    <row r="261" spans="1:10" x14ac:dyDescent="0.3">
      <c r="A261" t="s">
        <v>2068</v>
      </c>
      <c r="B261" s="1">
        <v>45773</v>
      </c>
      <c r="C261" t="s">
        <v>788</v>
      </c>
      <c r="D261" t="s">
        <v>1601</v>
      </c>
      <c r="E261" t="s">
        <v>1744</v>
      </c>
      <c r="F261">
        <v>2</v>
      </c>
      <c r="G261">
        <v>355.3</v>
      </c>
      <c r="H261">
        <v>0.1</v>
      </c>
      <c r="I261" t="s">
        <v>1809</v>
      </c>
      <c r="J261">
        <v>589.798</v>
      </c>
    </row>
    <row r="262" spans="1:10" x14ac:dyDescent="0.3">
      <c r="A262" t="s">
        <v>2069</v>
      </c>
      <c r="B262" s="1">
        <v>45497</v>
      </c>
      <c r="C262" t="s">
        <v>361</v>
      </c>
      <c r="D262" t="s">
        <v>1709</v>
      </c>
      <c r="E262" t="s">
        <v>1796</v>
      </c>
      <c r="F262">
        <v>4</v>
      </c>
      <c r="G262">
        <v>611.29999999999995</v>
      </c>
      <c r="H262">
        <v>0.11</v>
      </c>
      <c r="I262" t="s">
        <v>1809</v>
      </c>
      <c r="J262">
        <v>2176.2280000000001</v>
      </c>
    </row>
    <row r="263" spans="1:10" x14ac:dyDescent="0.3">
      <c r="A263" t="s">
        <v>2070</v>
      </c>
      <c r="B263" s="1">
        <v>45742</v>
      </c>
      <c r="C263" t="s">
        <v>1036</v>
      </c>
      <c r="D263" t="s">
        <v>1526</v>
      </c>
      <c r="E263" t="s">
        <v>1765</v>
      </c>
      <c r="F263">
        <v>4</v>
      </c>
      <c r="G263">
        <v>849.21</v>
      </c>
      <c r="H263">
        <v>7.0000000000000007E-2</v>
      </c>
      <c r="I263" t="s">
        <v>1807</v>
      </c>
      <c r="J263">
        <v>3159.0612000000001</v>
      </c>
    </row>
    <row r="264" spans="1:10" x14ac:dyDescent="0.3">
      <c r="A264" t="s">
        <v>2071</v>
      </c>
      <c r="B264" s="1">
        <v>45713</v>
      </c>
      <c r="C264" t="s">
        <v>675</v>
      </c>
      <c r="D264" t="s">
        <v>1615</v>
      </c>
      <c r="E264" t="s">
        <v>1762</v>
      </c>
      <c r="F264">
        <v>3</v>
      </c>
      <c r="G264">
        <v>553.12</v>
      </c>
      <c r="H264">
        <v>0.28000000000000003</v>
      </c>
      <c r="I264" t="s">
        <v>1812</v>
      </c>
      <c r="J264">
        <v>1194.7392</v>
      </c>
    </row>
    <row r="265" spans="1:10" x14ac:dyDescent="0.3">
      <c r="A265" t="s">
        <v>2072</v>
      </c>
      <c r="B265" s="1">
        <v>45826</v>
      </c>
      <c r="C265" t="s">
        <v>888</v>
      </c>
      <c r="D265" t="s">
        <v>1713</v>
      </c>
      <c r="E265" t="s">
        <v>1769</v>
      </c>
      <c r="F265">
        <v>2</v>
      </c>
      <c r="G265">
        <v>903.08</v>
      </c>
      <c r="H265">
        <v>0.18</v>
      </c>
      <c r="I265" t="s">
        <v>1812</v>
      </c>
      <c r="J265">
        <v>1481.0512000000001</v>
      </c>
    </row>
    <row r="266" spans="1:10" x14ac:dyDescent="0.3">
      <c r="A266" t="s">
        <v>2073</v>
      </c>
      <c r="B266" s="1">
        <v>45648</v>
      </c>
      <c r="C266" t="s">
        <v>1456</v>
      </c>
      <c r="D266" t="s">
        <v>1563</v>
      </c>
      <c r="E266" t="s">
        <v>1775</v>
      </c>
      <c r="F266">
        <v>4</v>
      </c>
      <c r="G266">
        <v>640.23</v>
      </c>
      <c r="H266">
        <v>0.06</v>
      </c>
      <c r="I266" t="s">
        <v>1812</v>
      </c>
      <c r="J266">
        <v>2407.2647999999999</v>
      </c>
    </row>
    <row r="267" spans="1:10" x14ac:dyDescent="0.3">
      <c r="A267" t="s">
        <v>2074</v>
      </c>
      <c r="B267" s="1">
        <v>45836</v>
      </c>
      <c r="C267" t="s">
        <v>473</v>
      </c>
      <c r="D267" t="s">
        <v>1573</v>
      </c>
      <c r="E267" t="s">
        <v>1759</v>
      </c>
      <c r="F267">
        <v>1</v>
      </c>
      <c r="G267">
        <v>518</v>
      </c>
      <c r="H267">
        <v>0.25</v>
      </c>
      <c r="I267" t="s">
        <v>1807</v>
      </c>
      <c r="J267">
        <v>388.5</v>
      </c>
    </row>
    <row r="268" spans="1:10" x14ac:dyDescent="0.3">
      <c r="A268" t="s">
        <v>2075</v>
      </c>
      <c r="B268" s="1">
        <v>45437</v>
      </c>
      <c r="C268" t="s">
        <v>1327</v>
      </c>
      <c r="D268" t="s">
        <v>1659</v>
      </c>
      <c r="E268" t="s">
        <v>1752</v>
      </c>
      <c r="F268">
        <v>4</v>
      </c>
      <c r="G268">
        <v>779.25</v>
      </c>
      <c r="H268">
        <v>0.25</v>
      </c>
      <c r="I268" t="s">
        <v>1807</v>
      </c>
      <c r="J268">
        <v>2337.75</v>
      </c>
    </row>
    <row r="269" spans="1:10" x14ac:dyDescent="0.3">
      <c r="A269" t="s">
        <v>2076</v>
      </c>
      <c r="B269" s="1">
        <v>45807</v>
      </c>
      <c r="C269" t="s">
        <v>406</v>
      </c>
      <c r="D269" t="s">
        <v>1697</v>
      </c>
      <c r="E269" t="s">
        <v>1762</v>
      </c>
      <c r="F269">
        <v>2</v>
      </c>
      <c r="G269">
        <v>467.75</v>
      </c>
      <c r="H269">
        <v>0.26</v>
      </c>
      <c r="I269" t="s">
        <v>1807</v>
      </c>
      <c r="J269">
        <v>692.27</v>
      </c>
    </row>
    <row r="270" spans="1:10" x14ac:dyDescent="0.3">
      <c r="A270" t="s">
        <v>2077</v>
      </c>
      <c r="B270" s="1">
        <v>45555</v>
      </c>
      <c r="C270" t="s">
        <v>1249</v>
      </c>
      <c r="D270" t="s">
        <v>1711</v>
      </c>
      <c r="E270" t="s">
        <v>1793</v>
      </c>
      <c r="F270">
        <v>3</v>
      </c>
      <c r="G270">
        <v>513.98</v>
      </c>
      <c r="H270">
        <v>0.06</v>
      </c>
      <c r="I270" t="s">
        <v>1807</v>
      </c>
      <c r="J270">
        <v>315.24779999999998</v>
      </c>
    </row>
    <row r="271" spans="1:10" x14ac:dyDescent="0.3">
      <c r="A271" t="s">
        <v>2078</v>
      </c>
      <c r="B271" s="1">
        <v>45803</v>
      </c>
      <c r="C271" t="s">
        <v>705</v>
      </c>
      <c r="D271" t="s">
        <v>1605</v>
      </c>
      <c r="E271" t="s">
        <v>1735</v>
      </c>
      <c r="F271">
        <v>4</v>
      </c>
      <c r="G271">
        <v>747.01</v>
      </c>
      <c r="H271">
        <v>0.13</v>
      </c>
      <c r="I271" t="s">
        <v>1809</v>
      </c>
      <c r="J271">
        <v>2599.5947999999999</v>
      </c>
    </row>
    <row r="272" spans="1:10" x14ac:dyDescent="0.3">
      <c r="A272" t="s">
        <v>2079</v>
      </c>
      <c r="B272" s="1">
        <v>45735</v>
      </c>
      <c r="C272" t="s">
        <v>355</v>
      </c>
      <c r="D272" t="s">
        <v>1709</v>
      </c>
      <c r="E272" t="s">
        <v>1777</v>
      </c>
      <c r="F272">
        <v>4</v>
      </c>
      <c r="G272">
        <v>461.83</v>
      </c>
      <c r="H272">
        <v>0.28000000000000003</v>
      </c>
      <c r="I272" t="s">
        <v>1809</v>
      </c>
      <c r="J272">
        <v>1330.0704000000001</v>
      </c>
    </row>
    <row r="273" spans="1:10" x14ac:dyDescent="0.3">
      <c r="A273" t="s">
        <v>2080</v>
      </c>
      <c r="B273" s="1">
        <v>45750</v>
      </c>
      <c r="C273" t="s">
        <v>453</v>
      </c>
      <c r="D273" t="s">
        <v>1671</v>
      </c>
      <c r="E273" t="s">
        <v>1765</v>
      </c>
      <c r="F273">
        <v>2</v>
      </c>
      <c r="G273">
        <v>105.15</v>
      </c>
      <c r="H273">
        <v>0.06</v>
      </c>
      <c r="I273" t="s">
        <v>1807</v>
      </c>
      <c r="J273">
        <v>197.68199999999999</v>
      </c>
    </row>
    <row r="274" spans="1:10" x14ac:dyDescent="0.3">
      <c r="A274" t="s">
        <v>2081</v>
      </c>
      <c r="B274" s="1">
        <v>45693</v>
      </c>
      <c r="C274" t="s">
        <v>134</v>
      </c>
      <c r="D274" t="s">
        <v>1577</v>
      </c>
      <c r="E274" t="s">
        <v>1749</v>
      </c>
      <c r="F274">
        <v>3</v>
      </c>
      <c r="G274">
        <v>610.24</v>
      </c>
      <c r="H274">
        <v>0.17</v>
      </c>
      <c r="I274" t="s">
        <v>1812</v>
      </c>
      <c r="J274">
        <v>1519.4975999999999</v>
      </c>
    </row>
    <row r="275" spans="1:10" x14ac:dyDescent="0.3">
      <c r="A275" t="s">
        <v>2082</v>
      </c>
      <c r="B275" s="1">
        <v>45667</v>
      </c>
      <c r="C275" t="s">
        <v>974</v>
      </c>
      <c r="D275" t="s">
        <v>1679</v>
      </c>
      <c r="E275" t="s">
        <v>1765</v>
      </c>
      <c r="F275">
        <v>1</v>
      </c>
      <c r="G275">
        <v>872.12</v>
      </c>
      <c r="H275">
        <v>7.0000000000000007E-2</v>
      </c>
      <c r="I275" t="s">
        <v>1809</v>
      </c>
      <c r="J275">
        <v>811.07159999999999</v>
      </c>
    </row>
    <row r="276" spans="1:10" x14ac:dyDescent="0.3">
      <c r="A276" t="s">
        <v>2083</v>
      </c>
      <c r="B276" s="1">
        <v>45316</v>
      </c>
      <c r="C276" t="s">
        <v>1327</v>
      </c>
      <c r="D276" t="s">
        <v>1551</v>
      </c>
      <c r="E276" t="s">
        <v>1740</v>
      </c>
      <c r="F276">
        <v>1</v>
      </c>
      <c r="G276">
        <v>406.79</v>
      </c>
      <c r="H276">
        <v>0.03</v>
      </c>
      <c r="I276" t="s">
        <v>1812</v>
      </c>
      <c r="J276">
        <v>394.58629999999999</v>
      </c>
    </row>
    <row r="277" spans="1:10" x14ac:dyDescent="0.3">
      <c r="A277" t="s">
        <v>2084</v>
      </c>
      <c r="B277" s="1">
        <v>45932</v>
      </c>
      <c r="C277" t="s">
        <v>1150</v>
      </c>
      <c r="D277" t="s">
        <v>1639</v>
      </c>
      <c r="E277" t="s">
        <v>1782</v>
      </c>
      <c r="F277">
        <v>1</v>
      </c>
      <c r="G277">
        <v>606.01</v>
      </c>
      <c r="H277">
        <v>0.04</v>
      </c>
      <c r="I277" t="s">
        <v>1809</v>
      </c>
      <c r="J277">
        <v>581.76959999999997</v>
      </c>
    </row>
    <row r="278" spans="1:10" x14ac:dyDescent="0.3">
      <c r="A278" t="s">
        <v>2085</v>
      </c>
      <c r="B278" s="1">
        <v>45483</v>
      </c>
      <c r="C278" t="s">
        <v>1083</v>
      </c>
      <c r="D278" t="s">
        <v>1565</v>
      </c>
      <c r="E278" t="s">
        <v>1756</v>
      </c>
      <c r="F278">
        <v>4</v>
      </c>
      <c r="G278">
        <v>322.58</v>
      </c>
      <c r="H278">
        <v>0.06</v>
      </c>
      <c r="I278" t="s">
        <v>1807</v>
      </c>
      <c r="J278">
        <v>1212.9007999999999</v>
      </c>
    </row>
    <row r="279" spans="1:10" x14ac:dyDescent="0.3">
      <c r="A279" t="s">
        <v>2086</v>
      </c>
      <c r="B279" s="1">
        <v>45661</v>
      </c>
      <c r="C279" t="s">
        <v>1472</v>
      </c>
      <c r="D279" t="s">
        <v>1685</v>
      </c>
      <c r="E279" t="s">
        <v>1793</v>
      </c>
      <c r="F279">
        <v>4</v>
      </c>
      <c r="G279">
        <v>463.17</v>
      </c>
      <c r="H279">
        <v>0.06</v>
      </c>
      <c r="I279" t="s">
        <v>1809</v>
      </c>
      <c r="J279">
        <v>1741.5192</v>
      </c>
    </row>
    <row r="280" spans="1:10" x14ac:dyDescent="0.3">
      <c r="A280" t="s">
        <v>2087</v>
      </c>
      <c r="B280" s="1">
        <v>45798</v>
      </c>
      <c r="C280" t="s">
        <v>986</v>
      </c>
      <c r="D280" t="s">
        <v>1581</v>
      </c>
      <c r="E280" t="s">
        <v>1762</v>
      </c>
      <c r="F280">
        <v>4</v>
      </c>
      <c r="G280">
        <v>285.82</v>
      </c>
      <c r="H280">
        <v>0.18</v>
      </c>
      <c r="I280" t="s">
        <v>1809</v>
      </c>
      <c r="J280">
        <v>937.4896</v>
      </c>
    </row>
    <row r="281" spans="1:10" x14ac:dyDescent="0.3">
      <c r="A281" t="s">
        <v>2088</v>
      </c>
      <c r="B281" s="1">
        <v>45868</v>
      </c>
      <c r="C281" t="s">
        <v>1015</v>
      </c>
      <c r="D281" t="s">
        <v>1605</v>
      </c>
      <c r="E281" t="s">
        <v>1775</v>
      </c>
      <c r="F281">
        <v>3</v>
      </c>
      <c r="G281">
        <v>995.38</v>
      </c>
      <c r="H281">
        <v>0.1</v>
      </c>
      <c r="I281" t="s">
        <v>1809</v>
      </c>
      <c r="J281">
        <v>2687.5259999999998</v>
      </c>
    </row>
    <row r="282" spans="1:10" x14ac:dyDescent="0.3">
      <c r="A282" t="s">
        <v>2089</v>
      </c>
      <c r="B282" s="1">
        <v>45757</v>
      </c>
      <c r="C282" t="s">
        <v>409</v>
      </c>
      <c r="D282" t="s">
        <v>1655</v>
      </c>
      <c r="E282" t="s">
        <v>1765</v>
      </c>
      <c r="F282">
        <v>1</v>
      </c>
      <c r="G282">
        <v>329.31</v>
      </c>
      <c r="H282">
        <v>0.09</v>
      </c>
      <c r="I282" t="s">
        <v>1807</v>
      </c>
      <c r="J282">
        <v>299.6721</v>
      </c>
    </row>
    <row r="283" spans="1:10" x14ac:dyDescent="0.3">
      <c r="A283" t="s">
        <v>2090</v>
      </c>
      <c r="B283" s="1">
        <v>45475</v>
      </c>
      <c r="C283" t="s">
        <v>1490</v>
      </c>
      <c r="D283" t="s">
        <v>1625</v>
      </c>
      <c r="E283" t="s">
        <v>1787</v>
      </c>
      <c r="F283">
        <v>3</v>
      </c>
      <c r="G283">
        <v>64.2</v>
      </c>
      <c r="H283">
        <v>0.08</v>
      </c>
      <c r="I283" t="s">
        <v>1812</v>
      </c>
      <c r="J283">
        <v>177.19200000000001</v>
      </c>
    </row>
    <row r="284" spans="1:10" x14ac:dyDescent="0.3">
      <c r="A284" t="s">
        <v>2091</v>
      </c>
      <c r="B284" s="1">
        <v>45829</v>
      </c>
      <c r="C284" t="s">
        <v>829</v>
      </c>
      <c r="D284" t="s">
        <v>1553</v>
      </c>
      <c r="E284" t="s">
        <v>1780</v>
      </c>
      <c r="F284">
        <v>3</v>
      </c>
      <c r="G284">
        <v>697.13</v>
      </c>
      <c r="H284">
        <v>0.25</v>
      </c>
      <c r="I284" t="s">
        <v>1812</v>
      </c>
      <c r="J284">
        <v>1568.5425</v>
      </c>
    </row>
    <row r="285" spans="1:10" x14ac:dyDescent="0.3">
      <c r="A285" t="s">
        <v>2092</v>
      </c>
      <c r="B285" s="1">
        <v>45639</v>
      </c>
      <c r="C285" t="s">
        <v>97</v>
      </c>
      <c r="D285" t="s">
        <v>1548</v>
      </c>
      <c r="E285" t="s">
        <v>1756</v>
      </c>
      <c r="F285">
        <v>3</v>
      </c>
      <c r="G285">
        <v>134.30000000000001</v>
      </c>
      <c r="H285">
        <v>0.14000000000000001</v>
      </c>
      <c r="I285" t="s">
        <v>1807</v>
      </c>
      <c r="J285">
        <v>346.49400000000003</v>
      </c>
    </row>
    <row r="286" spans="1:10" x14ac:dyDescent="0.3">
      <c r="A286" t="s">
        <v>2093</v>
      </c>
      <c r="B286" s="1">
        <v>45518</v>
      </c>
      <c r="C286" t="s">
        <v>823</v>
      </c>
      <c r="D286" t="s">
        <v>1699</v>
      </c>
      <c r="E286" t="s">
        <v>1780</v>
      </c>
      <c r="F286">
        <v>1</v>
      </c>
      <c r="G286">
        <v>520.92999999999995</v>
      </c>
      <c r="H286">
        <v>0.15</v>
      </c>
      <c r="I286" t="s">
        <v>1807</v>
      </c>
      <c r="J286">
        <v>442.79050000000001</v>
      </c>
    </row>
    <row r="287" spans="1:10" x14ac:dyDescent="0.3">
      <c r="A287" t="s">
        <v>2094</v>
      </c>
      <c r="B287" s="1">
        <v>45721</v>
      </c>
      <c r="C287" t="s">
        <v>721</v>
      </c>
      <c r="D287" t="s">
        <v>1569</v>
      </c>
      <c r="E287" t="s">
        <v>1762</v>
      </c>
      <c r="F287">
        <v>2</v>
      </c>
      <c r="G287">
        <v>350.12</v>
      </c>
      <c r="H287">
        <v>0.21</v>
      </c>
      <c r="I287" t="s">
        <v>1812</v>
      </c>
      <c r="J287">
        <v>553.18960000000004</v>
      </c>
    </row>
    <row r="288" spans="1:10" x14ac:dyDescent="0.3">
      <c r="A288" t="s">
        <v>2095</v>
      </c>
      <c r="B288" s="1">
        <v>45308</v>
      </c>
      <c r="C288" t="s">
        <v>1421</v>
      </c>
      <c r="D288" t="s">
        <v>1627</v>
      </c>
      <c r="E288" t="s">
        <v>1796</v>
      </c>
      <c r="F288">
        <v>3</v>
      </c>
      <c r="G288">
        <v>807.95</v>
      </c>
      <c r="H288">
        <v>0.1</v>
      </c>
      <c r="I288" t="s">
        <v>1809</v>
      </c>
      <c r="J288">
        <v>2181.4650000000011</v>
      </c>
    </row>
    <row r="289" spans="1:10" x14ac:dyDescent="0.3">
      <c r="A289" t="s">
        <v>2096</v>
      </c>
      <c r="B289" s="1">
        <v>45889</v>
      </c>
      <c r="C289" t="s">
        <v>1042</v>
      </c>
      <c r="D289" t="s">
        <v>1607</v>
      </c>
      <c r="E289" t="s">
        <v>1759</v>
      </c>
      <c r="F289">
        <v>4</v>
      </c>
      <c r="G289">
        <v>766.03</v>
      </c>
      <c r="H289">
        <v>0.28999999999999998</v>
      </c>
      <c r="I289" t="s">
        <v>1809</v>
      </c>
      <c r="J289">
        <v>2175.5252</v>
      </c>
    </row>
    <row r="290" spans="1:10" x14ac:dyDescent="0.3">
      <c r="A290" t="s">
        <v>2097</v>
      </c>
      <c r="B290" s="1">
        <v>45386</v>
      </c>
      <c r="C290" t="s">
        <v>595</v>
      </c>
      <c r="D290" t="s">
        <v>1645</v>
      </c>
      <c r="E290" t="s">
        <v>1765</v>
      </c>
      <c r="F290">
        <v>3</v>
      </c>
      <c r="G290">
        <v>545.1</v>
      </c>
      <c r="H290">
        <v>0.08</v>
      </c>
      <c r="I290" t="s">
        <v>1812</v>
      </c>
      <c r="J290">
        <v>1504.4760000000001</v>
      </c>
    </row>
    <row r="291" spans="1:10" x14ac:dyDescent="0.3">
      <c r="A291" t="s">
        <v>2098</v>
      </c>
      <c r="B291" s="1">
        <v>45438</v>
      </c>
      <c r="C291" t="s">
        <v>832</v>
      </c>
      <c r="D291" t="s">
        <v>1661</v>
      </c>
      <c r="E291" t="s">
        <v>1762</v>
      </c>
      <c r="F291">
        <v>1</v>
      </c>
      <c r="G291">
        <v>203.61</v>
      </c>
      <c r="H291">
        <v>0.24</v>
      </c>
      <c r="I291" t="s">
        <v>1812</v>
      </c>
      <c r="J291">
        <v>154.74359999999999</v>
      </c>
    </row>
    <row r="292" spans="1:10" x14ac:dyDescent="0.3">
      <c r="A292" t="s">
        <v>2099</v>
      </c>
      <c r="B292" s="1">
        <v>45856</v>
      </c>
      <c r="C292" t="s">
        <v>1281</v>
      </c>
      <c r="D292" t="s">
        <v>1725</v>
      </c>
      <c r="E292" t="s">
        <v>1784</v>
      </c>
      <c r="F292">
        <v>4</v>
      </c>
      <c r="G292">
        <v>493.8</v>
      </c>
      <c r="H292">
        <v>0.24</v>
      </c>
      <c r="I292" t="s">
        <v>1812</v>
      </c>
      <c r="J292">
        <v>1501.152</v>
      </c>
    </row>
    <row r="293" spans="1:10" x14ac:dyDescent="0.3">
      <c r="A293" t="s">
        <v>2100</v>
      </c>
      <c r="B293" s="1">
        <v>45485</v>
      </c>
      <c r="C293" t="s">
        <v>78</v>
      </c>
      <c r="D293" t="s">
        <v>1613</v>
      </c>
      <c r="E293" t="s">
        <v>1790</v>
      </c>
      <c r="F293">
        <v>1</v>
      </c>
      <c r="G293">
        <v>640.54999999999995</v>
      </c>
      <c r="H293">
        <v>0.25</v>
      </c>
      <c r="I293" t="s">
        <v>1807</v>
      </c>
      <c r="J293">
        <v>480.41250000000002</v>
      </c>
    </row>
    <row r="294" spans="1:10" x14ac:dyDescent="0.3">
      <c r="A294" t="s">
        <v>2101</v>
      </c>
      <c r="B294" s="1">
        <v>45545</v>
      </c>
      <c r="C294" t="s">
        <v>409</v>
      </c>
      <c r="D294" t="s">
        <v>1679</v>
      </c>
      <c r="E294" t="s">
        <v>1752</v>
      </c>
      <c r="F294">
        <v>1</v>
      </c>
      <c r="G294">
        <v>702.53</v>
      </c>
      <c r="H294">
        <v>0.3</v>
      </c>
      <c r="I294" t="s">
        <v>1807</v>
      </c>
      <c r="J294">
        <v>491.77100000000002</v>
      </c>
    </row>
    <row r="295" spans="1:10" x14ac:dyDescent="0.3">
      <c r="A295" t="s">
        <v>2102</v>
      </c>
      <c r="B295" s="1">
        <v>45826</v>
      </c>
      <c r="C295" t="s">
        <v>718</v>
      </c>
      <c r="D295" t="s">
        <v>1609</v>
      </c>
      <c r="E295" t="s">
        <v>1765</v>
      </c>
      <c r="F295">
        <v>4</v>
      </c>
      <c r="G295">
        <v>139.94</v>
      </c>
      <c r="H295">
        <v>0.24</v>
      </c>
      <c r="I295" t="s">
        <v>1807</v>
      </c>
      <c r="J295">
        <v>425.41759999999999</v>
      </c>
    </row>
    <row r="296" spans="1:10" x14ac:dyDescent="0.3">
      <c r="A296" t="s">
        <v>2103</v>
      </c>
      <c r="B296" s="1">
        <v>45654</v>
      </c>
      <c r="C296" t="s">
        <v>873</v>
      </c>
      <c r="D296" t="s">
        <v>1569</v>
      </c>
      <c r="E296" t="s">
        <v>1765</v>
      </c>
      <c r="F296">
        <v>2</v>
      </c>
      <c r="G296">
        <v>230.85</v>
      </c>
      <c r="H296">
        <v>0.18</v>
      </c>
      <c r="I296" t="s">
        <v>1807</v>
      </c>
      <c r="J296">
        <v>378.59399999999999</v>
      </c>
    </row>
    <row r="297" spans="1:10" x14ac:dyDescent="0.3">
      <c r="A297" t="s">
        <v>2104</v>
      </c>
      <c r="B297" s="1">
        <v>45556</v>
      </c>
      <c r="C297" t="s">
        <v>681</v>
      </c>
      <c r="D297" t="s">
        <v>1701</v>
      </c>
      <c r="E297" t="s">
        <v>1790</v>
      </c>
      <c r="F297">
        <v>4</v>
      </c>
      <c r="G297">
        <v>626.35</v>
      </c>
      <c r="H297">
        <v>0.25</v>
      </c>
      <c r="I297" t="s">
        <v>1812</v>
      </c>
      <c r="J297">
        <v>1879.05</v>
      </c>
    </row>
    <row r="298" spans="1:10" x14ac:dyDescent="0.3">
      <c r="A298" t="s">
        <v>2105</v>
      </c>
      <c r="B298" s="1">
        <v>45434</v>
      </c>
      <c r="C298" t="s">
        <v>295</v>
      </c>
      <c r="D298" t="s">
        <v>1613</v>
      </c>
      <c r="E298" t="s">
        <v>1782</v>
      </c>
      <c r="F298">
        <v>4</v>
      </c>
      <c r="G298">
        <v>108.55</v>
      </c>
      <c r="H298">
        <v>0.18</v>
      </c>
      <c r="I298" t="s">
        <v>1809</v>
      </c>
      <c r="J298">
        <v>356.04399999999998</v>
      </c>
    </row>
    <row r="299" spans="1:10" x14ac:dyDescent="0.3">
      <c r="A299" t="s">
        <v>2106</v>
      </c>
      <c r="B299" s="1">
        <v>45871</v>
      </c>
      <c r="C299" t="s">
        <v>622</v>
      </c>
      <c r="D299" t="s">
        <v>1565</v>
      </c>
      <c r="E299" t="s">
        <v>1740</v>
      </c>
      <c r="F299">
        <v>4</v>
      </c>
      <c r="G299">
        <v>353.67</v>
      </c>
      <c r="H299">
        <v>0.03</v>
      </c>
      <c r="I299" t="s">
        <v>1812</v>
      </c>
      <c r="J299">
        <v>1372.2396000000001</v>
      </c>
    </row>
    <row r="300" spans="1:10" x14ac:dyDescent="0.3">
      <c r="A300" t="s">
        <v>2107</v>
      </c>
      <c r="B300" s="1">
        <v>45583</v>
      </c>
      <c r="C300" t="s">
        <v>238</v>
      </c>
      <c r="D300" t="s">
        <v>1711</v>
      </c>
      <c r="E300" t="s">
        <v>1740</v>
      </c>
      <c r="F300">
        <v>4</v>
      </c>
      <c r="G300">
        <v>61.98</v>
      </c>
      <c r="H300">
        <v>0.16</v>
      </c>
      <c r="I300" t="s">
        <v>1807</v>
      </c>
      <c r="J300">
        <v>208.25280000000001</v>
      </c>
    </row>
    <row r="301" spans="1:10" x14ac:dyDescent="0.3">
      <c r="A301" t="s">
        <v>2108</v>
      </c>
      <c r="B301" s="1">
        <v>45348</v>
      </c>
      <c r="C301" t="s">
        <v>696</v>
      </c>
      <c r="D301" t="s">
        <v>1575</v>
      </c>
      <c r="E301" t="s">
        <v>1796</v>
      </c>
      <c r="F301">
        <v>2</v>
      </c>
      <c r="G301">
        <v>873.1</v>
      </c>
      <c r="H301">
        <v>0.12</v>
      </c>
      <c r="I301" t="s">
        <v>1809</v>
      </c>
      <c r="J301">
        <v>1536.6559999999999</v>
      </c>
    </row>
    <row r="302" spans="1:10" x14ac:dyDescent="0.3">
      <c r="A302" t="s">
        <v>2109</v>
      </c>
      <c r="B302" s="1">
        <v>45268</v>
      </c>
      <c r="C302" t="s">
        <v>642</v>
      </c>
      <c r="D302" t="s">
        <v>1555</v>
      </c>
      <c r="E302" t="s">
        <v>1784</v>
      </c>
      <c r="F302">
        <v>4</v>
      </c>
      <c r="G302">
        <v>889.47</v>
      </c>
      <c r="H302">
        <v>0.24</v>
      </c>
      <c r="I302" t="s">
        <v>1807</v>
      </c>
      <c r="J302">
        <v>2703.9888000000001</v>
      </c>
    </row>
    <row r="303" spans="1:10" x14ac:dyDescent="0.3">
      <c r="A303" t="s">
        <v>2110</v>
      </c>
      <c r="B303" s="1">
        <v>45596</v>
      </c>
      <c r="C303" t="s">
        <v>118</v>
      </c>
      <c r="D303" t="s">
        <v>1679</v>
      </c>
      <c r="E303" t="s">
        <v>1775</v>
      </c>
      <c r="F303">
        <v>3</v>
      </c>
      <c r="G303">
        <v>803.76</v>
      </c>
      <c r="H303">
        <v>0.19</v>
      </c>
      <c r="I303" t="s">
        <v>1812</v>
      </c>
      <c r="J303">
        <v>1953.1368</v>
      </c>
    </row>
    <row r="304" spans="1:10" x14ac:dyDescent="0.3">
      <c r="A304" t="s">
        <v>2111</v>
      </c>
      <c r="B304" s="1">
        <v>45624</v>
      </c>
      <c r="C304" t="s">
        <v>1427</v>
      </c>
      <c r="D304" t="s">
        <v>1681</v>
      </c>
      <c r="E304" t="s">
        <v>1756</v>
      </c>
      <c r="F304">
        <v>2</v>
      </c>
      <c r="G304">
        <v>865.14</v>
      </c>
      <c r="H304">
        <v>0.2</v>
      </c>
      <c r="I304" t="s">
        <v>1809</v>
      </c>
      <c r="J304">
        <v>1384.2239999999999</v>
      </c>
    </row>
    <row r="305" spans="1:10" x14ac:dyDescent="0.3">
      <c r="A305" t="s">
        <v>2112</v>
      </c>
      <c r="B305" s="1">
        <v>45813</v>
      </c>
      <c r="C305" t="s">
        <v>342</v>
      </c>
      <c r="D305" t="s">
        <v>1593</v>
      </c>
      <c r="E305" t="s">
        <v>1769</v>
      </c>
      <c r="F305">
        <v>2</v>
      </c>
      <c r="G305">
        <v>916.49</v>
      </c>
      <c r="H305">
        <v>0.3</v>
      </c>
      <c r="I305" t="s">
        <v>1812</v>
      </c>
      <c r="J305">
        <v>1283.086</v>
      </c>
    </row>
    <row r="306" spans="1:10" x14ac:dyDescent="0.3">
      <c r="A306" t="s">
        <v>2113</v>
      </c>
      <c r="B306" s="1">
        <v>45615</v>
      </c>
      <c r="C306" t="s">
        <v>163</v>
      </c>
      <c r="D306" t="s">
        <v>1633</v>
      </c>
      <c r="E306" t="s">
        <v>1777</v>
      </c>
      <c r="F306">
        <v>3</v>
      </c>
      <c r="G306">
        <v>781.39</v>
      </c>
      <c r="H306">
        <v>0.12</v>
      </c>
      <c r="I306" t="s">
        <v>1807</v>
      </c>
      <c r="J306">
        <v>2062.8696</v>
      </c>
    </row>
    <row r="307" spans="1:10" x14ac:dyDescent="0.3">
      <c r="A307" t="s">
        <v>2114</v>
      </c>
      <c r="B307" s="1">
        <v>45431</v>
      </c>
      <c r="C307" t="s">
        <v>681</v>
      </c>
      <c r="D307" t="s">
        <v>1607</v>
      </c>
      <c r="E307" t="s">
        <v>1777</v>
      </c>
      <c r="F307">
        <v>4</v>
      </c>
      <c r="G307">
        <v>619.74</v>
      </c>
      <c r="H307">
        <v>0.13</v>
      </c>
      <c r="I307" t="s">
        <v>1812</v>
      </c>
      <c r="J307">
        <v>2156.6952000000001</v>
      </c>
    </row>
    <row r="308" spans="1:10" x14ac:dyDescent="0.3">
      <c r="A308" t="s">
        <v>2115</v>
      </c>
      <c r="B308" s="1">
        <v>45679</v>
      </c>
      <c r="C308" t="s">
        <v>1464</v>
      </c>
      <c r="D308" t="s">
        <v>1655</v>
      </c>
      <c r="E308" t="s">
        <v>1782</v>
      </c>
      <c r="F308">
        <v>2</v>
      </c>
      <c r="G308">
        <v>837.76</v>
      </c>
      <c r="H308">
        <v>0.03</v>
      </c>
      <c r="I308" t="s">
        <v>1812</v>
      </c>
      <c r="J308">
        <v>1625.2544</v>
      </c>
    </row>
    <row r="309" spans="1:10" x14ac:dyDescent="0.3">
      <c r="A309" t="s">
        <v>2116</v>
      </c>
      <c r="B309" s="1">
        <v>45842</v>
      </c>
      <c r="C309" t="s">
        <v>1379</v>
      </c>
      <c r="D309" t="s">
        <v>1711</v>
      </c>
      <c r="E309" t="s">
        <v>1740</v>
      </c>
      <c r="F309">
        <v>3</v>
      </c>
      <c r="G309">
        <v>135.94</v>
      </c>
      <c r="H309">
        <v>0.2</v>
      </c>
      <c r="I309" t="s">
        <v>1807</v>
      </c>
      <c r="J309">
        <v>326.25599999999997</v>
      </c>
    </row>
    <row r="310" spans="1:10" x14ac:dyDescent="0.3">
      <c r="A310" t="s">
        <v>2117</v>
      </c>
      <c r="B310" s="1">
        <v>45796</v>
      </c>
      <c r="C310" t="s">
        <v>1458</v>
      </c>
      <c r="D310" t="s">
        <v>1679</v>
      </c>
      <c r="E310" t="s">
        <v>1740</v>
      </c>
      <c r="F310">
        <v>4</v>
      </c>
      <c r="G310">
        <v>396.53</v>
      </c>
      <c r="H310">
        <v>7.0000000000000007E-2</v>
      </c>
      <c r="I310" t="s">
        <v>1809</v>
      </c>
      <c r="J310">
        <v>1475.0916</v>
      </c>
    </row>
    <row r="311" spans="1:10" x14ac:dyDescent="0.3">
      <c r="A311" t="s">
        <v>2118</v>
      </c>
      <c r="B311" s="1">
        <v>45264</v>
      </c>
      <c r="C311" t="s">
        <v>707</v>
      </c>
      <c r="D311" t="s">
        <v>1589</v>
      </c>
      <c r="E311" t="s">
        <v>1782</v>
      </c>
      <c r="F311">
        <v>2</v>
      </c>
      <c r="G311">
        <v>722.45</v>
      </c>
      <c r="H311">
        <v>0.22</v>
      </c>
      <c r="I311" t="s">
        <v>1809</v>
      </c>
      <c r="J311">
        <v>1127.0219999999999</v>
      </c>
    </row>
    <row r="312" spans="1:10" x14ac:dyDescent="0.3">
      <c r="A312" t="s">
        <v>2119</v>
      </c>
      <c r="B312" s="1">
        <v>45504</v>
      </c>
      <c r="C312" t="s">
        <v>178</v>
      </c>
      <c r="D312" t="s">
        <v>1659</v>
      </c>
      <c r="E312" t="s">
        <v>1744</v>
      </c>
      <c r="F312">
        <v>2</v>
      </c>
      <c r="G312">
        <v>138.41</v>
      </c>
      <c r="H312">
        <v>0.02</v>
      </c>
      <c r="I312" t="s">
        <v>1807</v>
      </c>
      <c r="J312">
        <v>271.28359999999998</v>
      </c>
    </row>
    <row r="313" spans="1:10" x14ac:dyDescent="0.3">
      <c r="A313" t="s">
        <v>2120</v>
      </c>
      <c r="B313" s="1">
        <v>45679</v>
      </c>
      <c r="C313" t="s">
        <v>430</v>
      </c>
      <c r="D313" t="s">
        <v>1691</v>
      </c>
      <c r="E313" t="s">
        <v>1744</v>
      </c>
      <c r="F313">
        <v>4</v>
      </c>
      <c r="G313">
        <v>741.51</v>
      </c>
      <c r="H313">
        <v>0.09</v>
      </c>
      <c r="I313" t="s">
        <v>1812</v>
      </c>
      <c r="J313">
        <v>2699.0963999999999</v>
      </c>
    </row>
    <row r="314" spans="1:10" x14ac:dyDescent="0.3">
      <c r="A314" t="s">
        <v>2121</v>
      </c>
      <c r="B314" s="1">
        <v>45611</v>
      </c>
      <c r="C314" t="s">
        <v>100</v>
      </c>
      <c r="D314" t="s">
        <v>1691</v>
      </c>
      <c r="E314" t="s">
        <v>1790</v>
      </c>
      <c r="F314">
        <v>2</v>
      </c>
      <c r="G314">
        <v>588.9</v>
      </c>
      <c r="H314">
        <v>0.19</v>
      </c>
      <c r="I314" t="s">
        <v>1809</v>
      </c>
      <c r="J314">
        <v>954.01800000000003</v>
      </c>
    </row>
    <row r="315" spans="1:10" x14ac:dyDescent="0.3">
      <c r="A315" t="s">
        <v>2122</v>
      </c>
      <c r="B315" s="1">
        <v>45389</v>
      </c>
      <c r="C315" t="s">
        <v>951</v>
      </c>
      <c r="D315" t="s">
        <v>1631</v>
      </c>
      <c r="E315" t="s">
        <v>1744</v>
      </c>
      <c r="F315">
        <v>1</v>
      </c>
      <c r="G315">
        <v>88.92</v>
      </c>
      <c r="H315">
        <v>0.19</v>
      </c>
      <c r="I315" t="s">
        <v>1809</v>
      </c>
      <c r="J315">
        <v>72.025200000000012</v>
      </c>
    </row>
    <row r="316" spans="1:10" x14ac:dyDescent="0.3">
      <c r="A316" t="s">
        <v>2123</v>
      </c>
      <c r="B316" s="1">
        <v>45339</v>
      </c>
      <c r="C316" t="s">
        <v>406</v>
      </c>
      <c r="D316" t="s">
        <v>1653</v>
      </c>
      <c r="E316" t="s">
        <v>1787</v>
      </c>
      <c r="F316">
        <v>1</v>
      </c>
      <c r="G316">
        <v>299.13</v>
      </c>
      <c r="H316">
        <v>0.1</v>
      </c>
      <c r="I316" t="s">
        <v>1812</v>
      </c>
      <c r="J316">
        <v>269.21699999999998</v>
      </c>
    </row>
    <row r="317" spans="1:10" x14ac:dyDescent="0.3">
      <c r="A317" t="s">
        <v>2124</v>
      </c>
      <c r="B317" s="1">
        <v>45433</v>
      </c>
      <c r="C317" t="s">
        <v>400</v>
      </c>
      <c r="D317" t="s">
        <v>1685</v>
      </c>
      <c r="E317" t="s">
        <v>1749</v>
      </c>
      <c r="F317">
        <v>2</v>
      </c>
      <c r="G317">
        <v>548.29999999999995</v>
      </c>
      <c r="H317">
        <v>0.23</v>
      </c>
      <c r="I317" t="s">
        <v>1807</v>
      </c>
      <c r="J317">
        <v>844.38199999999995</v>
      </c>
    </row>
    <row r="318" spans="1:10" x14ac:dyDescent="0.3">
      <c r="A318" t="s">
        <v>2125</v>
      </c>
      <c r="B318" s="1">
        <v>45435</v>
      </c>
      <c r="C318" t="s">
        <v>829</v>
      </c>
      <c r="D318" t="s">
        <v>1639</v>
      </c>
      <c r="E318" t="s">
        <v>1772</v>
      </c>
      <c r="F318">
        <v>3</v>
      </c>
      <c r="G318">
        <v>977.55</v>
      </c>
      <c r="H318">
        <v>0.02</v>
      </c>
      <c r="I318" t="s">
        <v>1809</v>
      </c>
      <c r="J318">
        <v>2873.9969999999989</v>
      </c>
    </row>
    <row r="319" spans="1:10" x14ac:dyDescent="0.3">
      <c r="A319" t="s">
        <v>2126</v>
      </c>
      <c r="B319" s="1">
        <v>45823</v>
      </c>
      <c r="C319" t="s">
        <v>1075</v>
      </c>
      <c r="D319" t="s">
        <v>1619</v>
      </c>
      <c r="E319" t="s">
        <v>1793</v>
      </c>
      <c r="F319">
        <v>1</v>
      </c>
      <c r="G319">
        <v>459.42</v>
      </c>
      <c r="H319">
        <v>0.28000000000000003</v>
      </c>
      <c r="I319" t="s">
        <v>1812</v>
      </c>
      <c r="J319">
        <v>330.7824</v>
      </c>
    </row>
    <row r="320" spans="1:10" x14ac:dyDescent="0.3">
      <c r="A320" t="s">
        <v>2127</v>
      </c>
      <c r="B320" s="1">
        <v>45663</v>
      </c>
      <c r="C320" t="s">
        <v>313</v>
      </c>
      <c r="D320" t="s">
        <v>1532</v>
      </c>
      <c r="E320" t="s">
        <v>1752</v>
      </c>
      <c r="F320">
        <v>2</v>
      </c>
      <c r="G320">
        <v>123.19</v>
      </c>
      <c r="H320">
        <v>0.19</v>
      </c>
      <c r="I320" t="s">
        <v>1807</v>
      </c>
      <c r="J320">
        <v>199.56780000000001</v>
      </c>
    </row>
    <row r="321" spans="1:10" x14ac:dyDescent="0.3">
      <c r="A321" t="s">
        <v>2128</v>
      </c>
      <c r="B321" s="1">
        <v>45879</v>
      </c>
      <c r="C321" t="s">
        <v>1109</v>
      </c>
      <c r="D321" t="s">
        <v>1641</v>
      </c>
      <c r="E321" t="s">
        <v>1796</v>
      </c>
      <c r="F321">
        <v>1</v>
      </c>
      <c r="G321">
        <v>222.95</v>
      </c>
      <c r="H321">
        <v>0.02</v>
      </c>
      <c r="I321" t="s">
        <v>1809</v>
      </c>
      <c r="J321">
        <v>218.49100000000001</v>
      </c>
    </row>
    <row r="322" spans="1:10" x14ac:dyDescent="0.3">
      <c r="A322" t="s">
        <v>2129</v>
      </c>
      <c r="B322" s="1">
        <v>45840</v>
      </c>
      <c r="C322" t="s">
        <v>1033</v>
      </c>
      <c r="D322" t="s">
        <v>1595</v>
      </c>
      <c r="E322" t="s">
        <v>1752</v>
      </c>
      <c r="F322">
        <v>3</v>
      </c>
      <c r="G322">
        <v>601.92999999999995</v>
      </c>
      <c r="H322">
        <v>0.14000000000000001</v>
      </c>
      <c r="I322" t="s">
        <v>1807</v>
      </c>
      <c r="J322">
        <v>1552.9793999999999</v>
      </c>
    </row>
    <row r="323" spans="1:10" x14ac:dyDescent="0.3">
      <c r="A323" t="s">
        <v>2130</v>
      </c>
      <c r="B323" s="1">
        <v>45380</v>
      </c>
      <c r="C323" t="s">
        <v>930</v>
      </c>
      <c r="D323" t="s">
        <v>1669</v>
      </c>
      <c r="E323" t="s">
        <v>1744</v>
      </c>
      <c r="F323">
        <v>1</v>
      </c>
      <c r="G323">
        <v>564.1</v>
      </c>
      <c r="H323">
        <v>0.03</v>
      </c>
      <c r="I323" t="s">
        <v>1807</v>
      </c>
      <c r="J323">
        <v>547.17700000000002</v>
      </c>
    </row>
    <row r="324" spans="1:10" x14ac:dyDescent="0.3">
      <c r="A324" t="s">
        <v>2131</v>
      </c>
      <c r="B324" s="1">
        <v>45672</v>
      </c>
      <c r="C324" t="s">
        <v>336</v>
      </c>
      <c r="D324" t="s">
        <v>1691</v>
      </c>
      <c r="E324" t="s">
        <v>1756</v>
      </c>
      <c r="F324">
        <v>1</v>
      </c>
      <c r="G324">
        <v>516.62</v>
      </c>
      <c r="H324">
        <v>0.18</v>
      </c>
      <c r="I324" t="s">
        <v>1807</v>
      </c>
      <c r="J324">
        <v>423.62840000000011</v>
      </c>
    </row>
    <row r="325" spans="1:10" x14ac:dyDescent="0.3">
      <c r="A325" t="s">
        <v>2132</v>
      </c>
      <c r="B325" s="1">
        <v>45497</v>
      </c>
      <c r="C325" t="s">
        <v>1341</v>
      </c>
      <c r="D325" t="s">
        <v>1657</v>
      </c>
      <c r="E325" t="s">
        <v>1777</v>
      </c>
      <c r="F325">
        <v>1</v>
      </c>
      <c r="G325">
        <v>934.75</v>
      </c>
      <c r="H325">
        <v>0.11</v>
      </c>
      <c r="I325" t="s">
        <v>1809</v>
      </c>
      <c r="J325">
        <v>831.92750000000001</v>
      </c>
    </row>
    <row r="326" spans="1:10" x14ac:dyDescent="0.3">
      <c r="A326" t="s">
        <v>2133</v>
      </c>
      <c r="B326" s="1">
        <v>45407</v>
      </c>
      <c r="C326" t="s">
        <v>746</v>
      </c>
      <c r="D326" t="s">
        <v>1727</v>
      </c>
      <c r="E326" t="s">
        <v>1762</v>
      </c>
      <c r="F326">
        <v>4</v>
      </c>
      <c r="G326">
        <v>548.44000000000005</v>
      </c>
      <c r="H326">
        <v>0.05</v>
      </c>
      <c r="I326" t="s">
        <v>1809</v>
      </c>
      <c r="J326">
        <v>2084.0720000000001</v>
      </c>
    </row>
    <row r="327" spans="1:10" x14ac:dyDescent="0.3">
      <c r="A327" t="s">
        <v>2134</v>
      </c>
      <c r="B327" s="1">
        <v>45764</v>
      </c>
      <c r="C327" t="s">
        <v>63</v>
      </c>
      <c r="D327" t="s">
        <v>1605</v>
      </c>
      <c r="E327" t="s">
        <v>1749</v>
      </c>
      <c r="F327">
        <v>3</v>
      </c>
      <c r="G327">
        <v>361.11</v>
      </c>
      <c r="H327">
        <v>0.06</v>
      </c>
      <c r="I327" t="s">
        <v>1807</v>
      </c>
      <c r="J327">
        <v>1018.3302</v>
      </c>
    </row>
    <row r="328" spans="1:10" x14ac:dyDescent="0.3">
      <c r="A328" t="s">
        <v>2135</v>
      </c>
      <c r="B328" s="1">
        <v>45924</v>
      </c>
      <c r="C328" t="s">
        <v>610</v>
      </c>
      <c r="D328" t="s">
        <v>1557</v>
      </c>
      <c r="E328" t="s">
        <v>1740</v>
      </c>
      <c r="F328">
        <v>2</v>
      </c>
      <c r="G328">
        <v>610.37</v>
      </c>
      <c r="H328">
        <v>0.1</v>
      </c>
      <c r="I328" t="s">
        <v>1809</v>
      </c>
      <c r="J328">
        <v>1098.6659999999999</v>
      </c>
    </row>
    <row r="329" spans="1:10" x14ac:dyDescent="0.3">
      <c r="A329" t="s">
        <v>2136</v>
      </c>
      <c r="B329" s="1">
        <v>45240</v>
      </c>
      <c r="C329" t="s">
        <v>1039</v>
      </c>
      <c r="D329" t="s">
        <v>1633</v>
      </c>
      <c r="E329" t="s">
        <v>1787</v>
      </c>
      <c r="F329">
        <v>1</v>
      </c>
      <c r="G329">
        <v>272.2</v>
      </c>
      <c r="H329">
        <v>0.3</v>
      </c>
      <c r="I329" t="s">
        <v>1807</v>
      </c>
      <c r="J329">
        <v>190.54</v>
      </c>
    </row>
    <row r="330" spans="1:10" x14ac:dyDescent="0.3">
      <c r="A330" t="s">
        <v>2137</v>
      </c>
      <c r="B330" s="1">
        <v>45349</v>
      </c>
      <c r="C330" t="s">
        <v>1341</v>
      </c>
      <c r="D330" t="s">
        <v>1685</v>
      </c>
      <c r="E330" t="s">
        <v>1759</v>
      </c>
      <c r="F330">
        <v>3</v>
      </c>
      <c r="G330">
        <v>573.1</v>
      </c>
      <c r="H330">
        <v>0.16</v>
      </c>
      <c r="I330" t="s">
        <v>1812</v>
      </c>
      <c r="J330">
        <v>1444.212</v>
      </c>
    </row>
    <row r="331" spans="1:10" x14ac:dyDescent="0.3">
      <c r="A331" t="s">
        <v>2138</v>
      </c>
      <c r="B331" s="1">
        <v>45756</v>
      </c>
      <c r="C331" t="s">
        <v>1004</v>
      </c>
      <c r="D331" t="s">
        <v>1540</v>
      </c>
      <c r="E331" t="s">
        <v>1735</v>
      </c>
      <c r="F331">
        <v>4</v>
      </c>
      <c r="G331">
        <v>24.72</v>
      </c>
      <c r="H331">
        <v>0.28000000000000003</v>
      </c>
      <c r="I331" t="s">
        <v>1807</v>
      </c>
      <c r="J331">
        <v>71.193599999999989</v>
      </c>
    </row>
    <row r="332" spans="1:10" x14ac:dyDescent="0.3">
      <c r="A332" t="s">
        <v>2139</v>
      </c>
      <c r="B332" s="1">
        <v>45478</v>
      </c>
      <c r="C332" t="s">
        <v>797</v>
      </c>
      <c r="D332" t="s">
        <v>1548</v>
      </c>
      <c r="E332" t="s">
        <v>1769</v>
      </c>
      <c r="F332">
        <v>3</v>
      </c>
      <c r="G332">
        <v>268.89</v>
      </c>
      <c r="H332">
        <v>7.0000000000000007E-2</v>
      </c>
      <c r="I332" t="s">
        <v>1812</v>
      </c>
      <c r="J332">
        <v>750.20309999999995</v>
      </c>
    </row>
    <row r="333" spans="1:10" x14ac:dyDescent="0.3">
      <c r="A333" t="s">
        <v>2140</v>
      </c>
      <c r="B333" s="1">
        <v>45890</v>
      </c>
      <c r="C333" t="s">
        <v>814</v>
      </c>
      <c r="D333" t="s">
        <v>1667</v>
      </c>
      <c r="E333" t="s">
        <v>1769</v>
      </c>
      <c r="F333">
        <v>1</v>
      </c>
      <c r="G333">
        <v>78.5</v>
      </c>
      <c r="H333">
        <v>0.17</v>
      </c>
      <c r="I333" t="s">
        <v>1812</v>
      </c>
      <c r="J333">
        <v>65.155000000000001</v>
      </c>
    </row>
    <row r="334" spans="1:10" x14ac:dyDescent="0.3">
      <c r="A334" t="s">
        <v>2141</v>
      </c>
      <c r="B334" s="1">
        <v>45815</v>
      </c>
      <c r="C334" t="s">
        <v>450</v>
      </c>
      <c r="D334" t="s">
        <v>1603</v>
      </c>
      <c r="E334" t="s">
        <v>1752</v>
      </c>
      <c r="F334">
        <v>3</v>
      </c>
      <c r="G334">
        <v>399.42</v>
      </c>
      <c r="H334">
        <v>0.02</v>
      </c>
      <c r="I334" t="s">
        <v>1807</v>
      </c>
      <c r="J334">
        <v>1174.2947999999999</v>
      </c>
    </row>
    <row r="335" spans="1:10" x14ac:dyDescent="0.3">
      <c r="A335" t="s">
        <v>2142</v>
      </c>
      <c r="B335" s="1">
        <v>45891</v>
      </c>
      <c r="C335" t="s">
        <v>304</v>
      </c>
      <c r="D335" t="s">
        <v>1593</v>
      </c>
      <c r="E335" t="s">
        <v>1796</v>
      </c>
      <c r="F335">
        <v>3</v>
      </c>
      <c r="G335">
        <v>455.82</v>
      </c>
      <c r="H335">
        <v>0.01</v>
      </c>
      <c r="I335" t="s">
        <v>1809</v>
      </c>
      <c r="J335">
        <v>1353.7854</v>
      </c>
    </row>
    <row r="336" spans="1:10" x14ac:dyDescent="0.3">
      <c r="A336" t="s">
        <v>2143</v>
      </c>
      <c r="B336" s="1">
        <v>45609</v>
      </c>
      <c r="C336" t="s">
        <v>1083</v>
      </c>
      <c r="D336" t="s">
        <v>1631</v>
      </c>
      <c r="E336" t="s">
        <v>1756</v>
      </c>
      <c r="F336">
        <v>2</v>
      </c>
      <c r="G336">
        <v>613.23</v>
      </c>
      <c r="H336">
        <v>0.15</v>
      </c>
      <c r="I336" t="s">
        <v>1809</v>
      </c>
      <c r="J336">
        <v>1042.491</v>
      </c>
    </row>
    <row r="337" spans="1:10" x14ac:dyDescent="0.3">
      <c r="A337" t="s">
        <v>2144</v>
      </c>
      <c r="B337" s="1">
        <v>45309</v>
      </c>
      <c r="C337" t="s">
        <v>1398</v>
      </c>
      <c r="D337" t="s">
        <v>1532</v>
      </c>
      <c r="E337" t="s">
        <v>1782</v>
      </c>
      <c r="F337">
        <v>4</v>
      </c>
      <c r="G337">
        <v>971.9</v>
      </c>
      <c r="H337">
        <v>0.28000000000000003</v>
      </c>
      <c r="I337" t="s">
        <v>1809</v>
      </c>
      <c r="J337">
        <v>2799.0720000000001</v>
      </c>
    </row>
    <row r="338" spans="1:10" x14ac:dyDescent="0.3">
      <c r="A338" t="s">
        <v>2145</v>
      </c>
      <c r="B338" s="1">
        <v>45519</v>
      </c>
      <c r="C338" t="s">
        <v>136</v>
      </c>
      <c r="D338" t="s">
        <v>1587</v>
      </c>
      <c r="E338" t="s">
        <v>1762</v>
      </c>
      <c r="F338">
        <v>3</v>
      </c>
      <c r="G338">
        <v>884.92</v>
      </c>
      <c r="H338">
        <v>0.06</v>
      </c>
      <c r="I338" t="s">
        <v>1809</v>
      </c>
      <c r="J338">
        <v>2495.4744000000001</v>
      </c>
    </row>
    <row r="339" spans="1:10" x14ac:dyDescent="0.3">
      <c r="A339" t="s">
        <v>2146</v>
      </c>
      <c r="B339" s="1">
        <v>45921</v>
      </c>
      <c r="C339" t="s">
        <v>310</v>
      </c>
      <c r="D339" t="s">
        <v>1545</v>
      </c>
      <c r="E339" t="s">
        <v>1769</v>
      </c>
      <c r="F339">
        <v>1</v>
      </c>
      <c r="G339">
        <v>125</v>
      </c>
      <c r="H339">
        <v>0.23</v>
      </c>
      <c r="I339" t="s">
        <v>1807</v>
      </c>
      <c r="J339">
        <v>96.25</v>
      </c>
    </row>
    <row r="340" spans="1:10" x14ac:dyDescent="0.3">
      <c r="A340" t="s">
        <v>2147</v>
      </c>
      <c r="B340" s="1">
        <v>45465</v>
      </c>
      <c r="C340" t="s">
        <v>436</v>
      </c>
      <c r="D340" t="s">
        <v>1551</v>
      </c>
      <c r="E340" t="s">
        <v>1784</v>
      </c>
      <c r="F340">
        <v>2</v>
      </c>
      <c r="G340">
        <v>188.25</v>
      </c>
      <c r="H340">
        <v>0.08</v>
      </c>
      <c r="I340" t="s">
        <v>1809</v>
      </c>
      <c r="J340">
        <v>346.38</v>
      </c>
    </row>
    <row r="341" spans="1:10" x14ac:dyDescent="0.3">
      <c r="A341" t="s">
        <v>2148</v>
      </c>
      <c r="B341" s="1">
        <v>45303</v>
      </c>
      <c r="C341" t="s">
        <v>713</v>
      </c>
      <c r="D341" t="s">
        <v>1623</v>
      </c>
      <c r="E341" t="s">
        <v>1759</v>
      </c>
      <c r="F341">
        <v>4</v>
      </c>
      <c r="G341">
        <v>344.12</v>
      </c>
      <c r="H341">
        <v>0.25</v>
      </c>
      <c r="I341" t="s">
        <v>1809</v>
      </c>
      <c r="J341">
        <v>1032.3599999999999</v>
      </c>
    </row>
    <row r="342" spans="1:10" x14ac:dyDescent="0.3">
      <c r="A342" t="s">
        <v>2149</v>
      </c>
      <c r="B342" s="1">
        <v>45218</v>
      </c>
      <c r="C342" t="s">
        <v>178</v>
      </c>
      <c r="D342" t="s">
        <v>1565</v>
      </c>
      <c r="E342" t="s">
        <v>1796</v>
      </c>
      <c r="F342">
        <v>3</v>
      </c>
      <c r="G342">
        <v>997.95</v>
      </c>
      <c r="H342">
        <v>0.09</v>
      </c>
      <c r="I342" t="s">
        <v>1812</v>
      </c>
      <c r="J342">
        <v>2724.4034999999999</v>
      </c>
    </row>
    <row r="343" spans="1:10" x14ac:dyDescent="0.3">
      <c r="A343" t="s">
        <v>2150</v>
      </c>
      <c r="B343" s="1">
        <v>45727</v>
      </c>
      <c r="C343" t="s">
        <v>500</v>
      </c>
      <c r="D343" t="s">
        <v>1553</v>
      </c>
      <c r="E343" t="s">
        <v>1784</v>
      </c>
      <c r="F343">
        <v>3</v>
      </c>
      <c r="G343">
        <v>121.64</v>
      </c>
      <c r="H343">
        <v>7.0000000000000007E-2</v>
      </c>
      <c r="I343" t="s">
        <v>1809</v>
      </c>
      <c r="J343">
        <v>339.37560000000002</v>
      </c>
    </row>
    <row r="344" spans="1:10" x14ac:dyDescent="0.3">
      <c r="A344" t="s">
        <v>2151</v>
      </c>
      <c r="B344" s="1">
        <v>45557</v>
      </c>
      <c r="C344" t="s">
        <v>710</v>
      </c>
      <c r="D344" t="s">
        <v>1667</v>
      </c>
      <c r="E344" t="s">
        <v>1772</v>
      </c>
      <c r="F344">
        <v>2</v>
      </c>
      <c r="G344">
        <v>692.72</v>
      </c>
      <c r="H344">
        <v>0.13</v>
      </c>
      <c r="I344" t="s">
        <v>1809</v>
      </c>
      <c r="J344">
        <v>1205.3327999999999</v>
      </c>
    </row>
    <row r="345" spans="1:10" x14ac:dyDescent="0.3">
      <c r="A345" t="s">
        <v>2152</v>
      </c>
      <c r="B345" s="1">
        <v>45623</v>
      </c>
      <c r="C345" t="s">
        <v>114</v>
      </c>
      <c r="D345" t="s">
        <v>1579</v>
      </c>
      <c r="E345" t="s">
        <v>1796</v>
      </c>
      <c r="F345">
        <v>3</v>
      </c>
      <c r="G345">
        <v>794.59</v>
      </c>
      <c r="H345">
        <v>0.03</v>
      </c>
      <c r="I345" t="s">
        <v>1809</v>
      </c>
      <c r="J345">
        <v>2312.2568999999999</v>
      </c>
    </row>
    <row r="346" spans="1:10" x14ac:dyDescent="0.3">
      <c r="A346" t="s">
        <v>2153</v>
      </c>
      <c r="B346" s="1">
        <v>45224</v>
      </c>
      <c r="C346" t="s">
        <v>67</v>
      </c>
      <c r="D346" t="s">
        <v>1583</v>
      </c>
      <c r="E346" t="s">
        <v>1769</v>
      </c>
      <c r="F346">
        <v>1</v>
      </c>
      <c r="G346">
        <v>907.95</v>
      </c>
      <c r="H346">
        <v>0.1</v>
      </c>
      <c r="I346" t="s">
        <v>1809</v>
      </c>
      <c r="J346">
        <v>817.15500000000009</v>
      </c>
    </row>
    <row r="347" spans="1:10" x14ac:dyDescent="0.3">
      <c r="A347" t="s">
        <v>2154</v>
      </c>
      <c r="B347" s="1">
        <v>45940</v>
      </c>
      <c r="C347" t="s">
        <v>903</v>
      </c>
      <c r="D347" t="s">
        <v>1631</v>
      </c>
      <c r="E347" t="s">
        <v>1735</v>
      </c>
      <c r="F347">
        <v>2</v>
      </c>
      <c r="G347">
        <v>660.81</v>
      </c>
      <c r="H347">
        <v>0.18</v>
      </c>
      <c r="I347" t="s">
        <v>1807</v>
      </c>
      <c r="J347">
        <v>1083.7284</v>
      </c>
    </row>
    <row r="348" spans="1:10" x14ac:dyDescent="0.3">
      <c r="A348" t="s">
        <v>2155</v>
      </c>
      <c r="B348" s="1">
        <v>45915</v>
      </c>
      <c r="C348" t="s">
        <v>224</v>
      </c>
      <c r="D348" t="s">
        <v>1633</v>
      </c>
      <c r="E348" t="s">
        <v>1765</v>
      </c>
      <c r="F348">
        <v>3</v>
      </c>
      <c r="G348">
        <v>564.94000000000005</v>
      </c>
      <c r="H348">
        <v>0.22</v>
      </c>
      <c r="I348" t="s">
        <v>1812</v>
      </c>
      <c r="J348">
        <v>1321.9595999999999</v>
      </c>
    </row>
    <row r="349" spans="1:10" x14ac:dyDescent="0.3">
      <c r="A349" t="s">
        <v>2156</v>
      </c>
      <c r="B349" s="1">
        <v>45541</v>
      </c>
      <c r="C349" t="s">
        <v>202</v>
      </c>
      <c r="D349" t="s">
        <v>1561</v>
      </c>
      <c r="E349" t="s">
        <v>1784</v>
      </c>
      <c r="F349">
        <v>2</v>
      </c>
      <c r="G349">
        <v>280.37</v>
      </c>
      <c r="H349">
        <v>0.22</v>
      </c>
      <c r="I349" t="s">
        <v>1812</v>
      </c>
      <c r="J349">
        <v>437.37720000000002</v>
      </c>
    </row>
    <row r="350" spans="1:10" x14ac:dyDescent="0.3">
      <c r="A350" t="s">
        <v>2157</v>
      </c>
      <c r="B350" s="1">
        <v>45489</v>
      </c>
      <c r="C350" t="s">
        <v>1150</v>
      </c>
      <c r="D350" t="s">
        <v>1631</v>
      </c>
      <c r="E350" t="s">
        <v>1749</v>
      </c>
      <c r="F350">
        <v>2</v>
      </c>
      <c r="G350">
        <v>85.23</v>
      </c>
      <c r="H350">
        <v>0.13</v>
      </c>
      <c r="I350" t="s">
        <v>1807</v>
      </c>
      <c r="J350">
        <v>148.30019999999999</v>
      </c>
    </row>
    <row r="351" spans="1:10" x14ac:dyDescent="0.3">
      <c r="A351" t="s">
        <v>2158</v>
      </c>
      <c r="B351" s="1">
        <v>45748</v>
      </c>
      <c r="C351" t="s">
        <v>974</v>
      </c>
      <c r="D351" t="s">
        <v>1585</v>
      </c>
      <c r="E351" t="s">
        <v>1780</v>
      </c>
      <c r="F351">
        <v>2</v>
      </c>
      <c r="G351">
        <v>563.29999999999995</v>
      </c>
      <c r="H351">
        <v>0.26</v>
      </c>
      <c r="I351" t="s">
        <v>1807</v>
      </c>
      <c r="J351">
        <v>833.68399999999997</v>
      </c>
    </row>
    <row r="352" spans="1:10" x14ac:dyDescent="0.3">
      <c r="A352" t="s">
        <v>2159</v>
      </c>
      <c r="B352" s="1">
        <v>45309</v>
      </c>
      <c r="C352" t="s">
        <v>134</v>
      </c>
      <c r="D352" t="s">
        <v>1691</v>
      </c>
      <c r="E352" t="s">
        <v>1793</v>
      </c>
      <c r="F352">
        <v>2</v>
      </c>
      <c r="G352">
        <v>827.81</v>
      </c>
      <c r="H352">
        <v>0.04</v>
      </c>
      <c r="I352" t="s">
        <v>1809</v>
      </c>
      <c r="J352">
        <v>1589.3951999999999</v>
      </c>
    </row>
    <row r="353" spans="1:10" x14ac:dyDescent="0.3">
      <c r="A353" t="s">
        <v>2160</v>
      </c>
      <c r="B353" s="1">
        <v>45621</v>
      </c>
      <c r="C353" t="s">
        <v>690</v>
      </c>
      <c r="D353" t="s">
        <v>1555</v>
      </c>
      <c r="E353" t="s">
        <v>1793</v>
      </c>
      <c r="F353">
        <v>3</v>
      </c>
      <c r="G353">
        <v>877.71</v>
      </c>
      <c r="H353">
        <v>0.12</v>
      </c>
      <c r="I353" t="s">
        <v>1809</v>
      </c>
      <c r="J353">
        <v>2317.1543999999999</v>
      </c>
    </row>
    <row r="354" spans="1:10" x14ac:dyDescent="0.3">
      <c r="A354" t="s">
        <v>2161</v>
      </c>
      <c r="B354" s="1">
        <v>45603</v>
      </c>
      <c r="C354" t="s">
        <v>814</v>
      </c>
      <c r="D354" t="s">
        <v>1645</v>
      </c>
      <c r="E354" t="s">
        <v>1769</v>
      </c>
      <c r="F354">
        <v>4</v>
      </c>
      <c r="G354">
        <v>488.56</v>
      </c>
      <c r="H354">
        <v>0.26</v>
      </c>
      <c r="I354" t="s">
        <v>1812</v>
      </c>
      <c r="J354">
        <v>1446.1376</v>
      </c>
    </row>
    <row r="355" spans="1:10" x14ac:dyDescent="0.3">
      <c r="A355" t="s">
        <v>2162</v>
      </c>
      <c r="B355" s="1">
        <v>45501</v>
      </c>
      <c r="C355" t="s">
        <v>364</v>
      </c>
      <c r="D355" t="s">
        <v>1581</v>
      </c>
      <c r="E355" t="s">
        <v>1777</v>
      </c>
      <c r="F355">
        <v>4</v>
      </c>
      <c r="G355">
        <v>175.91</v>
      </c>
      <c r="H355">
        <v>0.13</v>
      </c>
      <c r="I355" t="s">
        <v>1809</v>
      </c>
      <c r="J355">
        <v>612.16679999999997</v>
      </c>
    </row>
    <row r="356" spans="1:10" x14ac:dyDescent="0.3">
      <c r="A356" t="s">
        <v>2163</v>
      </c>
      <c r="B356" s="1">
        <v>45398</v>
      </c>
      <c r="C356" t="s">
        <v>788</v>
      </c>
      <c r="D356" t="s">
        <v>1705</v>
      </c>
      <c r="E356" t="s">
        <v>1765</v>
      </c>
      <c r="F356">
        <v>4</v>
      </c>
      <c r="G356">
        <v>289.66000000000003</v>
      </c>
      <c r="H356">
        <v>0.25</v>
      </c>
      <c r="I356" t="s">
        <v>1812</v>
      </c>
      <c r="J356">
        <v>868.98</v>
      </c>
    </row>
    <row r="357" spans="1:10" x14ac:dyDescent="0.3">
      <c r="A357" t="s">
        <v>2164</v>
      </c>
      <c r="B357" s="1">
        <v>45304</v>
      </c>
      <c r="C357" t="s">
        <v>767</v>
      </c>
      <c r="D357" t="s">
        <v>1561</v>
      </c>
      <c r="E357" t="s">
        <v>1784</v>
      </c>
      <c r="F357">
        <v>2</v>
      </c>
      <c r="G357">
        <v>899.27</v>
      </c>
      <c r="H357">
        <v>0.17</v>
      </c>
      <c r="I357" t="s">
        <v>1807</v>
      </c>
      <c r="J357">
        <v>1492.7882</v>
      </c>
    </row>
    <row r="358" spans="1:10" x14ac:dyDescent="0.3">
      <c r="A358" t="s">
        <v>2165</v>
      </c>
      <c r="B358" s="1">
        <v>45299</v>
      </c>
      <c r="C358" t="s">
        <v>238</v>
      </c>
      <c r="D358" t="s">
        <v>1567</v>
      </c>
      <c r="E358" t="s">
        <v>1740</v>
      </c>
      <c r="F358">
        <v>1</v>
      </c>
      <c r="G358">
        <v>691.38</v>
      </c>
      <c r="H358">
        <v>0.11</v>
      </c>
      <c r="I358" t="s">
        <v>1812</v>
      </c>
      <c r="J358">
        <v>615.32820000000004</v>
      </c>
    </row>
    <row r="359" spans="1:10" x14ac:dyDescent="0.3">
      <c r="A359" t="s">
        <v>2166</v>
      </c>
      <c r="B359" s="1">
        <v>45564</v>
      </c>
      <c r="C359" t="s">
        <v>545</v>
      </c>
      <c r="D359" t="s">
        <v>1585</v>
      </c>
      <c r="E359" t="s">
        <v>1735</v>
      </c>
      <c r="F359">
        <v>3</v>
      </c>
      <c r="G359">
        <v>158.72</v>
      </c>
      <c r="H359">
        <v>0.13</v>
      </c>
      <c r="I359" t="s">
        <v>1807</v>
      </c>
      <c r="J359">
        <v>414.25920000000002</v>
      </c>
    </row>
    <row r="360" spans="1:10" x14ac:dyDescent="0.3">
      <c r="A360" t="s">
        <v>2167</v>
      </c>
      <c r="B360" s="1">
        <v>45413</v>
      </c>
      <c r="C360" t="s">
        <v>678</v>
      </c>
      <c r="D360" t="s">
        <v>1651</v>
      </c>
      <c r="E360" t="s">
        <v>1787</v>
      </c>
      <c r="F360">
        <v>4</v>
      </c>
      <c r="G360">
        <v>537.15</v>
      </c>
      <c r="H360">
        <v>0.06</v>
      </c>
      <c r="I360" t="s">
        <v>1812</v>
      </c>
      <c r="J360">
        <v>2019.684</v>
      </c>
    </row>
    <row r="361" spans="1:10" x14ac:dyDescent="0.3">
      <c r="A361" t="s">
        <v>2168</v>
      </c>
      <c r="B361" s="1">
        <v>45480</v>
      </c>
      <c r="C361" t="s">
        <v>1281</v>
      </c>
      <c r="D361" t="s">
        <v>1613</v>
      </c>
      <c r="E361" t="s">
        <v>1769</v>
      </c>
      <c r="F361">
        <v>3</v>
      </c>
      <c r="G361">
        <v>771.7</v>
      </c>
      <c r="H361">
        <v>0.05</v>
      </c>
      <c r="I361" t="s">
        <v>1812</v>
      </c>
      <c r="J361">
        <v>2199.3449999999998</v>
      </c>
    </row>
    <row r="362" spans="1:10" x14ac:dyDescent="0.3">
      <c r="A362" t="s">
        <v>2169</v>
      </c>
      <c r="B362" s="1">
        <v>45610</v>
      </c>
      <c r="C362" t="s">
        <v>376</v>
      </c>
      <c r="D362" t="s">
        <v>1707</v>
      </c>
      <c r="E362" t="s">
        <v>1740</v>
      </c>
      <c r="F362">
        <v>4</v>
      </c>
      <c r="G362">
        <v>677.25</v>
      </c>
      <c r="H362">
        <v>0.14000000000000001</v>
      </c>
      <c r="I362" t="s">
        <v>1809</v>
      </c>
      <c r="J362">
        <v>2329.7399999999998</v>
      </c>
    </row>
    <row r="363" spans="1:10" x14ac:dyDescent="0.3">
      <c r="A363" t="s">
        <v>2170</v>
      </c>
      <c r="B363" s="1">
        <v>45763</v>
      </c>
      <c r="C363" t="s">
        <v>358</v>
      </c>
      <c r="D363" t="s">
        <v>1727</v>
      </c>
      <c r="E363" t="s">
        <v>1775</v>
      </c>
      <c r="F363">
        <v>1</v>
      </c>
      <c r="G363">
        <v>645.48</v>
      </c>
      <c r="H363">
        <v>0.26</v>
      </c>
      <c r="I363" t="s">
        <v>1812</v>
      </c>
      <c r="J363">
        <v>477.65519999999998</v>
      </c>
    </row>
    <row r="364" spans="1:10" x14ac:dyDescent="0.3">
      <c r="A364" t="s">
        <v>2171</v>
      </c>
      <c r="B364" s="1">
        <v>45856</v>
      </c>
      <c r="C364" t="s">
        <v>1115</v>
      </c>
      <c r="D364" t="s">
        <v>1677</v>
      </c>
      <c r="E364" t="s">
        <v>1744</v>
      </c>
      <c r="F364">
        <v>2</v>
      </c>
      <c r="G364">
        <v>934</v>
      </c>
      <c r="H364">
        <v>0.3</v>
      </c>
      <c r="I364" t="s">
        <v>1812</v>
      </c>
      <c r="J364">
        <v>1307.5999999999999</v>
      </c>
    </row>
    <row r="365" spans="1:10" x14ac:dyDescent="0.3">
      <c r="A365" t="s">
        <v>2172</v>
      </c>
      <c r="B365" s="1">
        <v>45712</v>
      </c>
      <c r="C365" t="s">
        <v>1039</v>
      </c>
      <c r="D365" t="s">
        <v>1623</v>
      </c>
      <c r="E365" t="s">
        <v>1744</v>
      </c>
      <c r="F365">
        <v>1</v>
      </c>
      <c r="G365">
        <v>669.53</v>
      </c>
      <c r="H365">
        <v>0.2</v>
      </c>
      <c r="I365" t="s">
        <v>1807</v>
      </c>
      <c r="J365">
        <v>535.62400000000002</v>
      </c>
    </row>
    <row r="366" spans="1:10" x14ac:dyDescent="0.3">
      <c r="A366" t="s">
        <v>2173</v>
      </c>
      <c r="B366" s="1">
        <v>45723</v>
      </c>
      <c r="C366" t="s">
        <v>696</v>
      </c>
      <c r="D366" t="s">
        <v>1601</v>
      </c>
      <c r="E366" t="s">
        <v>1793</v>
      </c>
      <c r="F366">
        <v>1</v>
      </c>
      <c r="G366">
        <v>213.69</v>
      </c>
      <c r="H366">
        <v>0.28000000000000003</v>
      </c>
      <c r="I366" t="s">
        <v>1812</v>
      </c>
      <c r="J366">
        <v>153.85679999999999</v>
      </c>
    </row>
    <row r="367" spans="1:10" x14ac:dyDescent="0.3">
      <c r="A367" t="s">
        <v>2174</v>
      </c>
      <c r="B367" s="1">
        <v>45706</v>
      </c>
      <c r="C367" t="s">
        <v>278</v>
      </c>
      <c r="D367" t="s">
        <v>1573</v>
      </c>
      <c r="E367" t="s">
        <v>1796</v>
      </c>
      <c r="F367">
        <v>2</v>
      </c>
      <c r="G367">
        <v>99.1</v>
      </c>
      <c r="H367">
        <v>0.2</v>
      </c>
      <c r="I367" t="s">
        <v>1809</v>
      </c>
      <c r="J367">
        <v>158.56</v>
      </c>
    </row>
    <row r="368" spans="1:10" x14ac:dyDescent="0.3">
      <c r="A368" t="s">
        <v>2175</v>
      </c>
      <c r="B368" s="1">
        <v>45469</v>
      </c>
      <c r="C368" t="s">
        <v>1144</v>
      </c>
      <c r="D368" t="s">
        <v>1605</v>
      </c>
      <c r="E368" t="s">
        <v>1787</v>
      </c>
      <c r="F368">
        <v>1</v>
      </c>
      <c r="G368">
        <v>628.98</v>
      </c>
      <c r="H368">
        <v>0.03</v>
      </c>
      <c r="I368" t="s">
        <v>1812</v>
      </c>
      <c r="J368">
        <v>610.11059999999998</v>
      </c>
    </row>
    <row r="369" spans="1:10" x14ac:dyDescent="0.3">
      <c r="A369" t="s">
        <v>2176</v>
      </c>
      <c r="B369" s="1">
        <v>45711</v>
      </c>
      <c r="C369" t="s">
        <v>304</v>
      </c>
      <c r="D369" t="s">
        <v>1699</v>
      </c>
      <c r="E369" t="s">
        <v>1752</v>
      </c>
      <c r="F369">
        <v>3</v>
      </c>
      <c r="G369">
        <v>944.64</v>
      </c>
      <c r="H369">
        <v>0.26</v>
      </c>
      <c r="I369" t="s">
        <v>1807</v>
      </c>
      <c r="J369">
        <v>2097.1008000000002</v>
      </c>
    </row>
    <row r="370" spans="1:10" x14ac:dyDescent="0.3">
      <c r="A370" t="s">
        <v>2177</v>
      </c>
      <c r="B370" s="1">
        <v>45823</v>
      </c>
      <c r="C370" t="s">
        <v>1436</v>
      </c>
      <c r="D370" t="s">
        <v>1717</v>
      </c>
      <c r="E370" t="s">
        <v>1777</v>
      </c>
      <c r="F370">
        <v>2</v>
      </c>
      <c r="G370">
        <v>121.7</v>
      </c>
      <c r="H370">
        <v>0.06</v>
      </c>
      <c r="I370" t="s">
        <v>1812</v>
      </c>
      <c r="J370">
        <v>228.79599999999999</v>
      </c>
    </row>
    <row r="371" spans="1:10" x14ac:dyDescent="0.3">
      <c r="A371" t="s">
        <v>2178</v>
      </c>
      <c r="B371" s="1">
        <v>45217</v>
      </c>
      <c r="C371" t="s">
        <v>1370</v>
      </c>
      <c r="D371" t="s">
        <v>1661</v>
      </c>
      <c r="E371" t="s">
        <v>1749</v>
      </c>
      <c r="F371">
        <v>4</v>
      </c>
      <c r="G371">
        <v>269.49</v>
      </c>
      <c r="H371">
        <v>7.0000000000000007E-2</v>
      </c>
      <c r="I371" t="s">
        <v>1809</v>
      </c>
      <c r="J371">
        <v>1002.5028</v>
      </c>
    </row>
    <row r="372" spans="1:10" x14ac:dyDescent="0.3">
      <c r="A372" t="s">
        <v>2179</v>
      </c>
      <c r="B372" s="1">
        <v>45733</v>
      </c>
      <c r="C372" t="s">
        <v>348</v>
      </c>
      <c r="D372" t="s">
        <v>1575</v>
      </c>
      <c r="E372" t="s">
        <v>1793</v>
      </c>
      <c r="F372">
        <v>1</v>
      </c>
      <c r="G372">
        <v>678.2</v>
      </c>
      <c r="H372">
        <v>0.14000000000000001</v>
      </c>
      <c r="I372" t="s">
        <v>1807</v>
      </c>
      <c r="J372">
        <v>583.25200000000007</v>
      </c>
    </row>
    <row r="373" spans="1:10" x14ac:dyDescent="0.3">
      <c r="A373" t="s">
        <v>2180</v>
      </c>
      <c r="B373" s="1">
        <v>45520</v>
      </c>
      <c r="C373" t="s">
        <v>737</v>
      </c>
      <c r="D373" t="s">
        <v>1711</v>
      </c>
      <c r="E373" t="s">
        <v>1780</v>
      </c>
      <c r="F373">
        <v>1</v>
      </c>
      <c r="G373">
        <v>752.45</v>
      </c>
      <c r="H373">
        <v>0.21</v>
      </c>
      <c r="I373" t="s">
        <v>1812</v>
      </c>
      <c r="J373">
        <v>594.43550000000005</v>
      </c>
    </row>
    <row r="374" spans="1:10" x14ac:dyDescent="0.3">
      <c r="A374" t="s">
        <v>2181</v>
      </c>
      <c r="B374" s="1">
        <v>45373</v>
      </c>
      <c r="C374" t="s">
        <v>146</v>
      </c>
      <c r="D374" t="s">
        <v>1719</v>
      </c>
      <c r="E374" t="s">
        <v>1780</v>
      </c>
      <c r="F374">
        <v>2</v>
      </c>
      <c r="G374">
        <v>209.66</v>
      </c>
      <c r="H374">
        <v>0.21</v>
      </c>
      <c r="I374" t="s">
        <v>1807</v>
      </c>
      <c r="J374">
        <v>331.26280000000003</v>
      </c>
    </row>
    <row r="375" spans="1:10" x14ac:dyDescent="0.3">
      <c r="A375" t="s">
        <v>2182</v>
      </c>
      <c r="B375" s="1">
        <v>45688</v>
      </c>
      <c r="C375" t="s">
        <v>533</v>
      </c>
      <c r="D375" t="s">
        <v>1725</v>
      </c>
      <c r="E375" t="s">
        <v>1796</v>
      </c>
      <c r="F375">
        <v>2</v>
      </c>
      <c r="G375">
        <v>739.95</v>
      </c>
      <c r="H375">
        <v>0.1</v>
      </c>
      <c r="I375" t="s">
        <v>1812</v>
      </c>
      <c r="J375">
        <v>1331.91</v>
      </c>
    </row>
    <row r="376" spans="1:10" x14ac:dyDescent="0.3">
      <c r="A376" t="s">
        <v>2183</v>
      </c>
      <c r="B376" s="1">
        <v>45276</v>
      </c>
      <c r="C376" t="s">
        <v>1430</v>
      </c>
      <c r="D376" t="s">
        <v>1621</v>
      </c>
      <c r="E376" t="s">
        <v>1784</v>
      </c>
      <c r="F376">
        <v>1</v>
      </c>
      <c r="G376">
        <v>496.19</v>
      </c>
      <c r="H376">
        <v>0.08</v>
      </c>
      <c r="I376" t="s">
        <v>1812</v>
      </c>
      <c r="J376">
        <v>456.4948</v>
      </c>
    </row>
    <row r="377" spans="1:10" x14ac:dyDescent="0.3">
      <c r="A377" t="s">
        <v>2184</v>
      </c>
      <c r="B377" s="1">
        <v>45756</v>
      </c>
      <c r="C377" t="s">
        <v>171</v>
      </c>
      <c r="D377" t="s">
        <v>1548</v>
      </c>
      <c r="E377" t="s">
        <v>1777</v>
      </c>
      <c r="F377">
        <v>1</v>
      </c>
      <c r="G377">
        <v>306.36</v>
      </c>
      <c r="H377">
        <v>0.01</v>
      </c>
      <c r="I377" t="s">
        <v>1809</v>
      </c>
      <c r="J377">
        <v>303.29640000000001</v>
      </c>
    </row>
    <row r="378" spans="1:10" x14ac:dyDescent="0.3">
      <c r="A378" t="s">
        <v>2185</v>
      </c>
      <c r="B378" s="1">
        <v>45309</v>
      </c>
      <c r="C378" t="s">
        <v>412</v>
      </c>
      <c r="D378" t="s">
        <v>1677</v>
      </c>
      <c r="E378" t="s">
        <v>1752</v>
      </c>
      <c r="F378">
        <v>4</v>
      </c>
      <c r="G378">
        <v>693.16</v>
      </c>
      <c r="H378">
        <v>0.05</v>
      </c>
      <c r="I378" t="s">
        <v>1809</v>
      </c>
      <c r="J378">
        <v>2634.0079999999998</v>
      </c>
    </row>
    <row r="379" spans="1:10" x14ac:dyDescent="0.3">
      <c r="A379" t="s">
        <v>2186</v>
      </c>
      <c r="B379" s="1">
        <v>45744</v>
      </c>
      <c r="C379" t="s">
        <v>1389</v>
      </c>
      <c r="D379" t="s">
        <v>1697</v>
      </c>
      <c r="E379" t="s">
        <v>1772</v>
      </c>
      <c r="F379">
        <v>1</v>
      </c>
      <c r="G379">
        <v>995.52</v>
      </c>
      <c r="H379">
        <v>0.22</v>
      </c>
      <c r="I379" t="s">
        <v>1809</v>
      </c>
      <c r="J379">
        <v>776.50559999999996</v>
      </c>
    </row>
    <row r="380" spans="1:10" x14ac:dyDescent="0.3">
      <c r="A380" t="s">
        <v>2187</v>
      </c>
      <c r="B380" s="1">
        <v>45535</v>
      </c>
      <c r="C380" t="s">
        <v>426</v>
      </c>
      <c r="D380" t="s">
        <v>1543</v>
      </c>
      <c r="E380" t="s">
        <v>1793</v>
      </c>
      <c r="F380">
        <v>4</v>
      </c>
      <c r="G380">
        <v>241.32</v>
      </c>
      <c r="H380">
        <v>0.28999999999999998</v>
      </c>
      <c r="I380" t="s">
        <v>1812</v>
      </c>
      <c r="J380">
        <v>685.34879999999998</v>
      </c>
    </row>
    <row r="381" spans="1:10" x14ac:dyDescent="0.3">
      <c r="A381" t="s">
        <v>2188</v>
      </c>
      <c r="B381" s="1">
        <v>45240</v>
      </c>
      <c r="C381" t="s">
        <v>761</v>
      </c>
      <c r="D381" t="s">
        <v>1687</v>
      </c>
      <c r="E381" t="s">
        <v>1740</v>
      </c>
      <c r="F381">
        <v>3</v>
      </c>
      <c r="G381">
        <v>636.03</v>
      </c>
      <c r="H381">
        <v>0.06</v>
      </c>
      <c r="I381" t="s">
        <v>1812</v>
      </c>
      <c r="J381">
        <v>1793.6045999999999</v>
      </c>
    </row>
    <row r="382" spans="1:10" x14ac:dyDescent="0.3">
      <c r="A382" t="s">
        <v>2189</v>
      </c>
      <c r="B382" s="1">
        <v>45275</v>
      </c>
      <c r="C382" t="s">
        <v>339</v>
      </c>
      <c r="D382" t="s">
        <v>1536</v>
      </c>
      <c r="E382" t="s">
        <v>1796</v>
      </c>
      <c r="F382">
        <v>4</v>
      </c>
      <c r="G382">
        <v>603.30999999999995</v>
      </c>
      <c r="H382">
        <v>0.15</v>
      </c>
      <c r="I382" t="s">
        <v>1807</v>
      </c>
      <c r="J382">
        <v>2051.2539999999999</v>
      </c>
    </row>
    <row r="383" spans="1:10" x14ac:dyDescent="0.3">
      <c r="A383" t="s">
        <v>2190</v>
      </c>
      <c r="B383" s="1">
        <v>45427</v>
      </c>
      <c r="C383" t="s">
        <v>272</v>
      </c>
      <c r="D383" t="s">
        <v>1709</v>
      </c>
      <c r="E383" t="s">
        <v>1772</v>
      </c>
      <c r="F383">
        <v>3</v>
      </c>
      <c r="G383">
        <v>437.96</v>
      </c>
      <c r="H383">
        <v>0.27</v>
      </c>
      <c r="I383" t="s">
        <v>1812</v>
      </c>
      <c r="J383">
        <v>959.13239999999985</v>
      </c>
    </row>
    <row r="384" spans="1:10" x14ac:dyDescent="0.3">
      <c r="A384" t="s">
        <v>2191</v>
      </c>
      <c r="B384" s="1">
        <v>45322</v>
      </c>
      <c r="C384" t="s">
        <v>672</v>
      </c>
      <c r="D384" t="s">
        <v>1599</v>
      </c>
      <c r="E384" t="s">
        <v>1752</v>
      </c>
      <c r="F384">
        <v>2</v>
      </c>
      <c r="G384">
        <v>56.91</v>
      </c>
      <c r="H384">
        <v>0.08</v>
      </c>
      <c r="I384" t="s">
        <v>1812</v>
      </c>
      <c r="J384">
        <v>104.7144</v>
      </c>
    </row>
    <row r="385" spans="1:10" x14ac:dyDescent="0.3">
      <c r="A385" t="s">
        <v>2192</v>
      </c>
      <c r="B385" s="1">
        <v>45266</v>
      </c>
      <c r="C385" t="s">
        <v>1039</v>
      </c>
      <c r="D385" t="s">
        <v>1683</v>
      </c>
      <c r="E385" t="s">
        <v>1759</v>
      </c>
      <c r="F385">
        <v>1</v>
      </c>
      <c r="G385">
        <v>141.79</v>
      </c>
      <c r="H385">
        <v>0.1</v>
      </c>
      <c r="I385" t="s">
        <v>1807</v>
      </c>
      <c r="J385">
        <v>127.611</v>
      </c>
    </row>
    <row r="386" spans="1:10" x14ac:dyDescent="0.3">
      <c r="A386" t="s">
        <v>2193</v>
      </c>
      <c r="B386" s="1">
        <v>45302</v>
      </c>
      <c r="C386" t="s">
        <v>1470</v>
      </c>
      <c r="D386" t="s">
        <v>1548</v>
      </c>
      <c r="E386" t="s">
        <v>1784</v>
      </c>
      <c r="F386">
        <v>4</v>
      </c>
      <c r="G386">
        <v>355.14</v>
      </c>
      <c r="H386">
        <v>0.16</v>
      </c>
      <c r="I386" t="s">
        <v>1812</v>
      </c>
      <c r="J386">
        <v>1193.2704000000001</v>
      </c>
    </row>
    <row r="387" spans="1:10" x14ac:dyDescent="0.3">
      <c r="A387" t="s">
        <v>2194</v>
      </c>
      <c r="B387" s="1">
        <v>45907</v>
      </c>
      <c r="C387" t="s">
        <v>681</v>
      </c>
      <c r="D387" t="s">
        <v>1607</v>
      </c>
      <c r="E387" t="s">
        <v>1759</v>
      </c>
      <c r="F387">
        <v>4</v>
      </c>
      <c r="G387">
        <v>960.38</v>
      </c>
      <c r="H387">
        <v>0.15</v>
      </c>
      <c r="I387" t="s">
        <v>1812</v>
      </c>
      <c r="J387">
        <v>3265.2919999999999</v>
      </c>
    </row>
    <row r="388" spans="1:10" x14ac:dyDescent="0.3">
      <c r="A388" t="s">
        <v>2195</v>
      </c>
      <c r="B388" s="1">
        <v>45433</v>
      </c>
      <c r="C388" t="s">
        <v>1290</v>
      </c>
      <c r="D388" t="s">
        <v>1669</v>
      </c>
      <c r="E388" t="s">
        <v>1787</v>
      </c>
      <c r="F388">
        <v>3</v>
      </c>
      <c r="G388">
        <v>847.21</v>
      </c>
      <c r="H388">
        <v>0.06</v>
      </c>
      <c r="I388" t="s">
        <v>1809</v>
      </c>
      <c r="J388">
        <v>2389.1322</v>
      </c>
    </row>
    <row r="389" spans="1:10" x14ac:dyDescent="0.3">
      <c r="A389" t="s">
        <v>2196</v>
      </c>
      <c r="B389" s="1">
        <v>45892</v>
      </c>
      <c r="C389" t="s">
        <v>241</v>
      </c>
      <c r="D389" t="s">
        <v>1691</v>
      </c>
      <c r="E389" t="s">
        <v>1772</v>
      </c>
      <c r="F389">
        <v>4</v>
      </c>
      <c r="G389">
        <v>773.81</v>
      </c>
      <c r="H389">
        <v>0.08</v>
      </c>
      <c r="I389" t="s">
        <v>1812</v>
      </c>
      <c r="J389">
        <v>2847.6208000000001</v>
      </c>
    </row>
    <row r="390" spans="1:10" x14ac:dyDescent="0.3">
      <c r="A390" t="s">
        <v>2197</v>
      </c>
      <c r="B390" s="1">
        <v>45780</v>
      </c>
      <c r="C390" t="s">
        <v>8</v>
      </c>
      <c r="D390" t="s">
        <v>1657</v>
      </c>
      <c r="E390" t="s">
        <v>1787</v>
      </c>
      <c r="F390">
        <v>1</v>
      </c>
      <c r="G390">
        <v>664.71</v>
      </c>
      <c r="H390">
        <v>0.1</v>
      </c>
      <c r="I390" t="s">
        <v>1809</v>
      </c>
      <c r="J390">
        <v>598.23900000000003</v>
      </c>
    </row>
    <row r="391" spans="1:10" x14ac:dyDescent="0.3">
      <c r="A391" t="s">
        <v>2198</v>
      </c>
      <c r="B391" s="1">
        <v>45233</v>
      </c>
      <c r="C391" t="s">
        <v>1078</v>
      </c>
      <c r="D391" t="s">
        <v>1605</v>
      </c>
      <c r="E391" t="s">
        <v>1762</v>
      </c>
      <c r="F391">
        <v>4</v>
      </c>
      <c r="G391">
        <v>482.06</v>
      </c>
      <c r="H391">
        <v>7.0000000000000007E-2</v>
      </c>
      <c r="I391" t="s">
        <v>1809</v>
      </c>
      <c r="J391">
        <v>1793.2632000000001</v>
      </c>
    </row>
    <row r="392" spans="1:10" x14ac:dyDescent="0.3">
      <c r="A392" t="s">
        <v>2199</v>
      </c>
      <c r="B392" s="1">
        <v>45742</v>
      </c>
      <c r="C392" t="s">
        <v>316</v>
      </c>
      <c r="D392" t="s">
        <v>1645</v>
      </c>
      <c r="E392" t="s">
        <v>1749</v>
      </c>
      <c r="F392">
        <v>4</v>
      </c>
      <c r="G392">
        <v>995.55</v>
      </c>
      <c r="H392">
        <v>0.19</v>
      </c>
      <c r="I392" t="s">
        <v>1809</v>
      </c>
      <c r="J392">
        <v>3225.5819999999999</v>
      </c>
    </row>
    <row r="393" spans="1:10" x14ac:dyDescent="0.3">
      <c r="A393" t="s">
        <v>2200</v>
      </c>
      <c r="B393" s="1">
        <v>45478</v>
      </c>
      <c r="C393" t="s">
        <v>473</v>
      </c>
      <c r="D393" t="s">
        <v>1717</v>
      </c>
      <c r="E393" t="s">
        <v>1780</v>
      </c>
      <c r="F393">
        <v>2</v>
      </c>
      <c r="G393">
        <v>153.84</v>
      </c>
      <c r="H393">
        <v>0.27</v>
      </c>
      <c r="I393" t="s">
        <v>1809</v>
      </c>
      <c r="J393">
        <v>224.60640000000001</v>
      </c>
    </row>
    <row r="394" spans="1:10" x14ac:dyDescent="0.3">
      <c r="A394" t="s">
        <v>2201</v>
      </c>
      <c r="B394" s="1">
        <v>45789</v>
      </c>
      <c r="C394" t="s">
        <v>509</v>
      </c>
      <c r="D394" t="s">
        <v>1687</v>
      </c>
      <c r="E394" t="s">
        <v>1759</v>
      </c>
      <c r="F394">
        <v>3</v>
      </c>
      <c r="G394">
        <v>362.11</v>
      </c>
      <c r="H394">
        <v>0.23</v>
      </c>
      <c r="I394" t="s">
        <v>1812</v>
      </c>
      <c r="J394">
        <v>836.47409999999991</v>
      </c>
    </row>
    <row r="395" spans="1:10" x14ac:dyDescent="0.3">
      <c r="A395" t="s">
        <v>2202</v>
      </c>
      <c r="B395" s="1">
        <v>45561</v>
      </c>
      <c r="C395" t="s">
        <v>1439</v>
      </c>
      <c r="D395" t="s">
        <v>1617</v>
      </c>
      <c r="E395" t="s">
        <v>1765</v>
      </c>
      <c r="F395">
        <v>3</v>
      </c>
      <c r="G395">
        <v>112.26</v>
      </c>
      <c r="H395">
        <v>0.11</v>
      </c>
      <c r="I395" t="s">
        <v>1807</v>
      </c>
      <c r="J395">
        <v>299.73419999999999</v>
      </c>
    </row>
    <row r="396" spans="1:10" x14ac:dyDescent="0.3">
      <c r="A396" t="s">
        <v>2203</v>
      </c>
      <c r="B396" s="1">
        <v>45378</v>
      </c>
      <c r="C396" t="s">
        <v>657</v>
      </c>
      <c r="D396" t="s">
        <v>1719</v>
      </c>
      <c r="E396" t="s">
        <v>1796</v>
      </c>
      <c r="F396">
        <v>2</v>
      </c>
      <c r="G396">
        <v>962.81</v>
      </c>
      <c r="H396">
        <v>0.06</v>
      </c>
      <c r="I396" t="s">
        <v>1812</v>
      </c>
      <c r="J396">
        <v>1810.0827999999999</v>
      </c>
    </row>
    <row r="397" spans="1:10" x14ac:dyDescent="0.3">
      <c r="A397" t="s">
        <v>2204</v>
      </c>
      <c r="B397" s="1">
        <v>45308</v>
      </c>
      <c r="C397" t="s">
        <v>687</v>
      </c>
      <c r="D397" t="s">
        <v>1573</v>
      </c>
      <c r="E397" t="s">
        <v>1735</v>
      </c>
      <c r="F397">
        <v>4</v>
      </c>
      <c r="G397">
        <v>276.23</v>
      </c>
      <c r="H397">
        <v>0.12</v>
      </c>
      <c r="I397" t="s">
        <v>1807</v>
      </c>
      <c r="J397">
        <v>972.32960000000003</v>
      </c>
    </row>
    <row r="398" spans="1:10" x14ac:dyDescent="0.3">
      <c r="A398" t="s">
        <v>2205</v>
      </c>
      <c r="B398" s="1">
        <v>45407</v>
      </c>
      <c r="C398" t="s">
        <v>71</v>
      </c>
      <c r="D398" t="s">
        <v>1567</v>
      </c>
      <c r="E398" t="s">
        <v>1782</v>
      </c>
      <c r="F398">
        <v>3</v>
      </c>
      <c r="G398">
        <v>991.37</v>
      </c>
      <c r="H398">
        <v>0.1</v>
      </c>
      <c r="I398" t="s">
        <v>1809</v>
      </c>
      <c r="J398">
        <v>2676.6990000000001</v>
      </c>
    </row>
    <row r="399" spans="1:10" x14ac:dyDescent="0.3">
      <c r="A399" t="s">
        <v>2206</v>
      </c>
      <c r="B399" s="1">
        <v>45929</v>
      </c>
      <c r="C399" t="s">
        <v>554</v>
      </c>
      <c r="D399" t="s">
        <v>1573</v>
      </c>
      <c r="E399" t="s">
        <v>1780</v>
      </c>
      <c r="F399">
        <v>3</v>
      </c>
      <c r="G399">
        <v>977.47</v>
      </c>
      <c r="H399">
        <v>0.05</v>
      </c>
      <c r="I399" t="s">
        <v>1807</v>
      </c>
      <c r="J399">
        <v>2785.7894999999999</v>
      </c>
    </row>
    <row r="400" spans="1:10" x14ac:dyDescent="0.3">
      <c r="A400" t="s">
        <v>2207</v>
      </c>
      <c r="B400" s="1">
        <v>45844</v>
      </c>
      <c r="C400" t="s">
        <v>666</v>
      </c>
      <c r="D400" t="s">
        <v>1719</v>
      </c>
      <c r="E400" t="s">
        <v>1777</v>
      </c>
      <c r="F400">
        <v>2</v>
      </c>
      <c r="G400">
        <v>308.7</v>
      </c>
      <c r="H400">
        <v>0.2</v>
      </c>
      <c r="I400" t="s">
        <v>1809</v>
      </c>
      <c r="J400">
        <v>493.92</v>
      </c>
    </row>
    <row r="401" spans="1:10" x14ac:dyDescent="0.3">
      <c r="A401" t="s">
        <v>2208</v>
      </c>
      <c r="B401" s="1">
        <v>45579</v>
      </c>
      <c r="C401" t="s">
        <v>146</v>
      </c>
      <c r="D401" t="s">
        <v>1540</v>
      </c>
      <c r="E401" t="s">
        <v>1787</v>
      </c>
      <c r="F401">
        <v>2</v>
      </c>
      <c r="G401">
        <v>733.87</v>
      </c>
      <c r="H401">
        <v>0.1</v>
      </c>
      <c r="I401" t="s">
        <v>1809</v>
      </c>
      <c r="J401">
        <v>1320.9659999999999</v>
      </c>
    </row>
    <row r="402" spans="1:10" x14ac:dyDescent="0.3">
      <c r="A402" t="s">
        <v>2209</v>
      </c>
      <c r="B402" s="1">
        <v>45227</v>
      </c>
      <c r="C402" t="s">
        <v>336</v>
      </c>
      <c r="D402" t="s">
        <v>1569</v>
      </c>
      <c r="E402" t="s">
        <v>1787</v>
      </c>
      <c r="F402">
        <v>2</v>
      </c>
      <c r="G402">
        <v>22.47</v>
      </c>
      <c r="H402">
        <v>0.22</v>
      </c>
      <c r="I402" t="s">
        <v>1809</v>
      </c>
      <c r="J402">
        <v>35.053199999999997</v>
      </c>
    </row>
    <row r="403" spans="1:10" x14ac:dyDescent="0.3">
      <c r="A403" t="s">
        <v>2210</v>
      </c>
      <c r="B403" s="1">
        <v>45380</v>
      </c>
      <c r="C403" t="s">
        <v>1080</v>
      </c>
      <c r="D403" t="s">
        <v>1645</v>
      </c>
      <c r="E403" t="s">
        <v>1780</v>
      </c>
      <c r="F403">
        <v>4</v>
      </c>
      <c r="G403">
        <v>651.36</v>
      </c>
      <c r="H403">
        <v>0.13</v>
      </c>
      <c r="I403" t="s">
        <v>1807</v>
      </c>
      <c r="J403">
        <v>2266.7328000000002</v>
      </c>
    </row>
    <row r="404" spans="1:10" x14ac:dyDescent="0.3">
      <c r="A404" t="s">
        <v>2211</v>
      </c>
      <c r="B404" s="1">
        <v>45817</v>
      </c>
      <c r="C404" t="s">
        <v>928</v>
      </c>
      <c r="D404" t="s">
        <v>1559</v>
      </c>
      <c r="E404" t="s">
        <v>1772</v>
      </c>
      <c r="F404">
        <v>1</v>
      </c>
      <c r="G404">
        <v>753.39</v>
      </c>
      <c r="H404">
        <v>0.04</v>
      </c>
      <c r="I404" t="s">
        <v>1812</v>
      </c>
      <c r="J404">
        <v>723.25439999999992</v>
      </c>
    </row>
    <row r="405" spans="1:10" x14ac:dyDescent="0.3">
      <c r="A405" t="s">
        <v>2212</v>
      </c>
      <c r="B405" s="1">
        <v>45576</v>
      </c>
      <c r="C405" t="s">
        <v>651</v>
      </c>
      <c r="D405" t="s">
        <v>1673</v>
      </c>
      <c r="E405" t="s">
        <v>1777</v>
      </c>
      <c r="F405">
        <v>4</v>
      </c>
      <c r="G405">
        <v>849.17</v>
      </c>
      <c r="H405">
        <v>0.12</v>
      </c>
      <c r="I405" t="s">
        <v>1812</v>
      </c>
      <c r="J405">
        <v>2989.0783999999999</v>
      </c>
    </row>
    <row r="406" spans="1:10" x14ac:dyDescent="0.3">
      <c r="A406" t="s">
        <v>2213</v>
      </c>
      <c r="B406" s="1">
        <v>45495</v>
      </c>
      <c r="C406" t="s">
        <v>1171</v>
      </c>
      <c r="D406" t="s">
        <v>1571</v>
      </c>
      <c r="E406" t="s">
        <v>1735</v>
      </c>
      <c r="F406">
        <v>4</v>
      </c>
      <c r="G406">
        <v>585.45000000000005</v>
      </c>
      <c r="H406">
        <v>0.25</v>
      </c>
      <c r="I406" t="s">
        <v>1812</v>
      </c>
      <c r="J406">
        <v>1756.35</v>
      </c>
    </row>
    <row r="407" spans="1:10" x14ac:dyDescent="0.3">
      <c r="A407" t="s">
        <v>2214</v>
      </c>
      <c r="B407" s="1">
        <v>45628</v>
      </c>
      <c r="C407" t="s">
        <v>1450</v>
      </c>
      <c r="D407" t="s">
        <v>1681</v>
      </c>
      <c r="E407" t="s">
        <v>1787</v>
      </c>
      <c r="F407">
        <v>1</v>
      </c>
      <c r="G407">
        <v>745.15</v>
      </c>
      <c r="H407">
        <v>0.25</v>
      </c>
      <c r="I407" t="s">
        <v>1812</v>
      </c>
      <c r="J407">
        <v>558.86249999999995</v>
      </c>
    </row>
    <row r="408" spans="1:10" x14ac:dyDescent="0.3">
      <c r="A408" t="s">
        <v>2215</v>
      </c>
      <c r="B408" s="1">
        <v>45244</v>
      </c>
      <c r="C408" t="s">
        <v>188</v>
      </c>
      <c r="D408" t="s">
        <v>1729</v>
      </c>
      <c r="E408" t="s">
        <v>1744</v>
      </c>
      <c r="F408">
        <v>1</v>
      </c>
      <c r="G408">
        <v>848.69</v>
      </c>
      <c r="H408">
        <v>0.04</v>
      </c>
      <c r="I408" t="s">
        <v>1812</v>
      </c>
      <c r="J408">
        <v>814.74239999999998</v>
      </c>
    </row>
    <row r="409" spans="1:10" x14ac:dyDescent="0.3">
      <c r="A409" t="s">
        <v>2216</v>
      </c>
      <c r="B409" s="1">
        <v>45336</v>
      </c>
      <c r="C409" t="s">
        <v>1269</v>
      </c>
      <c r="D409" t="s">
        <v>1671</v>
      </c>
      <c r="E409" t="s">
        <v>1782</v>
      </c>
      <c r="F409">
        <v>2</v>
      </c>
      <c r="G409">
        <v>247.67</v>
      </c>
      <c r="H409">
        <v>0.1</v>
      </c>
      <c r="I409" t="s">
        <v>1809</v>
      </c>
      <c r="J409">
        <v>445.80599999999998</v>
      </c>
    </row>
    <row r="410" spans="1:10" x14ac:dyDescent="0.3">
      <c r="A410" t="s">
        <v>2217</v>
      </c>
      <c r="B410" s="1">
        <v>45465</v>
      </c>
      <c r="C410" t="s">
        <v>152</v>
      </c>
      <c r="D410" t="s">
        <v>1679</v>
      </c>
      <c r="E410" t="s">
        <v>1749</v>
      </c>
      <c r="F410">
        <v>3</v>
      </c>
      <c r="G410">
        <v>220.51</v>
      </c>
      <c r="H410">
        <v>0.02</v>
      </c>
      <c r="I410" t="s">
        <v>1809</v>
      </c>
      <c r="J410">
        <v>648.29939999999999</v>
      </c>
    </row>
    <row r="411" spans="1:10" x14ac:dyDescent="0.3">
      <c r="A411" t="s">
        <v>2218</v>
      </c>
      <c r="B411" s="1">
        <v>45837</v>
      </c>
      <c r="C411" t="s">
        <v>1018</v>
      </c>
      <c r="D411" t="s">
        <v>1561</v>
      </c>
      <c r="E411" t="s">
        <v>1787</v>
      </c>
      <c r="F411">
        <v>4</v>
      </c>
      <c r="G411">
        <v>370.63</v>
      </c>
      <c r="H411">
        <v>0.08</v>
      </c>
      <c r="I411" t="s">
        <v>1807</v>
      </c>
      <c r="J411">
        <v>1363.9184</v>
      </c>
    </row>
    <row r="412" spans="1:10" x14ac:dyDescent="0.3">
      <c r="A412" t="s">
        <v>2219</v>
      </c>
      <c r="B412" s="1">
        <v>45706</v>
      </c>
      <c r="C412" t="s">
        <v>1207</v>
      </c>
      <c r="D412" t="s">
        <v>1589</v>
      </c>
      <c r="E412" t="s">
        <v>1796</v>
      </c>
      <c r="F412">
        <v>4</v>
      </c>
      <c r="G412">
        <v>349.84</v>
      </c>
      <c r="H412">
        <v>0.11</v>
      </c>
      <c r="I412" t="s">
        <v>1807</v>
      </c>
      <c r="J412">
        <v>1245.4304</v>
      </c>
    </row>
    <row r="413" spans="1:10" x14ac:dyDescent="0.3">
      <c r="A413" t="s">
        <v>2220</v>
      </c>
      <c r="B413" s="1">
        <v>45823</v>
      </c>
      <c r="C413" t="s">
        <v>167</v>
      </c>
      <c r="D413" t="s">
        <v>1609</v>
      </c>
      <c r="E413" t="s">
        <v>1777</v>
      </c>
      <c r="F413">
        <v>1</v>
      </c>
      <c r="G413">
        <v>770.87</v>
      </c>
      <c r="H413">
        <v>0.1</v>
      </c>
      <c r="I413" t="s">
        <v>1812</v>
      </c>
      <c r="J413">
        <v>693.78300000000002</v>
      </c>
    </row>
    <row r="414" spans="1:10" x14ac:dyDescent="0.3">
      <c r="A414" t="s">
        <v>2221</v>
      </c>
      <c r="B414" s="1">
        <v>45518</v>
      </c>
      <c r="C414" t="s">
        <v>1458</v>
      </c>
      <c r="D414" t="s">
        <v>1729</v>
      </c>
      <c r="E414" t="s">
        <v>1790</v>
      </c>
      <c r="F414">
        <v>3</v>
      </c>
      <c r="G414">
        <v>507.33</v>
      </c>
      <c r="H414">
        <v>0.06</v>
      </c>
      <c r="I414" t="s">
        <v>1809</v>
      </c>
      <c r="J414">
        <v>1430.6705999999999</v>
      </c>
    </row>
    <row r="415" spans="1:10" x14ac:dyDescent="0.3">
      <c r="A415" t="s">
        <v>2222</v>
      </c>
      <c r="B415" s="1">
        <v>45863</v>
      </c>
      <c r="C415" t="s">
        <v>604</v>
      </c>
      <c r="D415" t="s">
        <v>1663</v>
      </c>
      <c r="E415" t="s">
        <v>1769</v>
      </c>
      <c r="F415">
        <v>1</v>
      </c>
      <c r="G415">
        <v>87.78</v>
      </c>
      <c r="H415">
        <v>0.06</v>
      </c>
      <c r="I415" t="s">
        <v>1807</v>
      </c>
      <c r="J415">
        <v>82.513199999999998</v>
      </c>
    </row>
    <row r="416" spans="1:10" x14ac:dyDescent="0.3">
      <c r="A416" t="s">
        <v>2223</v>
      </c>
      <c r="B416" s="1">
        <v>45666</v>
      </c>
      <c r="C416" t="s">
        <v>36</v>
      </c>
      <c r="D416" t="s">
        <v>1717</v>
      </c>
      <c r="E416" t="s">
        <v>1752</v>
      </c>
      <c r="F416">
        <v>2</v>
      </c>
      <c r="G416">
        <v>772.24</v>
      </c>
      <c r="H416">
        <v>0.22</v>
      </c>
      <c r="I416" t="s">
        <v>1807</v>
      </c>
      <c r="J416">
        <v>1204.6944000000001</v>
      </c>
    </row>
    <row r="417" spans="1:10" x14ac:dyDescent="0.3">
      <c r="A417" t="s">
        <v>2224</v>
      </c>
      <c r="B417" s="1">
        <v>45813</v>
      </c>
      <c r="C417" t="s">
        <v>178</v>
      </c>
      <c r="D417" t="s">
        <v>1671</v>
      </c>
      <c r="E417" t="s">
        <v>1782</v>
      </c>
      <c r="F417">
        <v>1</v>
      </c>
      <c r="G417">
        <v>108.27</v>
      </c>
      <c r="H417">
        <v>0.1</v>
      </c>
      <c r="I417" t="s">
        <v>1812</v>
      </c>
      <c r="J417">
        <v>97.442999999999998</v>
      </c>
    </row>
    <row r="418" spans="1:10" x14ac:dyDescent="0.3">
      <c r="A418" t="s">
        <v>2225</v>
      </c>
      <c r="B418" s="1">
        <v>45633</v>
      </c>
      <c r="C418" t="s">
        <v>1078</v>
      </c>
      <c r="D418" t="s">
        <v>1607</v>
      </c>
      <c r="E418" t="s">
        <v>1790</v>
      </c>
      <c r="F418">
        <v>2</v>
      </c>
      <c r="G418">
        <v>839.24</v>
      </c>
      <c r="H418">
        <v>0.21</v>
      </c>
      <c r="I418" t="s">
        <v>1809</v>
      </c>
      <c r="J418">
        <v>1325.9992</v>
      </c>
    </row>
    <row r="419" spans="1:10" x14ac:dyDescent="0.3">
      <c r="A419" t="s">
        <v>2226</v>
      </c>
      <c r="B419" s="1">
        <v>45331</v>
      </c>
      <c r="C419" t="s">
        <v>1183</v>
      </c>
      <c r="D419" t="s">
        <v>1647</v>
      </c>
      <c r="E419" t="s">
        <v>1772</v>
      </c>
      <c r="F419">
        <v>2</v>
      </c>
      <c r="G419">
        <v>466.27</v>
      </c>
      <c r="H419">
        <v>0.11</v>
      </c>
      <c r="I419" t="s">
        <v>1809</v>
      </c>
      <c r="J419">
        <v>829.9606</v>
      </c>
    </row>
    <row r="420" spans="1:10" x14ac:dyDescent="0.3">
      <c r="A420" t="s">
        <v>2227</v>
      </c>
      <c r="B420" s="1">
        <v>45942</v>
      </c>
      <c r="C420" t="s">
        <v>1226</v>
      </c>
      <c r="D420" t="s">
        <v>1655</v>
      </c>
      <c r="E420" t="s">
        <v>1782</v>
      </c>
      <c r="F420">
        <v>3</v>
      </c>
      <c r="G420">
        <v>969.83</v>
      </c>
      <c r="H420">
        <v>0.02</v>
      </c>
      <c r="I420" t="s">
        <v>1807</v>
      </c>
      <c r="J420">
        <v>2851.3002000000001</v>
      </c>
    </row>
    <row r="421" spans="1:10" x14ac:dyDescent="0.3">
      <c r="A421" t="s">
        <v>2228</v>
      </c>
      <c r="B421" s="1">
        <v>45824</v>
      </c>
      <c r="C421" t="s">
        <v>1281</v>
      </c>
      <c r="D421" t="s">
        <v>1713</v>
      </c>
      <c r="E421" t="s">
        <v>1796</v>
      </c>
      <c r="F421">
        <v>2</v>
      </c>
      <c r="G421">
        <v>782.11</v>
      </c>
      <c r="H421">
        <v>0.17</v>
      </c>
      <c r="I421" t="s">
        <v>1809</v>
      </c>
      <c r="J421">
        <v>1298.3026</v>
      </c>
    </row>
    <row r="422" spans="1:10" x14ac:dyDescent="0.3">
      <c r="A422" t="s">
        <v>2229</v>
      </c>
      <c r="B422" s="1">
        <v>45921</v>
      </c>
      <c r="C422" t="s">
        <v>1379</v>
      </c>
      <c r="D422" t="s">
        <v>1611</v>
      </c>
      <c r="E422" t="s">
        <v>1775</v>
      </c>
      <c r="F422">
        <v>2</v>
      </c>
      <c r="G422">
        <v>74.63</v>
      </c>
      <c r="H422">
        <v>0.01</v>
      </c>
      <c r="I422" t="s">
        <v>1809</v>
      </c>
      <c r="J422">
        <v>147.76740000000001</v>
      </c>
    </row>
    <row r="423" spans="1:10" x14ac:dyDescent="0.3">
      <c r="A423" t="s">
        <v>2230</v>
      </c>
      <c r="B423" s="1">
        <v>45909</v>
      </c>
      <c r="C423" t="s">
        <v>159</v>
      </c>
      <c r="D423" t="s">
        <v>1701</v>
      </c>
      <c r="E423" t="s">
        <v>1759</v>
      </c>
      <c r="F423">
        <v>3</v>
      </c>
      <c r="G423">
        <v>522.78</v>
      </c>
      <c r="H423">
        <v>0.25</v>
      </c>
      <c r="I423" t="s">
        <v>1809</v>
      </c>
      <c r="J423">
        <v>1176.2550000000001</v>
      </c>
    </row>
    <row r="424" spans="1:10" x14ac:dyDescent="0.3">
      <c r="A424" t="s">
        <v>2231</v>
      </c>
      <c r="B424" s="1">
        <v>45853</v>
      </c>
      <c r="C424" t="s">
        <v>1051</v>
      </c>
      <c r="D424" t="s">
        <v>1557</v>
      </c>
      <c r="E424" t="s">
        <v>1784</v>
      </c>
      <c r="F424">
        <v>1</v>
      </c>
      <c r="G424">
        <v>206.45</v>
      </c>
      <c r="H424">
        <v>0.15</v>
      </c>
      <c r="I424" t="s">
        <v>1809</v>
      </c>
      <c r="J424">
        <v>175.48249999999999</v>
      </c>
    </row>
    <row r="425" spans="1:10" x14ac:dyDescent="0.3">
      <c r="A425" t="s">
        <v>2232</v>
      </c>
      <c r="B425" s="1">
        <v>45580</v>
      </c>
      <c r="C425" t="s">
        <v>485</v>
      </c>
      <c r="D425" t="s">
        <v>1669</v>
      </c>
      <c r="E425" t="s">
        <v>1756</v>
      </c>
      <c r="F425">
        <v>1</v>
      </c>
      <c r="G425">
        <v>815.53</v>
      </c>
      <c r="H425">
        <v>0.3</v>
      </c>
      <c r="I425" t="s">
        <v>1809</v>
      </c>
      <c r="J425">
        <v>570.87099999999998</v>
      </c>
    </row>
    <row r="426" spans="1:10" x14ac:dyDescent="0.3">
      <c r="A426" t="s">
        <v>2233</v>
      </c>
      <c r="B426" s="1">
        <v>45220</v>
      </c>
      <c r="C426" t="s">
        <v>146</v>
      </c>
      <c r="D426" t="s">
        <v>1689</v>
      </c>
      <c r="E426" t="s">
        <v>1780</v>
      </c>
      <c r="F426">
        <v>1</v>
      </c>
      <c r="G426">
        <v>823.61</v>
      </c>
      <c r="H426">
        <v>0.28000000000000003</v>
      </c>
      <c r="I426" t="s">
        <v>1812</v>
      </c>
      <c r="J426">
        <v>592.99919999999997</v>
      </c>
    </row>
    <row r="427" spans="1:10" x14ac:dyDescent="0.3">
      <c r="A427" t="s">
        <v>2234</v>
      </c>
      <c r="B427" s="1">
        <v>45807</v>
      </c>
      <c r="C427" t="s">
        <v>1456</v>
      </c>
      <c r="D427" t="s">
        <v>1705</v>
      </c>
      <c r="E427" t="s">
        <v>1769</v>
      </c>
      <c r="F427">
        <v>2</v>
      </c>
      <c r="G427">
        <v>209.96</v>
      </c>
      <c r="H427">
        <v>0</v>
      </c>
      <c r="I427" t="s">
        <v>1807</v>
      </c>
      <c r="J427">
        <v>419.92</v>
      </c>
    </row>
    <row r="428" spans="1:10" x14ac:dyDescent="0.3">
      <c r="A428" t="s">
        <v>2235</v>
      </c>
      <c r="B428" s="1">
        <v>45462</v>
      </c>
      <c r="C428" t="s">
        <v>573</v>
      </c>
      <c r="D428" t="s">
        <v>1526</v>
      </c>
      <c r="E428" t="s">
        <v>1787</v>
      </c>
      <c r="F428">
        <v>4</v>
      </c>
      <c r="G428">
        <v>897.93</v>
      </c>
      <c r="H428">
        <v>0.05</v>
      </c>
      <c r="I428" t="s">
        <v>1812</v>
      </c>
      <c r="J428">
        <v>3412.134</v>
      </c>
    </row>
    <row r="429" spans="1:10" x14ac:dyDescent="0.3">
      <c r="A429" t="s">
        <v>2236</v>
      </c>
      <c r="B429" s="1">
        <v>45646</v>
      </c>
      <c r="C429" t="s">
        <v>592</v>
      </c>
      <c r="D429" t="s">
        <v>1657</v>
      </c>
      <c r="E429" t="s">
        <v>1735</v>
      </c>
      <c r="F429">
        <v>4</v>
      </c>
      <c r="G429">
        <v>925.95</v>
      </c>
      <c r="H429">
        <v>0.16</v>
      </c>
      <c r="I429" t="s">
        <v>1812</v>
      </c>
      <c r="J429">
        <v>3111.192</v>
      </c>
    </row>
    <row r="430" spans="1:10" x14ac:dyDescent="0.3">
      <c r="A430" t="s">
        <v>2237</v>
      </c>
      <c r="B430" s="1">
        <v>45520</v>
      </c>
      <c r="C430" t="s">
        <v>301</v>
      </c>
      <c r="D430" t="s">
        <v>1633</v>
      </c>
      <c r="E430" t="s">
        <v>1759</v>
      </c>
      <c r="F430">
        <v>2</v>
      </c>
      <c r="G430">
        <v>573.09</v>
      </c>
      <c r="H430">
        <v>0.03</v>
      </c>
      <c r="I430" t="s">
        <v>1812</v>
      </c>
      <c r="J430">
        <v>1111.7945999999999</v>
      </c>
    </row>
    <row r="431" spans="1:10" x14ac:dyDescent="0.3">
      <c r="A431" t="s">
        <v>2238</v>
      </c>
      <c r="B431" s="1">
        <v>45731</v>
      </c>
      <c r="C431" t="s">
        <v>598</v>
      </c>
      <c r="D431" t="s">
        <v>1543</v>
      </c>
      <c r="E431" t="s">
        <v>1752</v>
      </c>
      <c r="F431">
        <v>4</v>
      </c>
      <c r="G431">
        <v>149.83000000000001</v>
      </c>
      <c r="H431">
        <v>0.02</v>
      </c>
      <c r="I431" t="s">
        <v>1807</v>
      </c>
      <c r="J431">
        <v>587.33360000000005</v>
      </c>
    </row>
    <row r="432" spans="1:10" x14ac:dyDescent="0.3">
      <c r="A432" t="s">
        <v>2239</v>
      </c>
      <c r="B432" s="1">
        <v>45445</v>
      </c>
      <c r="C432" t="s">
        <v>14</v>
      </c>
      <c r="D432" t="s">
        <v>1633</v>
      </c>
      <c r="E432" t="s">
        <v>1782</v>
      </c>
      <c r="F432">
        <v>3</v>
      </c>
      <c r="G432">
        <v>287.70999999999998</v>
      </c>
      <c r="H432">
        <v>0.03</v>
      </c>
      <c r="I432" t="s">
        <v>1812</v>
      </c>
      <c r="J432">
        <v>837.23609999999985</v>
      </c>
    </row>
    <row r="433" spans="1:10" x14ac:dyDescent="0.3">
      <c r="A433" t="s">
        <v>2240</v>
      </c>
      <c r="B433" s="1">
        <v>45860</v>
      </c>
      <c r="C433" t="s">
        <v>333</v>
      </c>
      <c r="D433" t="s">
        <v>1665</v>
      </c>
      <c r="E433" t="s">
        <v>1759</v>
      </c>
      <c r="F433">
        <v>2</v>
      </c>
      <c r="G433">
        <v>849.8</v>
      </c>
      <c r="H433">
        <v>0.06</v>
      </c>
      <c r="I433" t="s">
        <v>1812</v>
      </c>
      <c r="J433">
        <v>1597.624</v>
      </c>
    </row>
    <row r="434" spans="1:10" x14ac:dyDescent="0.3">
      <c r="A434" t="s">
        <v>2241</v>
      </c>
      <c r="B434" s="1">
        <v>45725</v>
      </c>
      <c r="C434" t="s">
        <v>75</v>
      </c>
      <c r="D434" t="s">
        <v>1613</v>
      </c>
      <c r="E434" t="s">
        <v>1749</v>
      </c>
      <c r="F434">
        <v>3</v>
      </c>
      <c r="G434">
        <v>482.58</v>
      </c>
      <c r="H434">
        <v>0.28000000000000003</v>
      </c>
      <c r="I434" t="s">
        <v>1809</v>
      </c>
      <c r="J434">
        <v>1042.3728000000001</v>
      </c>
    </row>
    <row r="435" spans="1:10" x14ac:dyDescent="0.3">
      <c r="A435" t="s">
        <v>2242</v>
      </c>
      <c r="B435" s="1">
        <v>45699</v>
      </c>
      <c r="C435" t="s">
        <v>394</v>
      </c>
      <c r="D435" t="s">
        <v>1649</v>
      </c>
      <c r="E435" t="s">
        <v>1744</v>
      </c>
      <c r="F435">
        <v>2</v>
      </c>
      <c r="G435">
        <v>64.7</v>
      </c>
      <c r="H435">
        <v>0</v>
      </c>
      <c r="I435" t="s">
        <v>1807</v>
      </c>
      <c r="J435">
        <v>129.4</v>
      </c>
    </row>
    <row r="436" spans="1:10" x14ac:dyDescent="0.3">
      <c r="A436" t="s">
        <v>2243</v>
      </c>
      <c r="B436" s="1">
        <v>45266</v>
      </c>
      <c r="C436" t="s">
        <v>494</v>
      </c>
      <c r="D436" t="s">
        <v>1538</v>
      </c>
      <c r="E436" t="s">
        <v>1756</v>
      </c>
      <c r="F436">
        <v>3</v>
      </c>
      <c r="G436">
        <v>589.83000000000004</v>
      </c>
      <c r="H436">
        <v>0.26</v>
      </c>
      <c r="I436" t="s">
        <v>1807</v>
      </c>
      <c r="J436">
        <v>1309.4226000000001</v>
      </c>
    </row>
    <row r="437" spans="1:10" x14ac:dyDescent="0.3">
      <c r="A437" t="s">
        <v>2244</v>
      </c>
      <c r="B437" s="1">
        <v>45889</v>
      </c>
      <c r="C437" t="s">
        <v>906</v>
      </c>
      <c r="D437" t="s">
        <v>1534</v>
      </c>
      <c r="E437" t="s">
        <v>1769</v>
      </c>
      <c r="F437">
        <v>4</v>
      </c>
      <c r="G437">
        <v>758.49</v>
      </c>
      <c r="H437">
        <v>0.16</v>
      </c>
      <c r="I437" t="s">
        <v>1812</v>
      </c>
      <c r="J437">
        <v>2548.5264000000002</v>
      </c>
    </row>
    <row r="438" spans="1:10" x14ac:dyDescent="0.3">
      <c r="A438" t="s">
        <v>2245</v>
      </c>
      <c r="B438" s="1">
        <v>45555</v>
      </c>
      <c r="C438" t="s">
        <v>199</v>
      </c>
      <c r="D438" t="s">
        <v>1605</v>
      </c>
      <c r="E438" t="s">
        <v>1777</v>
      </c>
      <c r="F438">
        <v>4</v>
      </c>
      <c r="G438">
        <v>747.56</v>
      </c>
      <c r="H438">
        <v>0.09</v>
      </c>
      <c r="I438" t="s">
        <v>1812</v>
      </c>
      <c r="J438">
        <v>2721.1183999999998</v>
      </c>
    </row>
    <row r="439" spans="1:10" x14ac:dyDescent="0.3">
      <c r="A439" t="s">
        <v>2246</v>
      </c>
      <c r="B439" s="1">
        <v>45813</v>
      </c>
      <c r="C439" t="s">
        <v>803</v>
      </c>
      <c r="D439" t="s">
        <v>1611</v>
      </c>
      <c r="E439" t="s">
        <v>1790</v>
      </c>
      <c r="F439">
        <v>3</v>
      </c>
      <c r="G439">
        <v>551.22</v>
      </c>
      <c r="H439">
        <v>0.12</v>
      </c>
      <c r="I439" t="s">
        <v>1809</v>
      </c>
      <c r="J439">
        <v>1455.2208000000001</v>
      </c>
    </row>
    <row r="440" spans="1:10" x14ac:dyDescent="0.3">
      <c r="A440" t="s">
        <v>2247</v>
      </c>
      <c r="B440" s="1">
        <v>45811</v>
      </c>
      <c r="C440" t="s">
        <v>527</v>
      </c>
      <c r="D440" t="s">
        <v>1669</v>
      </c>
      <c r="E440" t="s">
        <v>1782</v>
      </c>
      <c r="F440">
        <v>2</v>
      </c>
      <c r="G440">
        <v>527.05999999999995</v>
      </c>
      <c r="H440">
        <v>0.17</v>
      </c>
      <c r="I440" t="s">
        <v>1809</v>
      </c>
      <c r="J440">
        <v>874.91959999999983</v>
      </c>
    </row>
    <row r="441" spans="1:10" x14ac:dyDescent="0.3">
      <c r="A441" t="s">
        <v>2248</v>
      </c>
      <c r="B441" s="1">
        <v>45670</v>
      </c>
      <c r="C441" t="s">
        <v>345</v>
      </c>
      <c r="D441" t="s">
        <v>1655</v>
      </c>
      <c r="E441" t="s">
        <v>1756</v>
      </c>
      <c r="F441">
        <v>4</v>
      </c>
      <c r="G441">
        <v>875.41</v>
      </c>
      <c r="H441">
        <v>0.27</v>
      </c>
      <c r="I441" t="s">
        <v>1807</v>
      </c>
      <c r="J441">
        <v>2556.1972000000001</v>
      </c>
    </row>
    <row r="442" spans="1:10" x14ac:dyDescent="0.3">
      <c r="A442" t="s">
        <v>2249</v>
      </c>
      <c r="B442" s="1">
        <v>45736</v>
      </c>
      <c r="C442" t="s">
        <v>40</v>
      </c>
      <c r="D442" t="s">
        <v>1701</v>
      </c>
      <c r="E442" t="s">
        <v>1735</v>
      </c>
      <c r="F442">
        <v>2</v>
      </c>
      <c r="G442">
        <v>226.43</v>
      </c>
      <c r="H442">
        <v>0.03</v>
      </c>
      <c r="I442" t="s">
        <v>1807</v>
      </c>
      <c r="J442">
        <v>439.27420000000001</v>
      </c>
    </row>
    <row r="443" spans="1:10" x14ac:dyDescent="0.3">
      <c r="A443" t="s">
        <v>2250</v>
      </c>
      <c r="B443" s="1">
        <v>45480</v>
      </c>
      <c r="C443" t="s">
        <v>140</v>
      </c>
      <c r="D443" t="s">
        <v>1689</v>
      </c>
      <c r="E443" t="s">
        <v>1756</v>
      </c>
      <c r="F443">
        <v>2</v>
      </c>
      <c r="G443">
        <v>285.39</v>
      </c>
      <c r="H443">
        <v>0.1</v>
      </c>
      <c r="I443" t="s">
        <v>1807</v>
      </c>
      <c r="J443">
        <v>513.702</v>
      </c>
    </row>
    <row r="444" spans="1:10" x14ac:dyDescent="0.3">
      <c r="A444" t="s">
        <v>2251</v>
      </c>
      <c r="B444" s="1">
        <v>45929</v>
      </c>
      <c r="C444" t="s">
        <v>1039</v>
      </c>
      <c r="D444" t="s">
        <v>1553</v>
      </c>
      <c r="E444" t="s">
        <v>1784</v>
      </c>
      <c r="F444">
        <v>2</v>
      </c>
      <c r="G444">
        <v>298.01</v>
      </c>
      <c r="H444">
        <v>0.05</v>
      </c>
      <c r="I444" t="s">
        <v>1807</v>
      </c>
      <c r="J444">
        <v>566.21899999999994</v>
      </c>
    </row>
    <row r="445" spans="1:10" x14ac:dyDescent="0.3">
      <c r="A445" t="s">
        <v>2252</v>
      </c>
      <c r="B445" s="1">
        <v>45626</v>
      </c>
      <c r="C445" t="s">
        <v>527</v>
      </c>
      <c r="D445" t="s">
        <v>1611</v>
      </c>
      <c r="E445" t="s">
        <v>1752</v>
      </c>
      <c r="F445">
        <v>4</v>
      </c>
      <c r="G445">
        <v>753.49</v>
      </c>
      <c r="H445">
        <v>0.26</v>
      </c>
      <c r="I445" t="s">
        <v>1812</v>
      </c>
      <c r="J445">
        <v>2230.3303999999998</v>
      </c>
    </row>
    <row r="446" spans="1:10" x14ac:dyDescent="0.3">
      <c r="A446" t="s">
        <v>2253</v>
      </c>
      <c r="B446" s="1">
        <v>45460</v>
      </c>
      <c r="C446" t="s">
        <v>1484</v>
      </c>
      <c r="D446" t="s">
        <v>1687</v>
      </c>
      <c r="E446" t="s">
        <v>1777</v>
      </c>
      <c r="F446">
        <v>2</v>
      </c>
      <c r="G446">
        <v>130.38999999999999</v>
      </c>
      <c r="H446">
        <v>0.17</v>
      </c>
      <c r="I446" t="s">
        <v>1809</v>
      </c>
      <c r="J446">
        <v>216.44739999999999</v>
      </c>
    </row>
    <row r="447" spans="1:10" x14ac:dyDescent="0.3">
      <c r="A447" t="s">
        <v>2254</v>
      </c>
      <c r="B447" s="1">
        <v>45709</v>
      </c>
      <c r="C447" t="s">
        <v>1072</v>
      </c>
      <c r="D447" t="s">
        <v>1575</v>
      </c>
      <c r="E447" t="s">
        <v>1769</v>
      </c>
      <c r="F447">
        <v>4</v>
      </c>
      <c r="G447">
        <v>164.02</v>
      </c>
      <c r="H447">
        <v>0.01</v>
      </c>
      <c r="I447" t="s">
        <v>1809</v>
      </c>
      <c r="J447">
        <v>649.51920000000007</v>
      </c>
    </row>
    <row r="448" spans="1:10" x14ac:dyDescent="0.3">
      <c r="A448" t="s">
        <v>2255</v>
      </c>
      <c r="B448" s="1">
        <v>45551</v>
      </c>
      <c r="C448" t="s">
        <v>542</v>
      </c>
      <c r="D448" t="s">
        <v>1589</v>
      </c>
      <c r="E448" t="s">
        <v>1752</v>
      </c>
      <c r="F448">
        <v>2</v>
      </c>
      <c r="G448">
        <v>527.51</v>
      </c>
      <c r="H448">
        <v>0.18</v>
      </c>
      <c r="I448" t="s">
        <v>1809</v>
      </c>
      <c r="J448">
        <v>865.1164</v>
      </c>
    </row>
    <row r="449" spans="1:10" x14ac:dyDescent="0.3">
      <c r="A449" t="s">
        <v>2256</v>
      </c>
      <c r="B449" s="1">
        <v>45939</v>
      </c>
      <c r="C449" t="s">
        <v>803</v>
      </c>
      <c r="D449" t="s">
        <v>1645</v>
      </c>
      <c r="E449" t="s">
        <v>1780</v>
      </c>
      <c r="F449">
        <v>3</v>
      </c>
      <c r="G449">
        <v>628.17999999999995</v>
      </c>
      <c r="H449">
        <v>0.26</v>
      </c>
      <c r="I449" t="s">
        <v>1807</v>
      </c>
      <c r="J449">
        <v>1394.5596</v>
      </c>
    </row>
    <row r="450" spans="1:10" x14ac:dyDescent="0.3">
      <c r="A450" t="s">
        <v>2257</v>
      </c>
      <c r="B450" s="1">
        <v>45553</v>
      </c>
      <c r="C450" t="s">
        <v>850</v>
      </c>
      <c r="D450" t="s">
        <v>1643</v>
      </c>
      <c r="E450" t="s">
        <v>1749</v>
      </c>
      <c r="F450">
        <v>1</v>
      </c>
      <c r="G450">
        <v>862.31</v>
      </c>
      <c r="H450">
        <v>0.06</v>
      </c>
      <c r="I450" t="s">
        <v>1807</v>
      </c>
      <c r="J450">
        <v>810.57139999999993</v>
      </c>
    </row>
    <row r="451" spans="1:10" x14ac:dyDescent="0.3">
      <c r="A451" t="s">
        <v>2258</v>
      </c>
      <c r="B451" s="1">
        <v>45806</v>
      </c>
      <c r="C451" t="s">
        <v>258</v>
      </c>
      <c r="D451" t="s">
        <v>1697</v>
      </c>
      <c r="E451" t="s">
        <v>1782</v>
      </c>
      <c r="F451">
        <v>2</v>
      </c>
      <c r="G451">
        <v>541.39</v>
      </c>
      <c r="H451">
        <v>0.03</v>
      </c>
      <c r="I451" t="s">
        <v>1812</v>
      </c>
      <c r="J451">
        <v>1050.2965999999999</v>
      </c>
    </row>
    <row r="452" spans="1:10" x14ac:dyDescent="0.3">
      <c r="A452" t="s">
        <v>2259</v>
      </c>
      <c r="B452" s="1">
        <v>45811</v>
      </c>
      <c r="C452" t="s">
        <v>1453</v>
      </c>
      <c r="D452" t="s">
        <v>1683</v>
      </c>
      <c r="E452" t="s">
        <v>1787</v>
      </c>
      <c r="F452">
        <v>3</v>
      </c>
      <c r="G452">
        <v>761.8</v>
      </c>
      <c r="H452">
        <v>0.06</v>
      </c>
      <c r="I452" t="s">
        <v>1812</v>
      </c>
      <c r="J452">
        <v>2148.2759999999989</v>
      </c>
    </row>
    <row r="453" spans="1:10" x14ac:dyDescent="0.3">
      <c r="A453" t="s">
        <v>2260</v>
      </c>
      <c r="B453" s="1">
        <v>45508</v>
      </c>
      <c r="C453" t="s">
        <v>1295</v>
      </c>
      <c r="D453" t="s">
        <v>1629</v>
      </c>
      <c r="E453" t="s">
        <v>1744</v>
      </c>
      <c r="F453">
        <v>4</v>
      </c>
      <c r="G453">
        <v>829.36</v>
      </c>
      <c r="H453">
        <v>0.11</v>
      </c>
      <c r="I453" t="s">
        <v>1809</v>
      </c>
      <c r="J453">
        <v>2952.5216</v>
      </c>
    </row>
    <row r="454" spans="1:10" x14ac:dyDescent="0.3">
      <c r="A454" t="s">
        <v>2261</v>
      </c>
      <c r="B454" s="1">
        <v>45460</v>
      </c>
      <c r="C454" t="s">
        <v>1243</v>
      </c>
      <c r="D454" t="s">
        <v>1577</v>
      </c>
      <c r="E454" t="s">
        <v>1787</v>
      </c>
      <c r="F454">
        <v>2</v>
      </c>
      <c r="G454">
        <v>425.06</v>
      </c>
      <c r="H454">
        <v>0.09</v>
      </c>
      <c r="I454" t="s">
        <v>1809</v>
      </c>
      <c r="J454">
        <v>773.60919999999999</v>
      </c>
    </row>
    <row r="455" spans="1:10" x14ac:dyDescent="0.3">
      <c r="A455" t="s">
        <v>2262</v>
      </c>
      <c r="B455" s="1">
        <v>45311</v>
      </c>
      <c r="C455" t="s">
        <v>433</v>
      </c>
      <c r="D455" t="s">
        <v>1641</v>
      </c>
      <c r="E455" t="s">
        <v>1735</v>
      </c>
      <c r="F455">
        <v>2</v>
      </c>
      <c r="G455">
        <v>911.14</v>
      </c>
      <c r="H455">
        <v>0.1</v>
      </c>
      <c r="I455" t="s">
        <v>1807</v>
      </c>
      <c r="J455">
        <v>1640.0519999999999</v>
      </c>
    </row>
    <row r="456" spans="1:10" x14ac:dyDescent="0.3">
      <c r="A456" t="s">
        <v>2263</v>
      </c>
      <c r="B456" s="1">
        <v>45906</v>
      </c>
      <c r="C456" t="s">
        <v>301</v>
      </c>
      <c r="D456" t="s">
        <v>1667</v>
      </c>
      <c r="E456" t="s">
        <v>1765</v>
      </c>
      <c r="F456">
        <v>3</v>
      </c>
      <c r="G456">
        <v>811.96</v>
      </c>
      <c r="H456">
        <v>0.28999999999999998</v>
      </c>
      <c r="I456" t="s">
        <v>1807</v>
      </c>
      <c r="J456">
        <v>1729.4748</v>
      </c>
    </row>
    <row r="457" spans="1:10" x14ac:dyDescent="0.3">
      <c r="A457" t="s">
        <v>2264</v>
      </c>
      <c r="B457" s="1">
        <v>45380</v>
      </c>
      <c r="C457" t="s">
        <v>861</v>
      </c>
      <c r="D457" t="s">
        <v>1593</v>
      </c>
      <c r="E457" t="s">
        <v>1772</v>
      </c>
      <c r="F457">
        <v>2</v>
      </c>
      <c r="G457">
        <v>780.05</v>
      </c>
      <c r="H457">
        <v>0.12</v>
      </c>
      <c r="I457" t="s">
        <v>1812</v>
      </c>
      <c r="J457">
        <v>1372.8879999999999</v>
      </c>
    </row>
    <row r="458" spans="1:10" x14ac:dyDescent="0.3">
      <c r="A458" t="s">
        <v>2265</v>
      </c>
      <c r="B458" s="1">
        <v>45527</v>
      </c>
      <c r="C458" t="s">
        <v>693</v>
      </c>
      <c r="D458" t="s">
        <v>1595</v>
      </c>
      <c r="E458" t="s">
        <v>1769</v>
      </c>
      <c r="F458">
        <v>4</v>
      </c>
      <c r="G458">
        <v>315.95</v>
      </c>
      <c r="H458">
        <v>0.19</v>
      </c>
      <c r="I458" t="s">
        <v>1812</v>
      </c>
      <c r="J458">
        <v>1023.678</v>
      </c>
    </row>
    <row r="459" spans="1:10" x14ac:dyDescent="0.3">
      <c r="A459" t="s">
        <v>2266</v>
      </c>
      <c r="B459" s="1">
        <v>45796</v>
      </c>
      <c r="C459" t="s">
        <v>731</v>
      </c>
      <c r="D459" t="s">
        <v>1635</v>
      </c>
      <c r="E459" t="s">
        <v>1769</v>
      </c>
      <c r="F459">
        <v>2</v>
      </c>
      <c r="G459">
        <v>810.17</v>
      </c>
      <c r="H459">
        <v>0.27</v>
      </c>
      <c r="I459" t="s">
        <v>1807</v>
      </c>
      <c r="J459">
        <v>1182.8481999999999</v>
      </c>
    </row>
    <row r="460" spans="1:10" x14ac:dyDescent="0.3">
      <c r="A460" t="s">
        <v>2267</v>
      </c>
      <c r="B460" s="1">
        <v>45389</v>
      </c>
      <c r="C460" t="s">
        <v>663</v>
      </c>
      <c r="D460" t="s">
        <v>1699</v>
      </c>
      <c r="E460" t="s">
        <v>1752</v>
      </c>
      <c r="F460">
        <v>3</v>
      </c>
      <c r="G460">
        <v>505.01</v>
      </c>
      <c r="H460">
        <v>0.02</v>
      </c>
      <c r="I460" t="s">
        <v>1809</v>
      </c>
      <c r="J460">
        <v>1484.7293999999999</v>
      </c>
    </row>
    <row r="461" spans="1:10" x14ac:dyDescent="0.3">
      <c r="A461" t="s">
        <v>2268</v>
      </c>
      <c r="B461" s="1">
        <v>45315</v>
      </c>
      <c r="C461" t="s">
        <v>1424</v>
      </c>
      <c r="D461" t="s">
        <v>1675</v>
      </c>
      <c r="E461" t="s">
        <v>1790</v>
      </c>
      <c r="F461">
        <v>2</v>
      </c>
      <c r="G461">
        <v>736.75</v>
      </c>
      <c r="H461">
        <v>0.18</v>
      </c>
      <c r="I461" t="s">
        <v>1807</v>
      </c>
      <c r="J461">
        <v>1208.27</v>
      </c>
    </row>
    <row r="462" spans="1:10" x14ac:dyDescent="0.3">
      <c r="A462" t="s">
        <v>2269</v>
      </c>
      <c r="B462" s="1">
        <v>45311</v>
      </c>
      <c r="C462" t="s">
        <v>114</v>
      </c>
      <c r="D462" t="s">
        <v>1685</v>
      </c>
      <c r="E462" t="s">
        <v>1769</v>
      </c>
      <c r="F462">
        <v>4</v>
      </c>
      <c r="G462">
        <v>700.31</v>
      </c>
      <c r="H462">
        <v>0.2</v>
      </c>
      <c r="I462" t="s">
        <v>1809</v>
      </c>
      <c r="J462">
        <v>2240.9920000000002</v>
      </c>
    </row>
    <row r="463" spans="1:10" x14ac:dyDescent="0.3">
      <c r="A463" t="s">
        <v>2270</v>
      </c>
      <c r="B463" s="1">
        <v>45270</v>
      </c>
      <c r="C463" t="s">
        <v>439</v>
      </c>
      <c r="D463" t="s">
        <v>1713</v>
      </c>
      <c r="E463" t="s">
        <v>1775</v>
      </c>
      <c r="F463">
        <v>4</v>
      </c>
      <c r="G463">
        <v>202.46</v>
      </c>
      <c r="H463">
        <v>0.24</v>
      </c>
      <c r="I463" t="s">
        <v>1807</v>
      </c>
      <c r="J463">
        <v>615.47840000000008</v>
      </c>
    </row>
    <row r="464" spans="1:10" x14ac:dyDescent="0.3">
      <c r="A464" t="s">
        <v>2271</v>
      </c>
      <c r="B464" s="1">
        <v>45279</v>
      </c>
      <c r="C464" t="s">
        <v>839</v>
      </c>
      <c r="D464" t="s">
        <v>1705</v>
      </c>
      <c r="E464" t="s">
        <v>1740</v>
      </c>
      <c r="F464">
        <v>2</v>
      </c>
      <c r="G464">
        <v>291.83999999999997</v>
      </c>
      <c r="H464">
        <v>0.25</v>
      </c>
      <c r="I464" t="s">
        <v>1809</v>
      </c>
      <c r="J464">
        <v>437.76</v>
      </c>
    </row>
    <row r="465" spans="1:10" x14ac:dyDescent="0.3">
      <c r="A465" t="s">
        <v>2272</v>
      </c>
      <c r="B465" s="1">
        <v>45252</v>
      </c>
      <c r="C465" t="s">
        <v>539</v>
      </c>
      <c r="D465" t="s">
        <v>1725</v>
      </c>
      <c r="E465" t="s">
        <v>1756</v>
      </c>
      <c r="F465">
        <v>2</v>
      </c>
      <c r="G465">
        <v>261.48</v>
      </c>
      <c r="H465">
        <v>0.17</v>
      </c>
      <c r="I465" t="s">
        <v>1807</v>
      </c>
      <c r="J465">
        <v>434.05680000000001</v>
      </c>
    </row>
    <row r="466" spans="1:10" x14ac:dyDescent="0.3">
      <c r="A466" t="s">
        <v>2273</v>
      </c>
      <c r="B466" s="1">
        <v>45938</v>
      </c>
      <c r="C466" t="s">
        <v>939</v>
      </c>
      <c r="D466" t="s">
        <v>1603</v>
      </c>
      <c r="E466" t="s">
        <v>1782</v>
      </c>
      <c r="F466">
        <v>1</v>
      </c>
      <c r="G466">
        <v>850.83</v>
      </c>
      <c r="H466">
        <v>0.28000000000000003</v>
      </c>
      <c r="I466" t="s">
        <v>1809</v>
      </c>
      <c r="J466">
        <v>612.59760000000006</v>
      </c>
    </row>
    <row r="467" spans="1:10" x14ac:dyDescent="0.3">
      <c r="A467" t="s">
        <v>2274</v>
      </c>
      <c r="B467" s="1">
        <v>45711</v>
      </c>
      <c r="C467" t="s">
        <v>1246</v>
      </c>
      <c r="D467" t="s">
        <v>1623</v>
      </c>
      <c r="E467" t="s">
        <v>1769</v>
      </c>
      <c r="F467">
        <v>1</v>
      </c>
      <c r="G467">
        <v>83.83</v>
      </c>
      <c r="H467">
        <v>0.05</v>
      </c>
      <c r="I467" t="s">
        <v>1807</v>
      </c>
      <c r="J467">
        <v>79.638499999999993</v>
      </c>
    </row>
    <row r="468" spans="1:10" x14ac:dyDescent="0.3">
      <c r="A468" t="s">
        <v>2275</v>
      </c>
      <c r="B468" s="1">
        <v>45713</v>
      </c>
      <c r="C468" t="s">
        <v>36</v>
      </c>
      <c r="D468" t="s">
        <v>1707</v>
      </c>
      <c r="E468" t="s">
        <v>1787</v>
      </c>
      <c r="F468">
        <v>3</v>
      </c>
      <c r="G468">
        <v>649.95000000000005</v>
      </c>
      <c r="H468">
        <v>0.28000000000000003</v>
      </c>
      <c r="I468" t="s">
        <v>1812</v>
      </c>
      <c r="J468">
        <v>1403.8920000000001</v>
      </c>
    </row>
    <row r="469" spans="1:10" x14ac:dyDescent="0.3">
      <c r="A469" t="s">
        <v>2276</v>
      </c>
      <c r="B469" s="1">
        <v>45565</v>
      </c>
      <c r="C469" t="s">
        <v>1132</v>
      </c>
      <c r="D469" t="s">
        <v>1677</v>
      </c>
      <c r="E469" t="s">
        <v>1759</v>
      </c>
      <c r="F469">
        <v>4</v>
      </c>
      <c r="G469">
        <v>934.96</v>
      </c>
      <c r="H469">
        <v>0.18</v>
      </c>
      <c r="I469" t="s">
        <v>1809</v>
      </c>
      <c r="J469">
        <v>3066.6687999999999</v>
      </c>
    </row>
    <row r="470" spans="1:10" x14ac:dyDescent="0.3">
      <c r="A470" t="s">
        <v>2277</v>
      </c>
      <c r="B470" s="1">
        <v>45279</v>
      </c>
      <c r="C470" t="s">
        <v>666</v>
      </c>
      <c r="D470" t="s">
        <v>1565</v>
      </c>
      <c r="E470" t="s">
        <v>1782</v>
      </c>
      <c r="F470">
        <v>1</v>
      </c>
      <c r="G470">
        <v>880.89</v>
      </c>
      <c r="H470">
        <v>0.13</v>
      </c>
      <c r="I470" t="s">
        <v>1812</v>
      </c>
      <c r="J470">
        <v>766.37429999999995</v>
      </c>
    </row>
    <row r="471" spans="1:10" x14ac:dyDescent="0.3">
      <c r="A471" t="s">
        <v>2278</v>
      </c>
      <c r="B471" s="1">
        <v>45614</v>
      </c>
      <c r="C471" t="s">
        <v>1453</v>
      </c>
      <c r="D471" t="s">
        <v>1727</v>
      </c>
      <c r="E471" t="s">
        <v>1765</v>
      </c>
      <c r="F471">
        <v>4</v>
      </c>
      <c r="G471">
        <v>610.6</v>
      </c>
      <c r="H471">
        <v>0.1</v>
      </c>
      <c r="I471" t="s">
        <v>1809</v>
      </c>
      <c r="J471">
        <v>2198.16</v>
      </c>
    </row>
    <row r="472" spans="1:10" x14ac:dyDescent="0.3">
      <c r="A472" t="s">
        <v>2279</v>
      </c>
      <c r="B472" s="1">
        <v>45912</v>
      </c>
      <c r="C472" t="s">
        <v>272</v>
      </c>
      <c r="D472" t="s">
        <v>1587</v>
      </c>
      <c r="E472" t="s">
        <v>1793</v>
      </c>
      <c r="F472">
        <v>1</v>
      </c>
      <c r="G472">
        <v>514.19000000000005</v>
      </c>
      <c r="H472">
        <v>0.2</v>
      </c>
      <c r="I472" t="s">
        <v>1807</v>
      </c>
      <c r="J472">
        <v>411.35200000000009</v>
      </c>
    </row>
    <row r="473" spans="1:10" x14ac:dyDescent="0.3">
      <c r="A473" t="s">
        <v>2280</v>
      </c>
      <c r="B473" s="1">
        <v>45688</v>
      </c>
      <c r="C473" t="s">
        <v>1229</v>
      </c>
      <c r="D473" t="s">
        <v>1605</v>
      </c>
      <c r="E473" t="s">
        <v>1780</v>
      </c>
      <c r="F473">
        <v>1</v>
      </c>
      <c r="G473">
        <v>546.20000000000005</v>
      </c>
      <c r="H473">
        <v>0.22</v>
      </c>
      <c r="I473" t="s">
        <v>1809</v>
      </c>
      <c r="J473">
        <v>426.03600000000012</v>
      </c>
    </row>
    <row r="474" spans="1:10" x14ac:dyDescent="0.3">
      <c r="A474" t="s">
        <v>2281</v>
      </c>
      <c r="B474" s="1">
        <v>45591</v>
      </c>
      <c r="C474" t="s">
        <v>640</v>
      </c>
      <c r="D474" t="s">
        <v>1605</v>
      </c>
      <c r="E474" t="s">
        <v>1735</v>
      </c>
      <c r="F474">
        <v>3</v>
      </c>
      <c r="G474">
        <v>416.01</v>
      </c>
      <c r="H474">
        <v>0.02</v>
      </c>
      <c r="I474" t="s">
        <v>1807</v>
      </c>
      <c r="J474">
        <v>1223.0694000000001</v>
      </c>
    </row>
    <row r="475" spans="1:10" x14ac:dyDescent="0.3">
      <c r="A475" t="s">
        <v>2282</v>
      </c>
      <c r="B475" s="1">
        <v>45864</v>
      </c>
      <c r="C475" t="s">
        <v>1186</v>
      </c>
      <c r="D475" t="s">
        <v>1679</v>
      </c>
      <c r="E475" t="s">
        <v>1772</v>
      </c>
      <c r="F475">
        <v>1</v>
      </c>
      <c r="G475">
        <v>30.94</v>
      </c>
      <c r="H475">
        <v>0.21</v>
      </c>
      <c r="I475" t="s">
        <v>1812</v>
      </c>
      <c r="J475">
        <v>24.442599999999999</v>
      </c>
    </row>
    <row r="476" spans="1:10" x14ac:dyDescent="0.3">
      <c r="A476" t="s">
        <v>2283</v>
      </c>
      <c r="B476" s="1">
        <v>45875</v>
      </c>
      <c r="C476" t="s">
        <v>648</v>
      </c>
      <c r="D476" t="s">
        <v>1647</v>
      </c>
      <c r="E476" t="s">
        <v>1787</v>
      </c>
      <c r="F476">
        <v>3</v>
      </c>
      <c r="G476">
        <v>666.39</v>
      </c>
      <c r="H476">
        <v>0.21</v>
      </c>
      <c r="I476" t="s">
        <v>1812</v>
      </c>
      <c r="J476">
        <v>1579.3443</v>
      </c>
    </row>
    <row r="477" spans="1:10" x14ac:dyDescent="0.3">
      <c r="A477" t="s">
        <v>2284</v>
      </c>
      <c r="B477" s="1">
        <v>45797</v>
      </c>
      <c r="C477" t="s">
        <v>548</v>
      </c>
      <c r="D477" t="s">
        <v>1693</v>
      </c>
      <c r="E477" t="s">
        <v>1772</v>
      </c>
      <c r="F477">
        <v>2</v>
      </c>
      <c r="G477">
        <v>145.26</v>
      </c>
      <c r="H477">
        <v>0.19</v>
      </c>
      <c r="I477" t="s">
        <v>1809</v>
      </c>
      <c r="J477">
        <v>235.3212</v>
      </c>
    </row>
    <row r="478" spans="1:10" x14ac:dyDescent="0.3">
      <c r="A478" t="s">
        <v>2285</v>
      </c>
      <c r="B478" s="1">
        <v>45364</v>
      </c>
      <c r="C478" t="s">
        <v>406</v>
      </c>
      <c r="D478" t="s">
        <v>1713</v>
      </c>
      <c r="E478" t="s">
        <v>1756</v>
      </c>
      <c r="F478">
        <v>4</v>
      </c>
      <c r="G478">
        <v>940.77</v>
      </c>
      <c r="H478">
        <v>0.24</v>
      </c>
      <c r="I478" t="s">
        <v>1812</v>
      </c>
      <c r="J478">
        <v>2859.9407999999999</v>
      </c>
    </row>
    <row r="479" spans="1:10" x14ac:dyDescent="0.3">
      <c r="A479" t="s">
        <v>2286</v>
      </c>
      <c r="B479" s="1">
        <v>45700</v>
      </c>
      <c r="C479" t="s">
        <v>1430</v>
      </c>
      <c r="D479" t="s">
        <v>1623</v>
      </c>
      <c r="E479" t="s">
        <v>1790</v>
      </c>
      <c r="F479">
        <v>1</v>
      </c>
      <c r="G479">
        <v>708.88</v>
      </c>
      <c r="H479">
        <v>0.09</v>
      </c>
      <c r="I479" t="s">
        <v>1807</v>
      </c>
      <c r="J479">
        <v>645.08080000000007</v>
      </c>
    </row>
    <row r="480" spans="1:10" x14ac:dyDescent="0.3">
      <c r="A480" t="s">
        <v>2287</v>
      </c>
      <c r="B480" s="1">
        <v>45924</v>
      </c>
      <c r="C480" t="s">
        <v>959</v>
      </c>
      <c r="D480" t="s">
        <v>1591</v>
      </c>
      <c r="E480" t="s">
        <v>1744</v>
      </c>
      <c r="F480">
        <v>1</v>
      </c>
      <c r="G480">
        <v>790.73</v>
      </c>
      <c r="H480">
        <v>0.24</v>
      </c>
      <c r="I480" t="s">
        <v>1809</v>
      </c>
      <c r="J480">
        <v>600.95479999999998</v>
      </c>
    </row>
    <row r="481" spans="1:10" x14ac:dyDescent="0.3">
      <c r="A481" t="s">
        <v>2288</v>
      </c>
      <c r="B481" s="1">
        <v>45574</v>
      </c>
      <c r="C481" t="s">
        <v>1373</v>
      </c>
      <c r="D481" t="s">
        <v>1561</v>
      </c>
      <c r="E481" t="s">
        <v>1769</v>
      </c>
      <c r="F481">
        <v>3</v>
      </c>
      <c r="G481">
        <v>635.13</v>
      </c>
      <c r="H481">
        <v>0.09</v>
      </c>
      <c r="I481" t="s">
        <v>1809</v>
      </c>
      <c r="J481">
        <v>1733.9049</v>
      </c>
    </row>
    <row r="482" spans="1:10" x14ac:dyDescent="0.3">
      <c r="A482" t="s">
        <v>2289</v>
      </c>
      <c r="B482" s="1">
        <v>45233</v>
      </c>
      <c r="C482" t="s">
        <v>842</v>
      </c>
      <c r="D482" t="s">
        <v>1717</v>
      </c>
      <c r="E482" t="s">
        <v>1782</v>
      </c>
      <c r="F482">
        <v>1</v>
      </c>
      <c r="G482">
        <v>744.88</v>
      </c>
      <c r="H482">
        <v>0.15</v>
      </c>
      <c r="I482" t="s">
        <v>1812</v>
      </c>
      <c r="J482">
        <v>633.14800000000002</v>
      </c>
    </row>
    <row r="483" spans="1:10" x14ac:dyDescent="0.3">
      <c r="A483" t="s">
        <v>2290</v>
      </c>
      <c r="B483" s="1">
        <v>45745</v>
      </c>
      <c r="C483" t="s">
        <v>598</v>
      </c>
      <c r="D483" t="s">
        <v>1587</v>
      </c>
      <c r="E483" t="s">
        <v>1740</v>
      </c>
      <c r="F483">
        <v>3</v>
      </c>
      <c r="G483">
        <v>205.34</v>
      </c>
      <c r="H483">
        <v>0.25</v>
      </c>
      <c r="I483" t="s">
        <v>1807</v>
      </c>
      <c r="J483">
        <v>462.01499999999999</v>
      </c>
    </row>
    <row r="484" spans="1:10" x14ac:dyDescent="0.3">
      <c r="A484" t="s">
        <v>2291</v>
      </c>
      <c r="B484" s="1">
        <v>45851</v>
      </c>
      <c r="C484" t="s">
        <v>1287</v>
      </c>
      <c r="D484" t="s">
        <v>1589</v>
      </c>
      <c r="E484" t="s">
        <v>1765</v>
      </c>
      <c r="F484">
        <v>2</v>
      </c>
      <c r="G484">
        <v>756.8</v>
      </c>
      <c r="H484">
        <v>0.15</v>
      </c>
      <c r="I484" t="s">
        <v>1807</v>
      </c>
      <c r="J484">
        <v>1286.56</v>
      </c>
    </row>
    <row r="485" spans="1:10" x14ac:dyDescent="0.3">
      <c r="A485" t="s">
        <v>2292</v>
      </c>
      <c r="B485" s="1">
        <v>45308</v>
      </c>
      <c r="C485" t="s">
        <v>171</v>
      </c>
      <c r="D485" t="s">
        <v>1573</v>
      </c>
      <c r="E485" t="s">
        <v>1772</v>
      </c>
      <c r="F485">
        <v>1</v>
      </c>
      <c r="G485">
        <v>771.73</v>
      </c>
      <c r="H485">
        <v>0.2</v>
      </c>
      <c r="I485" t="s">
        <v>1807</v>
      </c>
      <c r="J485">
        <v>617.38400000000001</v>
      </c>
    </row>
    <row r="486" spans="1:10" x14ac:dyDescent="0.3">
      <c r="A486" t="s">
        <v>2293</v>
      </c>
      <c r="B486" s="1">
        <v>45639</v>
      </c>
      <c r="C486" t="s">
        <v>1458</v>
      </c>
      <c r="D486" t="s">
        <v>1663</v>
      </c>
      <c r="E486" t="s">
        <v>1790</v>
      </c>
      <c r="F486">
        <v>1</v>
      </c>
      <c r="G486">
        <v>440.19</v>
      </c>
      <c r="H486">
        <v>0.03</v>
      </c>
      <c r="I486" t="s">
        <v>1809</v>
      </c>
      <c r="J486">
        <v>426.98430000000002</v>
      </c>
    </row>
    <row r="487" spans="1:10" x14ac:dyDescent="0.3">
      <c r="A487" t="s">
        <v>2294</v>
      </c>
      <c r="B487" s="1">
        <v>45919</v>
      </c>
      <c r="C487" t="s">
        <v>178</v>
      </c>
      <c r="D487" t="s">
        <v>1536</v>
      </c>
      <c r="E487" t="s">
        <v>1744</v>
      </c>
      <c r="F487">
        <v>2</v>
      </c>
      <c r="G487">
        <v>409</v>
      </c>
      <c r="H487">
        <v>0.17</v>
      </c>
      <c r="I487" t="s">
        <v>1807</v>
      </c>
      <c r="J487">
        <v>678.93999999999994</v>
      </c>
    </row>
    <row r="488" spans="1:10" x14ac:dyDescent="0.3">
      <c r="A488" t="s">
        <v>2295</v>
      </c>
      <c r="B488" s="1">
        <v>45333</v>
      </c>
      <c r="C488" t="s">
        <v>1066</v>
      </c>
      <c r="D488" t="s">
        <v>1607</v>
      </c>
      <c r="E488" t="s">
        <v>1796</v>
      </c>
      <c r="F488">
        <v>3</v>
      </c>
      <c r="G488">
        <v>134.58000000000001</v>
      </c>
      <c r="H488">
        <v>0.04</v>
      </c>
      <c r="I488" t="s">
        <v>1812</v>
      </c>
      <c r="J488">
        <v>387.59039999999999</v>
      </c>
    </row>
    <row r="489" spans="1:10" x14ac:dyDescent="0.3">
      <c r="A489" t="s">
        <v>2296</v>
      </c>
      <c r="B489" s="1">
        <v>45811</v>
      </c>
      <c r="C489" t="s">
        <v>1080</v>
      </c>
      <c r="D489" t="s">
        <v>1609</v>
      </c>
      <c r="E489" t="s">
        <v>1762</v>
      </c>
      <c r="F489">
        <v>4</v>
      </c>
      <c r="G489">
        <v>284.44</v>
      </c>
      <c r="H489">
        <v>0.02</v>
      </c>
      <c r="I489" t="s">
        <v>1807</v>
      </c>
      <c r="J489">
        <v>1115.0047999999999</v>
      </c>
    </row>
    <row r="490" spans="1:10" x14ac:dyDescent="0.3">
      <c r="A490" t="s">
        <v>2297</v>
      </c>
      <c r="B490" s="1">
        <v>45726</v>
      </c>
      <c r="C490" t="s">
        <v>1246</v>
      </c>
      <c r="D490" t="s">
        <v>1677</v>
      </c>
      <c r="E490" t="s">
        <v>1780</v>
      </c>
      <c r="F490">
        <v>4</v>
      </c>
      <c r="G490">
        <v>922.69</v>
      </c>
      <c r="H490">
        <v>0.16</v>
      </c>
      <c r="I490" t="s">
        <v>1807</v>
      </c>
      <c r="J490">
        <v>3100.2384000000002</v>
      </c>
    </row>
    <row r="491" spans="1:10" x14ac:dyDescent="0.3">
      <c r="A491" t="s">
        <v>2298</v>
      </c>
      <c r="B491" s="1">
        <v>45644</v>
      </c>
      <c r="C491" t="s">
        <v>867</v>
      </c>
      <c r="D491" t="s">
        <v>1603</v>
      </c>
      <c r="E491" t="s">
        <v>1759</v>
      </c>
      <c r="F491">
        <v>2</v>
      </c>
      <c r="G491">
        <v>992.55</v>
      </c>
      <c r="H491">
        <v>0.28000000000000003</v>
      </c>
      <c r="I491" t="s">
        <v>1807</v>
      </c>
      <c r="J491">
        <v>1429.2719999999999</v>
      </c>
    </row>
    <row r="492" spans="1:10" x14ac:dyDescent="0.3">
      <c r="A492" t="s">
        <v>2299</v>
      </c>
      <c r="B492" s="1">
        <v>45371</v>
      </c>
      <c r="C492" t="s">
        <v>1284</v>
      </c>
      <c r="D492" t="s">
        <v>1709</v>
      </c>
      <c r="E492" t="s">
        <v>1793</v>
      </c>
      <c r="F492">
        <v>1</v>
      </c>
      <c r="G492">
        <v>170.43</v>
      </c>
      <c r="H492">
        <v>0.03</v>
      </c>
      <c r="I492" t="s">
        <v>1807</v>
      </c>
      <c r="J492">
        <v>165.31710000000001</v>
      </c>
    </row>
    <row r="493" spans="1:10" x14ac:dyDescent="0.3">
      <c r="A493" t="s">
        <v>2300</v>
      </c>
      <c r="B493" s="1">
        <v>45462</v>
      </c>
      <c r="C493" t="s">
        <v>716</v>
      </c>
      <c r="D493" t="s">
        <v>1675</v>
      </c>
      <c r="E493" t="s">
        <v>1744</v>
      </c>
      <c r="F493">
        <v>3</v>
      </c>
      <c r="G493">
        <v>480.51</v>
      </c>
      <c r="H493">
        <v>0.03</v>
      </c>
      <c r="I493" t="s">
        <v>1807</v>
      </c>
      <c r="J493">
        <v>1398.2841000000001</v>
      </c>
    </row>
    <row r="494" spans="1:10" x14ac:dyDescent="0.3">
      <c r="A494" t="s">
        <v>2301</v>
      </c>
      <c r="B494" s="1">
        <v>45632</v>
      </c>
      <c r="C494" t="s">
        <v>518</v>
      </c>
      <c r="D494" t="s">
        <v>1629</v>
      </c>
      <c r="E494" t="s">
        <v>1762</v>
      </c>
      <c r="F494">
        <v>2</v>
      </c>
      <c r="G494">
        <v>955.66</v>
      </c>
      <c r="H494">
        <v>0.28999999999999998</v>
      </c>
      <c r="I494" t="s">
        <v>1812</v>
      </c>
      <c r="J494">
        <v>1357.0372</v>
      </c>
    </row>
    <row r="495" spans="1:10" x14ac:dyDescent="0.3">
      <c r="A495" t="s">
        <v>2302</v>
      </c>
      <c r="B495" s="1">
        <v>45863</v>
      </c>
      <c r="C495" t="s">
        <v>1379</v>
      </c>
      <c r="D495" t="s">
        <v>1675</v>
      </c>
      <c r="E495" t="s">
        <v>1735</v>
      </c>
      <c r="F495">
        <v>2</v>
      </c>
      <c r="G495">
        <v>488.02</v>
      </c>
      <c r="H495">
        <v>0.27</v>
      </c>
      <c r="I495" t="s">
        <v>1809</v>
      </c>
      <c r="J495">
        <v>712.50919999999996</v>
      </c>
    </row>
    <row r="496" spans="1:10" x14ac:dyDescent="0.3">
      <c r="A496" t="s">
        <v>2303</v>
      </c>
      <c r="B496" s="1">
        <v>45501</v>
      </c>
      <c r="C496" t="s">
        <v>764</v>
      </c>
      <c r="D496" t="s">
        <v>1567</v>
      </c>
      <c r="E496" t="s">
        <v>1735</v>
      </c>
      <c r="F496">
        <v>1</v>
      </c>
      <c r="G496">
        <v>917.17</v>
      </c>
      <c r="H496">
        <v>0.13</v>
      </c>
      <c r="I496" t="s">
        <v>1812</v>
      </c>
      <c r="J496">
        <v>797.93790000000001</v>
      </c>
    </row>
    <row r="497" spans="1:10" x14ac:dyDescent="0.3">
      <c r="A497" t="s">
        <v>2304</v>
      </c>
      <c r="B497" s="1">
        <v>45568</v>
      </c>
      <c r="C497" t="s">
        <v>1010</v>
      </c>
      <c r="D497" t="s">
        <v>1545</v>
      </c>
      <c r="E497" t="s">
        <v>1756</v>
      </c>
      <c r="F497">
        <v>2</v>
      </c>
      <c r="G497">
        <v>406.46</v>
      </c>
      <c r="H497">
        <v>0.3</v>
      </c>
      <c r="I497" t="s">
        <v>1809</v>
      </c>
      <c r="J497">
        <v>569.04399999999998</v>
      </c>
    </row>
    <row r="498" spans="1:10" x14ac:dyDescent="0.3">
      <c r="A498" t="s">
        <v>2305</v>
      </c>
      <c r="B498" s="1">
        <v>45238</v>
      </c>
      <c r="C498" t="s">
        <v>740</v>
      </c>
      <c r="D498" t="s">
        <v>1721</v>
      </c>
      <c r="E498" t="s">
        <v>1735</v>
      </c>
      <c r="F498">
        <v>2</v>
      </c>
      <c r="G498">
        <v>264.39</v>
      </c>
      <c r="H498">
        <v>0.11</v>
      </c>
      <c r="I498" t="s">
        <v>1812</v>
      </c>
      <c r="J498">
        <v>470.61419999999998</v>
      </c>
    </row>
    <row r="499" spans="1:10" x14ac:dyDescent="0.3">
      <c r="A499" t="s">
        <v>2306</v>
      </c>
      <c r="B499" s="1">
        <v>45754</v>
      </c>
      <c r="C499" t="s">
        <v>622</v>
      </c>
      <c r="D499" t="s">
        <v>1667</v>
      </c>
      <c r="E499" t="s">
        <v>1787</v>
      </c>
      <c r="F499">
        <v>1</v>
      </c>
      <c r="G499">
        <v>414.97</v>
      </c>
      <c r="H499">
        <v>0.22</v>
      </c>
      <c r="I499" t="s">
        <v>1809</v>
      </c>
      <c r="J499">
        <v>323.67660000000001</v>
      </c>
    </row>
    <row r="500" spans="1:10" x14ac:dyDescent="0.3">
      <c r="A500" t="s">
        <v>2307</v>
      </c>
      <c r="B500" s="1">
        <v>45280</v>
      </c>
      <c r="C500" t="s">
        <v>488</v>
      </c>
      <c r="D500" t="s">
        <v>1581</v>
      </c>
      <c r="E500" t="s">
        <v>1777</v>
      </c>
      <c r="F500">
        <v>2</v>
      </c>
      <c r="G500">
        <v>583.51</v>
      </c>
      <c r="H500">
        <v>0.2</v>
      </c>
      <c r="I500" t="s">
        <v>1812</v>
      </c>
      <c r="J500">
        <v>933.61599999999999</v>
      </c>
    </row>
    <row r="501" spans="1:10" x14ac:dyDescent="0.3">
      <c r="A501" t="s">
        <v>2308</v>
      </c>
      <c r="B501" s="1">
        <v>45911</v>
      </c>
      <c r="C501" t="s">
        <v>55</v>
      </c>
      <c r="D501" t="s">
        <v>1593</v>
      </c>
      <c r="E501" t="s">
        <v>1790</v>
      </c>
      <c r="F501">
        <v>1</v>
      </c>
      <c r="G501">
        <v>659.27</v>
      </c>
      <c r="H501">
        <v>0.15</v>
      </c>
      <c r="I501" t="s">
        <v>1809</v>
      </c>
      <c r="J501">
        <v>560.37950000000001</v>
      </c>
    </row>
    <row r="502" spans="1:10" x14ac:dyDescent="0.3">
      <c r="A502" t="s">
        <v>2309</v>
      </c>
      <c r="B502" s="1">
        <v>45627</v>
      </c>
      <c r="C502" t="s">
        <v>1361</v>
      </c>
      <c r="D502" t="s">
        <v>1532</v>
      </c>
      <c r="E502" t="s">
        <v>1752</v>
      </c>
      <c r="F502">
        <v>4</v>
      </c>
      <c r="G502">
        <v>106.66</v>
      </c>
      <c r="H502">
        <v>0.2</v>
      </c>
      <c r="I502" t="s">
        <v>1812</v>
      </c>
      <c r="J502">
        <v>341.31200000000001</v>
      </c>
    </row>
    <row r="503" spans="1:10" x14ac:dyDescent="0.3">
      <c r="A503" t="s">
        <v>2310</v>
      </c>
      <c r="B503" s="1">
        <v>45617</v>
      </c>
      <c r="C503" t="s">
        <v>539</v>
      </c>
      <c r="D503" t="s">
        <v>1551</v>
      </c>
      <c r="E503" t="s">
        <v>1756</v>
      </c>
      <c r="F503">
        <v>4</v>
      </c>
      <c r="G503">
        <v>168.55</v>
      </c>
      <c r="H503">
        <v>0.15</v>
      </c>
      <c r="I503" t="s">
        <v>1809</v>
      </c>
      <c r="J503">
        <v>573.07000000000005</v>
      </c>
    </row>
    <row r="504" spans="1:10" x14ac:dyDescent="0.3">
      <c r="A504" t="s">
        <v>2311</v>
      </c>
      <c r="B504" s="1">
        <v>45899</v>
      </c>
      <c r="C504" t="s">
        <v>1484</v>
      </c>
      <c r="D504" t="s">
        <v>1619</v>
      </c>
      <c r="E504" t="s">
        <v>1744</v>
      </c>
      <c r="F504">
        <v>1</v>
      </c>
      <c r="G504">
        <v>230.53</v>
      </c>
      <c r="H504">
        <v>0.06</v>
      </c>
      <c r="I504" t="s">
        <v>1812</v>
      </c>
      <c r="J504">
        <v>216.69820000000001</v>
      </c>
    </row>
    <row r="505" spans="1:10" x14ac:dyDescent="0.3">
      <c r="A505" t="s">
        <v>2312</v>
      </c>
      <c r="B505" s="1">
        <v>45889</v>
      </c>
      <c r="C505" t="s">
        <v>40</v>
      </c>
      <c r="D505" t="s">
        <v>1639</v>
      </c>
      <c r="E505" t="s">
        <v>1740</v>
      </c>
      <c r="F505">
        <v>2</v>
      </c>
      <c r="G505">
        <v>355.41</v>
      </c>
      <c r="H505">
        <v>0.13</v>
      </c>
      <c r="I505" t="s">
        <v>1812</v>
      </c>
      <c r="J505">
        <v>618.41340000000002</v>
      </c>
    </row>
    <row r="506" spans="1:10" x14ac:dyDescent="0.3">
      <c r="A506" t="s">
        <v>2313</v>
      </c>
      <c r="B506" s="1">
        <v>45943</v>
      </c>
      <c r="C506" t="s">
        <v>551</v>
      </c>
      <c r="D506" t="s">
        <v>1625</v>
      </c>
      <c r="E506" t="s">
        <v>1744</v>
      </c>
      <c r="F506">
        <v>3</v>
      </c>
      <c r="G506">
        <v>843.44</v>
      </c>
      <c r="H506">
        <v>0.22</v>
      </c>
      <c r="I506" t="s">
        <v>1807</v>
      </c>
      <c r="J506">
        <v>1973.6496</v>
      </c>
    </row>
    <row r="507" spans="1:10" x14ac:dyDescent="0.3">
      <c r="A507" t="s">
        <v>2314</v>
      </c>
      <c r="B507" s="1">
        <v>45306</v>
      </c>
      <c r="C507" t="s">
        <v>539</v>
      </c>
      <c r="D507" t="s">
        <v>1721</v>
      </c>
      <c r="E507" t="s">
        <v>1740</v>
      </c>
      <c r="F507">
        <v>1</v>
      </c>
      <c r="G507">
        <v>301.60000000000002</v>
      </c>
      <c r="H507">
        <v>0.27</v>
      </c>
      <c r="I507" t="s">
        <v>1807</v>
      </c>
      <c r="J507">
        <v>220.16800000000001</v>
      </c>
    </row>
    <row r="508" spans="1:10" x14ac:dyDescent="0.3">
      <c r="A508" t="s">
        <v>2315</v>
      </c>
      <c r="B508" s="1">
        <v>45772</v>
      </c>
      <c r="C508" t="s">
        <v>163</v>
      </c>
      <c r="D508" t="s">
        <v>1709</v>
      </c>
      <c r="E508" t="s">
        <v>1744</v>
      </c>
      <c r="F508">
        <v>3</v>
      </c>
      <c r="G508">
        <v>21.59</v>
      </c>
      <c r="H508">
        <v>0.16</v>
      </c>
      <c r="I508" t="s">
        <v>1812</v>
      </c>
      <c r="J508">
        <v>54.406799999999997</v>
      </c>
    </row>
    <row r="509" spans="1:10" x14ac:dyDescent="0.3">
      <c r="A509" t="s">
        <v>2316</v>
      </c>
      <c r="B509" s="1">
        <v>45346</v>
      </c>
      <c r="C509" t="s">
        <v>684</v>
      </c>
      <c r="D509" t="s">
        <v>1557</v>
      </c>
      <c r="E509" t="s">
        <v>1744</v>
      </c>
      <c r="F509">
        <v>4</v>
      </c>
      <c r="G509">
        <v>284.24</v>
      </c>
      <c r="H509">
        <v>0.09</v>
      </c>
      <c r="I509" t="s">
        <v>1807</v>
      </c>
      <c r="J509">
        <v>1034.6335999999999</v>
      </c>
    </row>
    <row r="510" spans="1:10" x14ac:dyDescent="0.3">
      <c r="A510" t="s">
        <v>2317</v>
      </c>
      <c r="B510" s="1">
        <v>45656</v>
      </c>
      <c r="C510" t="s">
        <v>1138</v>
      </c>
      <c r="D510" t="s">
        <v>1538</v>
      </c>
      <c r="E510" t="s">
        <v>1769</v>
      </c>
      <c r="F510">
        <v>1</v>
      </c>
      <c r="G510">
        <v>191.6</v>
      </c>
      <c r="H510">
        <v>0.27</v>
      </c>
      <c r="I510" t="s">
        <v>1809</v>
      </c>
      <c r="J510">
        <v>139.86799999999999</v>
      </c>
    </row>
    <row r="511" spans="1:10" x14ac:dyDescent="0.3">
      <c r="A511" t="s">
        <v>2318</v>
      </c>
      <c r="B511" s="1">
        <v>45762</v>
      </c>
      <c r="C511" t="s">
        <v>971</v>
      </c>
      <c r="D511" t="s">
        <v>1687</v>
      </c>
      <c r="E511" t="s">
        <v>1777</v>
      </c>
      <c r="F511">
        <v>2</v>
      </c>
      <c r="G511">
        <v>616.97</v>
      </c>
      <c r="H511">
        <v>0.22</v>
      </c>
      <c r="I511" t="s">
        <v>1807</v>
      </c>
      <c r="J511">
        <v>962.47320000000002</v>
      </c>
    </row>
    <row r="512" spans="1:10" x14ac:dyDescent="0.3">
      <c r="A512" t="s">
        <v>2319</v>
      </c>
      <c r="B512" s="1">
        <v>45580</v>
      </c>
      <c r="C512" t="s">
        <v>554</v>
      </c>
      <c r="D512" t="s">
        <v>1587</v>
      </c>
      <c r="E512" t="s">
        <v>1772</v>
      </c>
      <c r="F512">
        <v>3</v>
      </c>
      <c r="G512">
        <v>125.68</v>
      </c>
      <c r="H512">
        <v>0.26</v>
      </c>
      <c r="I512" t="s">
        <v>1812</v>
      </c>
      <c r="J512">
        <v>279.00959999999998</v>
      </c>
    </row>
    <row r="513" spans="1:10" x14ac:dyDescent="0.3">
      <c r="A513" t="s">
        <v>2320</v>
      </c>
      <c r="B513" s="1">
        <v>45676</v>
      </c>
      <c r="C513" t="s">
        <v>1092</v>
      </c>
      <c r="D513" t="s">
        <v>1617</v>
      </c>
      <c r="E513" t="s">
        <v>1752</v>
      </c>
      <c r="F513">
        <v>3</v>
      </c>
      <c r="G513">
        <v>307.48</v>
      </c>
      <c r="H513">
        <v>0.24</v>
      </c>
      <c r="I513" t="s">
        <v>1807</v>
      </c>
      <c r="J513">
        <v>701.0544000000001</v>
      </c>
    </row>
    <row r="514" spans="1:10" x14ac:dyDescent="0.3">
      <c r="A514" t="s">
        <v>2321</v>
      </c>
      <c r="B514" s="1">
        <v>45495</v>
      </c>
      <c r="C514" t="s">
        <v>933</v>
      </c>
      <c r="D514" t="s">
        <v>1532</v>
      </c>
      <c r="E514" t="s">
        <v>1796</v>
      </c>
      <c r="F514">
        <v>1</v>
      </c>
      <c r="G514">
        <v>505.23</v>
      </c>
      <c r="H514">
        <v>0.11</v>
      </c>
      <c r="I514" t="s">
        <v>1807</v>
      </c>
      <c r="J514">
        <v>449.65469999999999</v>
      </c>
    </row>
    <row r="515" spans="1:10" x14ac:dyDescent="0.3">
      <c r="A515" t="s">
        <v>2322</v>
      </c>
      <c r="B515" s="1">
        <v>45735</v>
      </c>
      <c r="C515" t="s">
        <v>1129</v>
      </c>
      <c r="D515" t="s">
        <v>1621</v>
      </c>
      <c r="E515" t="s">
        <v>1787</v>
      </c>
      <c r="F515">
        <v>1</v>
      </c>
      <c r="G515">
        <v>853.12</v>
      </c>
      <c r="H515">
        <v>0.19</v>
      </c>
      <c r="I515" t="s">
        <v>1812</v>
      </c>
      <c r="J515">
        <v>691.02719999999999</v>
      </c>
    </row>
    <row r="516" spans="1:10" x14ac:dyDescent="0.3">
      <c r="A516" t="s">
        <v>2323</v>
      </c>
      <c r="B516" s="1">
        <v>45312</v>
      </c>
      <c r="C516" t="s">
        <v>439</v>
      </c>
      <c r="D516" t="s">
        <v>1526</v>
      </c>
      <c r="E516" t="s">
        <v>1762</v>
      </c>
      <c r="F516">
        <v>4</v>
      </c>
      <c r="G516">
        <v>191.65</v>
      </c>
      <c r="H516">
        <v>0.19</v>
      </c>
      <c r="I516" t="s">
        <v>1809</v>
      </c>
      <c r="J516">
        <v>620.94600000000003</v>
      </c>
    </row>
    <row r="517" spans="1:10" x14ac:dyDescent="0.3">
      <c r="A517" t="s">
        <v>2324</v>
      </c>
      <c r="B517" s="1">
        <v>45286</v>
      </c>
      <c r="C517" t="s">
        <v>530</v>
      </c>
      <c r="D517" t="s">
        <v>1625</v>
      </c>
      <c r="E517" t="s">
        <v>1749</v>
      </c>
      <c r="F517">
        <v>1</v>
      </c>
      <c r="G517">
        <v>169.69</v>
      </c>
      <c r="H517">
        <v>0.22</v>
      </c>
      <c r="I517" t="s">
        <v>1807</v>
      </c>
      <c r="J517">
        <v>132.35820000000001</v>
      </c>
    </row>
    <row r="518" spans="1:10" x14ac:dyDescent="0.3">
      <c r="A518" t="s">
        <v>2325</v>
      </c>
      <c r="B518" s="1">
        <v>45372</v>
      </c>
      <c r="C518" t="s">
        <v>573</v>
      </c>
      <c r="D518" t="s">
        <v>1655</v>
      </c>
      <c r="E518" t="s">
        <v>1782</v>
      </c>
      <c r="F518">
        <v>1</v>
      </c>
      <c r="G518">
        <v>145.43</v>
      </c>
      <c r="H518">
        <v>0.08</v>
      </c>
      <c r="I518" t="s">
        <v>1807</v>
      </c>
      <c r="J518">
        <v>133.79560000000001</v>
      </c>
    </row>
    <row r="519" spans="1:10" x14ac:dyDescent="0.3">
      <c r="A519" t="s">
        <v>2326</v>
      </c>
      <c r="B519" s="1">
        <v>45633</v>
      </c>
      <c r="C519" t="s">
        <v>301</v>
      </c>
      <c r="D519" t="s">
        <v>1717</v>
      </c>
      <c r="E519" t="s">
        <v>1777</v>
      </c>
      <c r="F519">
        <v>4</v>
      </c>
      <c r="G519">
        <v>828.35</v>
      </c>
      <c r="H519">
        <v>0.17</v>
      </c>
      <c r="I519" t="s">
        <v>1807</v>
      </c>
      <c r="J519">
        <v>2750.1219999999998</v>
      </c>
    </row>
    <row r="520" spans="1:10" x14ac:dyDescent="0.3">
      <c r="A520" t="s">
        <v>2327</v>
      </c>
      <c r="B520" s="1">
        <v>45598</v>
      </c>
      <c r="C520" t="s">
        <v>1121</v>
      </c>
      <c r="D520" t="s">
        <v>1721</v>
      </c>
      <c r="E520" t="s">
        <v>1762</v>
      </c>
      <c r="F520">
        <v>3</v>
      </c>
      <c r="G520">
        <v>268.76</v>
      </c>
      <c r="H520">
        <v>0.01</v>
      </c>
      <c r="I520" t="s">
        <v>1809</v>
      </c>
      <c r="J520">
        <v>798.21719999999993</v>
      </c>
    </row>
    <row r="521" spans="1:10" x14ac:dyDescent="0.3">
      <c r="A521" t="s">
        <v>2328</v>
      </c>
      <c r="B521" s="1">
        <v>45495</v>
      </c>
      <c r="C521" t="s">
        <v>743</v>
      </c>
      <c r="D521" t="s">
        <v>1707</v>
      </c>
      <c r="E521" t="s">
        <v>1735</v>
      </c>
      <c r="F521">
        <v>4</v>
      </c>
      <c r="G521">
        <v>370.09</v>
      </c>
      <c r="H521">
        <v>0.22</v>
      </c>
      <c r="I521" t="s">
        <v>1812</v>
      </c>
      <c r="J521">
        <v>1154.6808000000001</v>
      </c>
    </row>
    <row r="522" spans="1:10" x14ac:dyDescent="0.3">
      <c r="A522" t="s">
        <v>2329</v>
      </c>
      <c r="B522" s="1">
        <v>45229</v>
      </c>
      <c r="C522" t="s">
        <v>803</v>
      </c>
      <c r="D522" t="s">
        <v>1687</v>
      </c>
      <c r="E522" t="s">
        <v>1759</v>
      </c>
      <c r="F522">
        <v>3</v>
      </c>
      <c r="G522">
        <v>679.22</v>
      </c>
      <c r="H522">
        <v>0.11</v>
      </c>
      <c r="I522" t="s">
        <v>1809</v>
      </c>
      <c r="J522">
        <v>1813.5174</v>
      </c>
    </row>
    <row r="523" spans="1:10" x14ac:dyDescent="0.3">
      <c r="A523" t="s">
        <v>2330</v>
      </c>
      <c r="B523" s="1">
        <v>45433</v>
      </c>
      <c r="C523" t="s">
        <v>1153</v>
      </c>
      <c r="D523" t="s">
        <v>1677</v>
      </c>
      <c r="E523" t="s">
        <v>1735</v>
      </c>
      <c r="F523">
        <v>3</v>
      </c>
      <c r="G523">
        <v>780.69</v>
      </c>
      <c r="H523">
        <v>0.1</v>
      </c>
      <c r="I523" t="s">
        <v>1812</v>
      </c>
      <c r="J523">
        <v>2107.8629999999998</v>
      </c>
    </row>
    <row r="524" spans="1:10" x14ac:dyDescent="0.3">
      <c r="A524" t="s">
        <v>2331</v>
      </c>
      <c r="B524" s="1">
        <v>45766</v>
      </c>
      <c r="C524" t="s">
        <v>826</v>
      </c>
      <c r="D524" t="s">
        <v>1615</v>
      </c>
      <c r="E524" t="s">
        <v>1744</v>
      </c>
      <c r="F524">
        <v>2</v>
      </c>
      <c r="G524">
        <v>42.97</v>
      </c>
      <c r="H524">
        <v>0.18</v>
      </c>
      <c r="I524" t="s">
        <v>1809</v>
      </c>
      <c r="J524">
        <v>70.470799999999997</v>
      </c>
    </row>
    <row r="525" spans="1:10" x14ac:dyDescent="0.3">
      <c r="A525" t="s">
        <v>2332</v>
      </c>
      <c r="B525" s="1">
        <v>45639</v>
      </c>
      <c r="C525" t="s">
        <v>900</v>
      </c>
      <c r="D525" t="s">
        <v>1695</v>
      </c>
      <c r="E525" t="s">
        <v>1735</v>
      </c>
      <c r="F525">
        <v>4</v>
      </c>
      <c r="G525">
        <v>854.37</v>
      </c>
      <c r="H525">
        <v>7.0000000000000007E-2</v>
      </c>
      <c r="I525" t="s">
        <v>1809</v>
      </c>
      <c r="J525">
        <v>3178.2564000000002</v>
      </c>
    </row>
    <row r="526" spans="1:10" x14ac:dyDescent="0.3">
      <c r="A526" t="s">
        <v>2333</v>
      </c>
      <c r="B526" s="1">
        <v>45774</v>
      </c>
      <c r="C526" t="s">
        <v>351</v>
      </c>
      <c r="D526" t="s">
        <v>1579</v>
      </c>
      <c r="E526" t="s">
        <v>1787</v>
      </c>
      <c r="F526">
        <v>2</v>
      </c>
      <c r="G526">
        <v>409.52</v>
      </c>
      <c r="H526">
        <v>0.06</v>
      </c>
      <c r="I526" t="s">
        <v>1812</v>
      </c>
      <c r="J526">
        <v>769.8975999999999</v>
      </c>
    </row>
    <row r="527" spans="1:10" x14ac:dyDescent="0.3">
      <c r="A527" t="s">
        <v>2334</v>
      </c>
      <c r="B527" s="1">
        <v>45569</v>
      </c>
      <c r="C527" t="s">
        <v>542</v>
      </c>
      <c r="D527" t="s">
        <v>1679</v>
      </c>
      <c r="E527" t="s">
        <v>1772</v>
      </c>
      <c r="F527">
        <v>2</v>
      </c>
      <c r="G527">
        <v>407.46</v>
      </c>
      <c r="H527">
        <v>0.21</v>
      </c>
      <c r="I527" t="s">
        <v>1807</v>
      </c>
      <c r="J527">
        <v>643.78679999999997</v>
      </c>
    </row>
    <row r="528" spans="1:10" x14ac:dyDescent="0.3">
      <c r="A528" t="s">
        <v>2335</v>
      </c>
      <c r="B528" s="1">
        <v>45856</v>
      </c>
      <c r="C528" t="s">
        <v>729</v>
      </c>
      <c r="D528" t="s">
        <v>1536</v>
      </c>
      <c r="E528" t="s">
        <v>1765</v>
      </c>
      <c r="F528">
        <v>1</v>
      </c>
      <c r="G528">
        <v>728.84</v>
      </c>
      <c r="H528">
        <v>0.28000000000000003</v>
      </c>
      <c r="I528" t="s">
        <v>1809</v>
      </c>
      <c r="J528">
        <v>524.76480000000004</v>
      </c>
    </row>
    <row r="529" spans="1:10" x14ac:dyDescent="0.3">
      <c r="A529" t="s">
        <v>2336</v>
      </c>
      <c r="B529" s="1">
        <v>45362</v>
      </c>
      <c r="C529" t="s">
        <v>1384</v>
      </c>
      <c r="D529" t="s">
        <v>1687</v>
      </c>
      <c r="E529" t="s">
        <v>1759</v>
      </c>
      <c r="F529">
        <v>4</v>
      </c>
      <c r="G529">
        <v>467.24</v>
      </c>
      <c r="H529">
        <v>0.08</v>
      </c>
      <c r="I529" t="s">
        <v>1809</v>
      </c>
      <c r="J529">
        <v>1719.4431999999999</v>
      </c>
    </row>
    <row r="530" spans="1:10" x14ac:dyDescent="0.3">
      <c r="A530" t="s">
        <v>2337</v>
      </c>
      <c r="B530" s="1">
        <v>45457</v>
      </c>
      <c r="C530" t="s">
        <v>327</v>
      </c>
      <c r="D530" t="s">
        <v>1551</v>
      </c>
      <c r="E530" t="s">
        <v>1775</v>
      </c>
      <c r="F530">
        <v>1</v>
      </c>
      <c r="G530">
        <v>57.94</v>
      </c>
      <c r="H530">
        <v>0.13</v>
      </c>
      <c r="I530" t="s">
        <v>1809</v>
      </c>
      <c r="J530">
        <v>50.407799999999988</v>
      </c>
    </row>
    <row r="531" spans="1:10" x14ac:dyDescent="0.3">
      <c r="A531" t="s">
        <v>2338</v>
      </c>
      <c r="B531" s="1">
        <v>45338</v>
      </c>
      <c r="C531" t="s">
        <v>1069</v>
      </c>
      <c r="D531" t="s">
        <v>1629</v>
      </c>
      <c r="E531" t="s">
        <v>1790</v>
      </c>
      <c r="F531">
        <v>1</v>
      </c>
      <c r="G531">
        <v>540.1</v>
      </c>
      <c r="H531">
        <v>0.22</v>
      </c>
      <c r="I531" t="s">
        <v>1807</v>
      </c>
      <c r="J531">
        <v>421.27800000000002</v>
      </c>
    </row>
    <row r="532" spans="1:10" x14ac:dyDescent="0.3">
      <c r="A532" t="s">
        <v>2339</v>
      </c>
      <c r="B532" s="1">
        <v>45552</v>
      </c>
      <c r="C532" t="s">
        <v>278</v>
      </c>
      <c r="D532" t="s">
        <v>1545</v>
      </c>
      <c r="E532" t="s">
        <v>1796</v>
      </c>
      <c r="F532">
        <v>4</v>
      </c>
      <c r="G532">
        <v>816.28</v>
      </c>
      <c r="H532">
        <v>0.15</v>
      </c>
      <c r="I532" t="s">
        <v>1812</v>
      </c>
      <c r="J532">
        <v>2775.3519999999999</v>
      </c>
    </row>
    <row r="533" spans="1:10" x14ac:dyDescent="0.3">
      <c r="A533" t="s">
        <v>2340</v>
      </c>
      <c r="B533" s="1">
        <v>45895</v>
      </c>
      <c r="C533" t="s">
        <v>583</v>
      </c>
      <c r="D533" t="s">
        <v>1615</v>
      </c>
      <c r="E533" t="s">
        <v>1765</v>
      </c>
      <c r="F533">
        <v>4</v>
      </c>
      <c r="G533">
        <v>727.49</v>
      </c>
      <c r="H533">
        <v>0.11</v>
      </c>
      <c r="I533" t="s">
        <v>1807</v>
      </c>
      <c r="J533">
        <v>2589.8643999999999</v>
      </c>
    </row>
    <row r="534" spans="1:10" x14ac:dyDescent="0.3">
      <c r="A534" t="s">
        <v>2341</v>
      </c>
      <c r="B534" s="1">
        <v>45447</v>
      </c>
      <c r="C534" t="s">
        <v>562</v>
      </c>
      <c r="D534" t="s">
        <v>1703</v>
      </c>
      <c r="E534" t="s">
        <v>1780</v>
      </c>
      <c r="F534">
        <v>4</v>
      </c>
      <c r="G534">
        <v>817.92</v>
      </c>
      <c r="H534">
        <v>0.21</v>
      </c>
      <c r="I534" t="s">
        <v>1807</v>
      </c>
      <c r="J534">
        <v>2584.6271999999999</v>
      </c>
    </row>
    <row r="535" spans="1:10" x14ac:dyDescent="0.3">
      <c r="A535" t="s">
        <v>2342</v>
      </c>
      <c r="B535" s="1">
        <v>45578</v>
      </c>
      <c r="C535" t="s">
        <v>1012</v>
      </c>
      <c r="D535" t="s">
        <v>1607</v>
      </c>
      <c r="E535" t="s">
        <v>1762</v>
      </c>
      <c r="F535">
        <v>2</v>
      </c>
      <c r="G535">
        <v>358.45</v>
      </c>
      <c r="H535">
        <v>7.0000000000000007E-2</v>
      </c>
      <c r="I535" t="s">
        <v>1812</v>
      </c>
      <c r="J535">
        <v>666.71699999999998</v>
      </c>
    </row>
    <row r="536" spans="1:10" x14ac:dyDescent="0.3">
      <c r="A536" t="s">
        <v>2343</v>
      </c>
      <c r="B536" s="1">
        <v>45697</v>
      </c>
      <c r="C536" t="s">
        <v>651</v>
      </c>
      <c r="D536" t="s">
        <v>1705</v>
      </c>
      <c r="E536" t="s">
        <v>1769</v>
      </c>
      <c r="F536">
        <v>1</v>
      </c>
      <c r="G536">
        <v>972.06</v>
      </c>
      <c r="H536">
        <v>0.3</v>
      </c>
      <c r="I536" t="s">
        <v>1812</v>
      </c>
      <c r="J536">
        <v>680.44199999999989</v>
      </c>
    </row>
    <row r="537" spans="1:10" x14ac:dyDescent="0.3">
      <c r="A537" t="s">
        <v>2344</v>
      </c>
      <c r="B537" s="1">
        <v>45281</v>
      </c>
      <c r="C537" t="s">
        <v>130</v>
      </c>
      <c r="D537" t="s">
        <v>1563</v>
      </c>
      <c r="E537" t="s">
        <v>1735</v>
      </c>
      <c r="F537">
        <v>1</v>
      </c>
      <c r="G537">
        <v>791.36</v>
      </c>
      <c r="H537">
        <v>0.06</v>
      </c>
      <c r="I537" t="s">
        <v>1809</v>
      </c>
      <c r="J537">
        <v>743.87839999999994</v>
      </c>
    </row>
    <row r="538" spans="1:10" x14ac:dyDescent="0.3">
      <c r="A538" t="s">
        <v>2345</v>
      </c>
      <c r="B538" s="1">
        <v>45855</v>
      </c>
      <c r="C538" t="s">
        <v>980</v>
      </c>
      <c r="D538" t="s">
        <v>1659</v>
      </c>
      <c r="E538" t="s">
        <v>1756</v>
      </c>
      <c r="F538">
        <v>4</v>
      </c>
      <c r="G538">
        <v>839.65</v>
      </c>
      <c r="H538">
        <v>0.26</v>
      </c>
      <c r="I538" t="s">
        <v>1812</v>
      </c>
      <c r="J538">
        <v>2485.364</v>
      </c>
    </row>
    <row r="539" spans="1:10" x14ac:dyDescent="0.3">
      <c r="A539" t="s">
        <v>2346</v>
      </c>
      <c r="B539" s="1">
        <v>45793</v>
      </c>
      <c r="C539" t="s">
        <v>808</v>
      </c>
      <c r="D539" t="s">
        <v>1675</v>
      </c>
      <c r="E539" t="s">
        <v>1744</v>
      </c>
      <c r="F539">
        <v>2</v>
      </c>
      <c r="G539">
        <v>245.52</v>
      </c>
      <c r="H539">
        <v>0.11</v>
      </c>
      <c r="I539" t="s">
        <v>1812</v>
      </c>
      <c r="J539">
        <v>437.0256</v>
      </c>
    </row>
    <row r="540" spans="1:10" x14ac:dyDescent="0.3">
      <c r="A540" t="s">
        <v>2347</v>
      </c>
      <c r="B540" s="1">
        <v>45881</v>
      </c>
      <c r="C540" t="s">
        <v>1198</v>
      </c>
      <c r="D540" t="s">
        <v>1695</v>
      </c>
      <c r="E540" t="s">
        <v>1765</v>
      </c>
      <c r="F540">
        <v>3</v>
      </c>
      <c r="G540">
        <v>787.91</v>
      </c>
      <c r="H540">
        <v>0.06</v>
      </c>
      <c r="I540" t="s">
        <v>1809</v>
      </c>
      <c r="J540">
        <v>2221.9061999999999</v>
      </c>
    </row>
    <row r="541" spans="1:10" x14ac:dyDescent="0.3">
      <c r="A541" t="s">
        <v>2348</v>
      </c>
      <c r="B541" s="1">
        <v>45890</v>
      </c>
      <c r="C541" t="s">
        <v>199</v>
      </c>
      <c r="D541" t="s">
        <v>1681</v>
      </c>
      <c r="E541" t="s">
        <v>1752</v>
      </c>
      <c r="F541">
        <v>2</v>
      </c>
      <c r="G541">
        <v>709.17</v>
      </c>
      <c r="H541">
        <v>0.22</v>
      </c>
      <c r="I541" t="s">
        <v>1807</v>
      </c>
      <c r="J541">
        <v>1106.3052</v>
      </c>
    </row>
    <row r="542" spans="1:10" x14ac:dyDescent="0.3">
      <c r="A542" t="s">
        <v>2349</v>
      </c>
      <c r="B542" s="1">
        <v>45251</v>
      </c>
      <c r="C542" t="s">
        <v>749</v>
      </c>
      <c r="D542" t="s">
        <v>1713</v>
      </c>
      <c r="E542" t="s">
        <v>1762</v>
      </c>
      <c r="F542">
        <v>2</v>
      </c>
      <c r="G542">
        <v>533.91999999999996</v>
      </c>
      <c r="H542">
        <v>0.13</v>
      </c>
      <c r="I542" t="s">
        <v>1807</v>
      </c>
      <c r="J542">
        <v>929.02079999999989</v>
      </c>
    </row>
    <row r="543" spans="1:10" x14ac:dyDescent="0.3">
      <c r="A543" t="s">
        <v>2350</v>
      </c>
      <c r="B543" s="1">
        <v>45695</v>
      </c>
      <c r="C543" t="s">
        <v>1496</v>
      </c>
      <c r="D543" t="s">
        <v>1615</v>
      </c>
      <c r="E543" t="s">
        <v>1735</v>
      </c>
      <c r="F543">
        <v>1</v>
      </c>
      <c r="G543">
        <v>878.84</v>
      </c>
      <c r="H543">
        <v>0.28000000000000003</v>
      </c>
      <c r="I543" t="s">
        <v>1812</v>
      </c>
      <c r="J543">
        <v>632.76480000000004</v>
      </c>
    </row>
    <row r="544" spans="1:10" x14ac:dyDescent="0.3">
      <c r="A544" t="s">
        <v>2351</v>
      </c>
      <c r="B544" s="1">
        <v>45287</v>
      </c>
      <c r="C544" t="s">
        <v>660</v>
      </c>
      <c r="D544" t="s">
        <v>1619</v>
      </c>
      <c r="E544" t="s">
        <v>1787</v>
      </c>
      <c r="F544">
        <v>1</v>
      </c>
      <c r="G544">
        <v>442.36</v>
      </c>
      <c r="H544">
        <v>0.14000000000000001</v>
      </c>
      <c r="I544" t="s">
        <v>1807</v>
      </c>
      <c r="J544">
        <v>380.42959999999999</v>
      </c>
    </row>
    <row r="545" spans="1:10" x14ac:dyDescent="0.3">
      <c r="A545" t="s">
        <v>2352</v>
      </c>
      <c r="B545" s="1">
        <v>45711</v>
      </c>
      <c r="C545" t="s">
        <v>1036</v>
      </c>
      <c r="D545" t="s">
        <v>1601</v>
      </c>
      <c r="E545" t="s">
        <v>1759</v>
      </c>
      <c r="F545">
        <v>1</v>
      </c>
      <c r="G545">
        <v>763.34</v>
      </c>
      <c r="H545">
        <v>0.11</v>
      </c>
      <c r="I545" t="s">
        <v>1812</v>
      </c>
      <c r="J545">
        <v>679.37260000000003</v>
      </c>
    </row>
    <row r="546" spans="1:10" x14ac:dyDescent="0.3">
      <c r="A546" t="s">
        <v>2353</v>
      </c>
      <c r="B546" s="1">
        <v>45842</v>
      </c>
      <c r="C546" t="s">
        <v>548</v>
      </c>
      <c r="D546" t="s">
        <v>1649</v>
      </c>
      <c r="E546" t="s">
        <v>1793</v>
      </c>
      <c r="F546">
        <v>3</v>
      </c>
      <c r="G546">
        <v>178.22</v>
      </c>
      <c r="H546">
        <v>0.15</v>
      </c>
      <c r="I546" t="s">
        <v>1812</v>
      </c>
      <c r="J546">
        <v>454.46100000000001</v>
      </c>
    </row>
    <row r="547" spans="1:10" x14ac:dyDescent="0.3">
      <c r="A547" t="s">
        <v>2354</v>
      </c>
      <c r="B547" s="1">
        <v>45255</v>
      </c>
      <c r="C547" t="s">
        <v>361</v>
      </c>
      <c r="D547" t="s">
        <v>1583</v>
      </c>
      <c r="E547" t="s">
        <v>1740</v>
      </c>
      <c r="F547">
        <v>4</v>
      </c>
      <c r="G547">
        <v>90.32</v>
      </c>
      <c r="H547">
        <v>0.08</v>
      </c>
      <c r="I547" t="s">
        <v>1809</v>
      </c>
      <c r="J547">
        <v>332.37759999999997</v>
      </c>
    </row>
    <row r="548" spans="1:10" x14ac:dyDescent="0.3">
      <c r="A548" t="s">
        <v>2355</v>
      </c>
      <c r="B548" s="1">
        <v>45695</v>
      </c>
      <c r="C548" t="s">
        <v>1168</v>
      </c>
      <c r="D548" t="s">
        <v>1551</v>
      </c>
      <c r="E548" t="s">
        <v>1759</v>
      </c>
      <c r="F548">
        <v>3</v>
      </c>
      <c r="G548">
        <v>370.93</v>
      </c>
      <c r="H548">
        <v>0</v>
      </c>
      <c r="I548" t="s">
        <v>1807</v>
      </c>
      <c r="J548">
        <v>1112.79</v>
      </c>
    </row>
    <row r="549" spans="1:10" x14ac:dyDescent="0.3">
      <c r="A549" t="s">
        <v>2356</v>
      </c>
      <c r="B549" s="1">
        <v>45281</v>
      </c>
      <c r="C549" t="s">
        <v>176</v>
      </c>
      <c r="D549" t="s">
        <v>1577</v>
      </c>
      <c r="E549" t="s">
        <v>1784</v>
      </c>
      <c r="F549">
        <v>1</v>
      </c>
      <c r="G549">
        <v>352.43</v>
      </c>
      <c r="H549">
        <v>0.14000000000000001</v>
      </c>
      <c r="I549" t="s">
        <v>1809</v>
      </c>
      <c r="J549">
        <v>303.08980000000003</v>
      </c>
    </row>
    <row r="550" spans="1:10" x14ac:dyDescent="0.3">
      <c r="A550" t="s">
        <v>2357</v>
      </c>
      <c r="B550" s="1">
        <v>45295</v>
      </c>
      <c r="C550" t="s">
        <v>420</v>
      </c>
      <c r="D550" t="s">
        <v>1555</v>
      </c>
      <c r="E550" t="s">
        <v>1784</v>
      </c>
      <c r="F550">
        <v>2</v>
      </c>
      <c r="G550">
        <v>562.97</v>
      </c>
      <c r="H550">
        <v>0.2</v>
      </c>
      <c r="I550" t="s">
        <v>1807</v>
      </c>
      <c r="J550">
        <v>900.75200000000007</v>
      </c>
    </row>
    <row r="551" spans="1:10" x14ac:dyDescent="0.3">
      <c r="A551" t="s">
        <v>2358</v>
      </c>
      <c r="B551" s="1">
        <v>45260</v>
      </c>
      <c r="C551" t="s">
        <v>521</v>
      </c>
      <c r="D551" t="s">
        <v>1641</v>
      </c>
      <c r="E551" t="s">
        <v>1762</v>
      </c>
      <c r="F551">
        <v>1</v>
      </c>
      <c r="G551">
        <v>522.85</v>
      </c>
      <c r="H551">
        <v>0.12</v>
      </c>
      <c r="I551" t="s">
        <v>1809</v>
      </c>
      <c r="J551">
        <v>460.108</v>
      </c>
    </row>
    <row r="552" spans="1:10" x14ac:dyDescent="0.3">
      <c r="A552" t="s">
        <v>2359</v>
      </c>
      <c r="B552" s="1">
        <v>45851</v>
      </c>
      <c r="C552" t="s">
        <v>1083</v>
      </c>
      <c r="D552" t="s">
        <v>1573</v>
      </c>
      <c r="E552" t="s">
        <v>1787</v>
      </c>
      <c r="F552">
        <v>4</v>
      </c>
      <c r="G552">
        <v>714.89</v>
      </c>
      <c r="H552">
        <v>0.15</v>
      </c>
      <c r="I552" t="s">
        <v>1807</v>
      </c>
      <c r="J552">
        <v>2430.6260000000002</v>
      </c>
    </row>
    <row r="553" spans="1:10" x14ac:dyDescent="0.3">
      <c r="A553" t="s">
        <v>2360</v>
      </c>
      <c r="B553" s="1">
        <v>45222</v>
      </c>
      <c r="C553" t="s">
        <v>610</v>
      </c>
      <c r="D553" t="s">
        <v>1617</v>
      </c>
      <c r="E553" t="s">
        <v>1744</v>
      </c>
      <c r="F553">
        <v>3</v>
      </c>
      <c r="G553">
        <v>137.77000000000001</v>
      </c>
      <c r="H553">
        <v>0.26</v>
      </c>
      <c r="I553" t="s">
        <v>1809</v>
      </c>
      <c r="J553">
        <v>305.84940000000012</v>
      </c>
    </row>
    <row r="554" spans="1:10" x14ac:dyDescent="0.3">
      <c r="A554" t="s">
        <v>2361</v>
      </c>
      <c r="B554" s="1">
        <v>45940</v>
      </c>
      <c r="C554" t="s">
        <v>114</v>
      </c>
      <c r="D554" t="s">
        <v>1715</v>
      </c>
      <c r="E554" t="s">
        <v>1775</v>
      </c>
      <c r="F554">
        <v>3</v>
      </c>
      <c r="G554">
        <v>862.18</v>
      </c>
      <c r="H554">
        <v>0.22</v>
      </c>
      <c r="I554" t="s">
        <v>1809</v>
      </c>
      <c r="J554">
        <v>2017.5011999999999</v>
      </c>
    </row>
    <row r="555" spans="1:10" x14ac:dyDescent="0.3">
      <c r="A555" t="s">
        <v>2362</v>
      </c>
      <c r="B555" s="1">
        <v>45822</v>
      </c>
      <c r="C555" t="s">
        <v>211</v>
      </c>
      <c r="D555" t="s">
        <v>1607</v>
      </c>
      <c r="E555" t="s">
        <v>1782</v>
      </c>
      <c r="F555">
        <v>2</v>
      </c>
      <c r="G555">
        <v>833.64</v>
      </c>
      <c r="H555">
        <v>0.24</v>
      </c>
      <c r="I555" t="s">
        <v>1809</v>
      </c>
      <c r="J555">
        <v>1267.1328000000001</v>
      </c>
    </row>
    <row r="556" spans="1:10" x14ac:dyDescent="0.3">
      <c r="A556" t="s">
        <v>2363</v>
      </c>
      <c r="B556" s="1">
        <v>45752</v>
      </c>
      <c r="C556" t="s">
        <v>853</v>
      </c>
      <c r="D556" t="s">
        <v>1569</v>
      </c>
      <c r="E556" t="s">
        <v>1784</v>
      </c>
      <c r="F556">
        <v>3</v>
      </c>
      <c r="G556">
        <v>543.22</v>
      </c>
      <c r="H556">
        <v>0.05</v>
      </c>
      <c r="I556" t="s">
        <v>1812</v>
      </c>
      <c r="J556">
        <v>1548.1769999999999</v>
      </c>
    </row>
    <row r="557" spans="1:10" x14ac:dyDescent="0.3">
      <c r="A557" t="s">
        <v>2364</v>
      </c>
      <c r="B557" s="1">
        <v>45677</v>
      </c>
      <c r="C557" t="s">
        <v>876</v>
      </c>
      <c r="D557" t="s">
        <v>1707</v>
      </c>
      <c r="E557" t="s">
        <v>1744</v>
      </c>
      <c r="F557">
        <v>3</v>
      </c>
      <c r="G557">
        <v>691.02</v>
      </c>
      <c r="H557">
        <v>0.12</v>
      </c>
      <c r="I557" t="s">
        <v>1812</v>
      </c>
      <c r="J557">
        <v>1824.2927999999999</v>
      </c>
    </row>
    <row r="558" spans="1:10" x14ac:dyDescent="0.3">
      <c r="A558" t="s">
        <v>2365</v>
      </c>
      <c r="B558" s="1">
        <v>45253</v>
      </c>
      <c r="C558" t="s">
        <v>310</v>
      </c>
      <c r="D558" t="s">
        <v>1703</v>
      </c>
      <c r="E558" t="s">
        <v>1790</v>
      </c>
      <c r="F558">
        <v>4</v>
      </c>
      <c r="G558">
        <v>338.73</v>
      </c>
      <c r="H558">
        <v>0.18</v>
      </c>
      <c r="I558" t="s">
        <v>1807</v>
      </c>
      <c r="J558">
        <v>1111.0344</v>
      </c>
    </row>
    <row r="559" spans="1:10" x14ac:dyDescent="0.3">
      <c r="A559" t="s">
        <v>2366</v>
      </c>
      <c r="B559" s="1">
        <v>45389</v>
      </c>
      <c r="C559" t="s">
        <v>227</v>
      </c>
      <c r="D559" t="s">
        <v>1699</v>
      </c>
      <c r="E559" t="s">
        <v>1787</v>
      </c>
      <c r="F559">
        <v>3</v>
      </c>
      <c r="G559">
        <v>366.08</v>
      </c>
      <c r="H559">
        <v>0.05</v>
      </c>
      <c r="I559" t="s">
        <v>1807</v>
      </c>
      <c r="J559">
        <v>1043.328</v>
      </c>
    </row>
    <row r="560" spans="1:10" x14ac:dyDescent="0.3">
      <c r="A560" t="s">
        <v>2367</v>
      </c>
      <c r="B560" s="1">
        <v>45840</v>
      </c>
      <c r="C560" t="s">
        <v>367</v>
      </c>
      <c r="D560" t="s">
        <v>1557</v>
      </c>
      <c r="E560" t="s">
        <v>1780</v>
      </c>
      <c r="F560">
        <v>4</v>
      </c>
      <c r="G560">
        <v>539.48</v>
      </c>
      <c r="H560">
        <v>0.28000000000000003</v>
      </c>
      <c r="I560" t="s">
        <v>1812</v>
      </c>
      <c r="J560">
        <v>1553.7023999999999</v>
      </c>
    </row>
    <row r="561" spans="1:10" x14ac:dyDescent="0.3">
      <c r="A561" t="s">
        <v>2368</v>
      </c>
      <c r="B561" s="1">
        <v>45256</v>
      </c>
      <c r="C561" t="s">
        <v>1201</v>
      </c>
      <c r="D561" t="s">
        <v>1713</v>
      </c>
      <c r="E561" t="s">
        <v>1787</v>
      </c>
      <c r="F561">
        <v>1</v>
      </c>
      <c r="G561">
        <v>499.59</v>
      </c>
      <c r="H561">
        <v>0.03</v>
      </c>
      <c r="I561" t="s">
        <v>1812</v>
      </c>
      <c r="J561">
        <v>484.60230000000001</v>
      </c>
    </row>
    <row r="562" spans="1:10" x14ac:dyDescent="0.3">
      <c r="A562" t="s">
        <v>2369</v>
      </c>
      <c r="B562" s="1">
        <v>45326</v>
      </c>
      <c r="C562" t="s">
        <v>613</v>
      </c>
      <c r="D562" t="s">
        <v>1591</v>
      </c>
      <c r="E562" t="s">
        <v>1765</v>
      </c>
      <c r="F562">
        <v>3</v>
      </c>
      <c r="G562">
        <v>330.04</v>
      </c>
      <c r="H562">
        <v>0.2</v>
      </c>
      <c r="I562" t="s">
        <v>1807</v>
      </c>
      <c r="J562">
        <v>792.09600000000012</v>
      </c>
    </row>
    <row r="563" spans="1:10" x14ac:dyDescent="0.3">
      <c r="A563" t="s">
        <v>2370</v>
      </c>
      <c r="B563" s="1">
        <v>45459</v>
      </c>
      <c r="C563" t="s">
        <v>595</v>
      </c>
      <c r="D563" t="s">
        <v>1553</v>
      </c>
      <c r="E563" t="s">
        <v>1790</v>
      </c>
      <c r="F563">
        <v>2</v>
      </c>
      <c r="G563">
        <v>813.01</v>
      </c>
      <c r="H563">
        <v>0.06</v>
      </c>
      <c r="I563" t="s">
        <v>1809</v>
      </c>
      <c r="J563">
        <v>1528.4588000000001</v>
      </c>
    </row>
    <row r="564" spans="1:10" x14ac:dyDescent="0.3">
      <c r="A564" t="s">
        <v>2371</v>
      </c>
      <c r="B564" s="1">
        <v>45715</v>
      </c>
      <c r="C564" t="s">
        <v>110</v>
      </c>
      <c r="D564" t="s">
        <v>1529</v>
      </c>
      <c r="E564" t="s">
        <v>1744</v>
      </c>
      <c r="F564">
        <v>4</v>
      </c>
      <c r="G564">
        <v>204.8</v>
      </c>
      <c r="H564">
        <v>0.03</v>
      </c>
      <c r="I564" t="s">
        <v>1809</v>
      </c>
      <c r="J564">
        <v>794.62400000000002</v>
      </c>
    </row>
    <row r="565" spans="1:10" x14ac:dyDescent="0.3">
      <c r="A565" t="s">
        <v>2372</v>
      </c>
      <c r="B565" s="1">
        <v>45223</v>
      </c>
      <c r="C565" t="s">
        <v>55</v>
      </c>
      <c r="D565" t="s">
        <v>1534</v>
      </c>
      <c r="E565" t="s">
        <v>1749</v>
      </c>
      <c r="F565">
        <v>3</v>
      </c>
      <c r="G565">
        <v>728.32</v>
      </c>
      <c r="H565">
        <v>0.01</v>
      </c>
      <c r="I565" t="s">
        <v>1807</v>
      </c>
      <c r="J565">
        <v>2163.1104</v>
      </c>
    </row>
    <row r="566" spans="1:10" x14ac:dyDescent="0.3">
      <c r="A566" t="s">
        <v>2373</v>
      </c>
      <c r="B566" s="1">
        <v>45507</v>
      </c>
      <c r="C566" t="s">
        <v>1381</v>
      </c>
      <c r="D566" t="s">
        <v>1649</v>
      </c>
      <c r="E566" t="s">
        <v>1762</v>
      </c>
      <c r="F566">
        <v>3</v>
      </c>
      <c r="G566">
        <v>836.4</v>
      </c>
      <c r="H566">
        <v>0</v>
      </c>
      <c r="I566" t="s">
        <v>1807</v>
      </c>
      <c r="J566">
        <v>2509.1999999999998</v>
      </c>
    </row>
    <row r="567" spans="1:10" x14ac:dyDescent="0.3">
      <c r="A567" t="s">
        <v>2374</v>
      </c>
      <c r="B567" s="1">
        <v>45843</v>
      </c>
      <c r="C567" t="s">
        <v>497</v>
      </c>
      <c r="D567" t="s">
        <v>1711</v>
      </c>
      <c r="E567" t="s">
        <v>1777</v>
      </c>
      <c r="F567">
        <v>1</v>
      </c>
      <c r="G567">
        <v>780.16</v>
      </c>
      <c r="H567">
        <v>0.02</v>
      </c>
      <c r="I567" t="s">
        <v>1812</v>
      </c>
      <c r="J567">
        <v>764.55679999999995</v>
      </c>
    </row>
    <row r="568" spans="1:10" x14ac:dyDescent="0.3">
      <c r="A568" t="s">
        <v>2375</v>
      </c>
      <c r="B568" s="1">
        <v>45804</v>
      </c>
      <c r="C568" t="s">
        <v>1433</v>
      </c>
      <c r="D568" t="s">
        <v>1623</v>
      </c>
      <c r="E568" t="s">
        <v>1780</v>
      </c>
      <c r="F568">
        <v>4</v>
      </c>
      <c r="G568">
        <v>354.12</v>
      </c>
      <c r="H568">
        <v>0.06</v>
      </c>
      <c r="I568" t="s">
        <v>1809</v>
      </c>
      <c r="J568">
        <v>1331.4911999999999</v>
      </c>
    </row>
    <row r="569" spans="1:10" x14ac:dyDescent="0.3">
      <c r="A569" t="s">
        <v>2376</v>
      </c>
      <c r="B569" s="1">
        <v>45602</v>
      </c>
      <c r="C569" t="s">
        <v>1381</v>
      </c>
      <c r="D569" t="s">
        <v>1657</v>
      </c>
      <c r="E569" t="s">
        <v>1744</v>
      </c>
      <c r="F569">
        <v>4</v>
      </c>
      <c r="G569">
        <v>282.48</v>
      </c>
      <c r="H569">
        <v>0.11</v>
      </c>
      <c r="I569" t="s">
        <v>1809</v>
      </c>
      <c r="J569">
        <v>1005.6288</v>
      </c>
    </row>
    <row r="570" spans="1:10" x14ac:dyDescent="0.3">
      <c r="A570" t="s">
        <v>2377</v>
      </c>
      <c r="B570" s="1">
        <v>45446</v>
      </c>
      <c r="C570" t="s">
        <v>1021</v>
      </c>
      <c r="D570" t="s">
        <v>1571</v>
      </c>
      <c r="E570" t="s">
        <v>1759</v>
      </c>
      <c r="F570">
        <v>2</v>
      </c>
      <c r="G570">
        <v>740.68</v>
      </c>
      <c r="H570">
        <v>0.02</v>
      </c>
      <c r="I570" t="s">
        <v>1809</v>
      </c>
      <c r="J570">
        <v>1451.7328</v>
      </c>
    </row>
    <row r="571" spans="1:10" x14ac:dyDescent="0.3">
      <c r="A571" t="s">
        <v>2378</v>
      </c>
      <c r="B571" s="1">
        <v>45384</v>
      </c>
      <c r="C571" t="s">
        <v>367</v>
      </c>
      <c r="D571" t="s">
        <v>1643</v>
      </c>
      <c r="E571" t="s">
        <v>1769</v>
      </c>
      <c r="F571">
        <v>3</v>
      </c>
      <c r="G571">
        <v>600.58000000000004</v>
      </c>
      <c r="H571">
        <v>0.28999999999999998</v>
      </c>
      <c r="I571" t="s">
        <v>1812</v>
      </c>
      <c r="J571">
        <v>1279.2354</v>
      </c>
    </row>
    <row r="572" spans="1:10" x14ac:dyDescent="0.3">
      <c r="A572" t="s">
        <v>2379</v>
      </c>
      <c r="B572" s="1">
        <v>45348</v>
      </c>
      <c r="C572" t="s">
        <v>1406</v>
      </c>
      <c r="D572" t="s">
        <v>1661</v>
      </c>
      <c r="E572" t="s">
        <v>1749</v>
      </c>
      <c r="F572">
        <v>3</v>
      </c>
      <c r="G572">
        <v>345.58</v>
      </c>
      <c r="H572">
        <v>0.22</v>
      </c>
      <c r="I572" t="s">
        <v>1807</v>
      </c>
      <c r="J572">
        <v>808.65719999999999</v>
      </c>
    </row>
    <row r="573" spans="1:10" x14ac:dyDescent="0.3">
      <c r="A573" t="s">
        <v>2380</v>
      </c>
      <c r="B573" s="1">
        <v>45688</v>
      </c>
      <c r="C573" t="s">
        <v>894</v>
      </c>
      <c r="D573" t="s">
        <v>1567</v>
      </c>
      <c r="E573" t="s">
        <v>1775</v>
      </c>
      <c r="F573">
        <v>1</v>
      </c>
      <c r="G573">
        <v>974.52</v>
      </c>
      <c r="H573">
        <v>0.01</v>
      </c>
      <c r="I573" t="s">
        <v>1809</v>
      </c>
      <c r="J573">
        <v>964.77480000000003</v>
      </c>
    </row>
    <row r="574" spans="1:10" x14ac:dyDescent="0.3">
      <c r="A574" t="s">
        <v>2381</v>
      </c>
      <c r="B574" s="1">
        <v>45249</v>
      </c>
      <c r="C574" t="s">
        <v>156</v>
      </c>
      <c r="D574" t="s">
        <v>1565</v>
      </c>
      <c r="E574" t="s">
        <v>1740</v>
      </c>
      <c r="F574">
        <v>3</v>
      </c>
      <c r="G574">
        <v>282.33</v>
      </c>
      <c r="H574">
        <v>7.0000000000000007E-2</v>
      </c>
      <c r="I574" t="s">
        <v>1807</v>
      </c>
      <c r="J574">
        <v>787.70069999999998</v>
      </c>
    </row>
    <row r="575" spans="1:10" x14ac:dyDescent="0.3">
      <c r="A575" t="s">
        <v>2382</v>
      </c>
      <c r="B575" s="1">
        <v>45726</v>
      </c>
      <c r="C575" t="s">
        <v>1180</v>
      </c>
      <c r="D575" t="s">
        <v>1683</v>
      </c>
      <c r="E575" t="s">
        <v>1796</v>
      </c>
      <c r="F575">
        <v>4</v>
      </c>
      <c r="G575">
        <v>158.46</v>
      </c>
      <c r="H575">
        <v>0.09</v>
      </c>
      <c r="I575" t="s">
        <v>1809</v>
      </c>
      <c r="J575">
        <v>576.7944</v>
      </c>
    </row>
    <row r="576" spans="1:10" x14ac:dyDescent="0.3">
      <c r="A576" t="s">
        <v>2383</v>
      </c>
      <c r="B576" s="1">
        <v>45283</v>
      </c>
      <c r="C576" t="s">
        <v>1066</v>
      </c>
      <c r="D576" t="s">
        <v>1641</v>
      </c>
      <c r="E576" t="s">
        <v>1762</v>
      </c>
      <c r="F576">
        <v>2</v>
      </c>
      <c r="G576">
        <v>778.56</v>
      </c>
      <c r="H576">
        <v>0.11</v>
      </c>
      <c r="I576" t="s">
        <v>1812</v>
      </c>
      <c r="J576">
        <v>1385.8368</v>
      </c>
    </row>
    <row r="577" spans="1:10" x14ac:dyDescent="0.3">
      <c r="A577" t="s">
        <v>2384</v>
      </c>
      <c r="B577" s="1">
        <v>45353</v>
      </c>
      <c r="C577" t="s">
        <v>755</v>
      </c>
      <c r="D577" t="s">
        <v>1631</v>
      </c>
      <c r="E577" t="s">
        <v>1796</v>
      </c>
      <c r="F577">
        <v>4</v>
      </c>
      <c r="G577">
        <v>280.16000000000003</v>
      </c>
      <c r="H577">
        <v>0.18</v>
      </c>
      <c r="I577" t="s">
        <v>1812</v>
      </c>
      <c r="J577">
        <v>918.92480000000012</v>
      </c>
    </row>
    <row r="578" spans="1:10" x14ac:dyDescent="0.3">
      <c r="A578" t="s">
        <v>2385</v>
      </c>
      <c r="B578" s="1">
        <v>45592</v>
      </c>
      <c r="C578" t="s">
        <v>903</v>
      </c>
      <c r="D578" t="s">
        <v>1673</v>
      </c>
      <c r="E578" t="s">
        <v>1780</v>
      </c>
      <c r="F578">
        <v>2</v>
      </c>
      <c r="G578">
        <v>649.54999999999995</v>
      </c>
      <c r="H578">
        <v>0.28999999999999998</v>
      </c>
      <c r="I578" t="s">
        <v>1809</v>
      </c>
      <c r="J578">
        <v>922.36099999999988</v>
      </c>
    </row>
    <row r="579" spans="1:10" x14ac:dyDescent="0.3">
      <c r="A579" t="s">
        <v>2386</v>
      </c>
      <c r="B579" s="1">
        <v>45360</v>
      </c>
      <c r="C579" t="s">
        <v>40</v>
      </c>
      <c r="D579" t="s">
        <v>1707</v>
      </c>
      <c r="E579" t="s">
        <v>1744</v>
      </c>
      <c r="F579">
        <v>2</v>
      </c>
      <c r="G579">
        <v>994.32</v>
      </c>
      <c r="H579">
        <v>0.27</v>
      </c>
      <c r="I579" t="s">
        <v>1809</v>
      </c>
      <c r="J579">
        <v>1451.7072000000001</v>
      </c>
    </row>
    <row r="580" spans="1:10" x14ac:dyDescent="0.3">
      <c r="A580" t="s">
        <v>2387</v>
      </c>
      <c r="B580" s="1">
        <v>45649</v>
      </c>
      <c r="C580" t="s">
        <v>716</v>
      </c>
      <c r="D580" t="s">
        <v>1693</v>
      </c>
      <c r="E580" t="s">
        <v>1777</v>
      </c>
      <c r="F580">
        <v>1</v>
      </c>
      <c r="G580">
        <v>64.94</v>
      </c>
      <c r="H580">
        <v>0.21</v>
      </c>
      <c r="I580" t="s">
        <v>1809</v>
      </c>
      <c r="J580">
        <v>51.302599999999998</v>
      </c>
    </row>
    <row r="581" spans="1:10" x14ac:dyDescent="0.3">
      <c r="A581" t="s">
        <v>2388</v>
      </c>
      <c r="B581" s="1">
        <v>45709</v>
      </c>
      <c r="C581" t="s">
        <v>459</v>
      </c>
      <c r="D581" t="s">
        <v>1609</v>
      </c>
      <c r="E581" t="s">
        <v>1762</v>
      </c>
      <c r="F581">
        <v>2</v>
      </c>
      <c r="G581">
        <v>507.66</v>
      </c>
      <c r="H581">
        <v>0</v>
      </c>
      <c r="I581" t="s">
        <v>1812</v>
      </c>
      <c r="J581">
        <v>1015.32</v>
      </c>
    </row>
    <row r="582" spans="1:10" x14ac:dyDescent="0.3">
      <c r="A582" t="s">
        <v>2389</v>
      </c>
      <c r="B582" s="1">
        <v>45273</v>
      </c>
      <c r="C582" t="s">
        <v>770</v>
      </c>
      <c r="D582" t="s">
        <v>1693</v>
      </c>
      <c r="E582" t="s">
        <v>1752</v>
      </c>
      <c r="F582">
        <v>4</v>
      </c>
      <c r="G582">
        <v>968.27</v>
      </c>
      <c r="H582">
        <v>0.03</v>
      </c>
      <c r="I582" t="s">
        <v>1809</v>
      </c>
      <c r="J582">
        <v>3756.8876</v>
      </c>
    </row>
    <row r="583" spans="1:10" x14ac:dyDescent="0.3">
      <c r="A583" t="s">
        <v>2390</v>
      </c>
      <c r="B583" s="1">
        <v>45250</v>
      </c>
      <c r="C583" t="s">
        <v>78</v>
      </c>
      <c r="D583" t="s">
        <v>1707</v>
      </c>
      <c r="E583" t="s">
        <v>1756</v>
      </c>
      <c r="F583">
        <v>4</v>
      </c>
      <c r="G583">
        <v>510.33</v>
      </c>
      <c r="H583">
        <v>0.2</v>
      </c>
      <c r="I583" t="s">
        <v>1809</v>
      </c>
      <c r="J583">
        <v>1633.056</v>
      </c>
    </row>
    <row r="584" spans="1:10" x14ac:dyDescent="0.3">
      <c r="A584" t="s">
        <v>2391</v>
      </c>
      <c r="B584" s="1">
        <v>45539</v>
      </c>
      <c r="C584" t="s">
        <v>55</v>
      </c>
      <c r="D584" t="s">
        <v>1619</v>
      </c>
      <c r="E584" t="s">
        <v>1796</v>
      </c>
      <c r="F584">
        <v>2</v>
      </c>
      <c r="G584">
        <v>156.72999999999999</v>
      </c>
      <c r="H584">
        <v>0.18</v>
      </c>
      <c r="I584" t="s">
        <v>1812</v>
      </c>
      <c r="J584">
        <v>257.03719999999998</v>
      </c>
    </row>
    <row r="585" spans="1:10" x14ac:dyDescent="0.3">
      <c r="A585" t="s">
        <v>2392</v>
      </c>
      <c r="B585" s="1">
        <v>45810</v>
      </c>
      <c r="C585" t="s">
        <v>476</v>
      </c>
      <c r="D585" t="s">
        <v>1729</v>
      </c>
      <c r="E585" t="s">
        <v>1772</v>
      </c>
      <c r="F585">
        <v>3</v>
      </c>
      <c r="G585">
        <v>53.83</v>
      </c>
      <c r="H585">
        <v>0.24</v>
      </c>
      <c r="I585" t="s">
        <v>1807</v>
      </c>
      <c r="J585">
        <v>122.7324</v>
      </c>
    </row>
    <row r="586" spans="1:10" x14ac:dyDescent="0.3">
      <c r="A586" t="s">
        <v>2393</v>
      </c>
      <c r="B586" s="1">
        <v>45350</v>
      </c>
      <c r="C586" t="s">
        <v>1165</v>
      </c>
      <c r="D586" t="s">
        <v>1687</v>
      </c>
      <c r="E586" t="s">
        <v>1752</v>
      </c>
      <c r="F586">
        <v>1</v>
      </c>
      <c r="G586">
        <v>34.71</v>
      </c>
      <c r="H586">
        <v>0.1</v>
      </c>
      <c r="I586" t="s">
        <v>1812</v>
      </c>
      <c r="J586">
        <v>31.239000000000001</v>
      </c>
    </row>
    <row r="587" spans="1:10" x14ac:dyDescent="0.3">
      <c r="A587" t="s">
        <v>2394</v>
      </c>
      <c r="B587" s="1">
        <v>45633</v>
      </c>
      <c r="C587" t="s">
        <v>731</v>
      </c>
      <c r="D587" t="s">
        <v>1685</v>
      </c>
      <c r="E587" t="s">
        <v>1740</v>
      </c>
      <c r="F587">
        <v>2</v>
      </c>
      <c r="G587">
        <v>829.15</v>
      </c>
      <c r="H587">
        <v>0.11</v>
      </c>
      <c r="I587" t="s">
        <v>1809</v>
      </c>
      <c r="J587">
        <v>1475.8869999999999</v>
      </c>
    </row>
    <row r="588" spans="1:10" x14ac:dyDescent="0.3">
      <c r="A588" t="s">
        <v>2395</v>
      </c>
      <c r="B588" s="1">
        <v>45798</v>
      </c>
      <c r="C588" t="s">
        <v>835</v>
      </c>
      <c r="D588" t="s">
        <v>1727</v>
      </c>
      <c r="E588" t="s">
        <v>1749</v>
      </c>
      <c r="F588">
        <v>2</v>
      </c>
      <c r="G588">
        <v>481.86</v>
      </c>
      <c r="H588">
        <v>0.1</v>
      </c>
      <c r="I588" t="s">
        <v>1812</v>
      </c>
      <c r="J588">
        <v>867.34800000000007</v>
      </c>
    </row>
    <row r="589" spans="1:10" x14ac:dyDescent="0.3">
      <c r="A589" t="s">
        <v>2396</v>
      </c>
      <c r="B589" s="1">
        <v>45354</v>
      </c>
      <c r="C589" t="s">
        <v>491</v>
      </c>
      <c r="D589" t="s">
        <v>1635</v>
      </c>
      <c r="E589" t="s">
        <v>1762</v>
      </c>
      <c r="F589">
        <v>4</v>
      </c>
      <c r="G589">
        <v>915.17</v>
      </c>
      <c r="H589">
        <v>0.19</v>
      </c>
      <c r="I589" t="s">
        <v>1812</v>
      </c>
      <c r="J589">
        <v>2965.1507999999999</v>
      </c>
    </row>
    <row r="590" spans="1:10" x14ac:dyDescent="0.3">
      <c r="A590" t="s">
        <v>2397</v>
      </c>
      <c r="B590" s="1">
        <v>45357</v>
      </c>
      <c r="C590" t="s">
        <v>690</v>
      </c>
      <c r="D590" t="s">
        <v>1673</v>
      </c>
      <c r="E590" t="s">
        <v>1793</v>
      </c>
      <c r="F590">
        <v>1</v>
      </c>
      <c r="G590">
        <v>250.95</v>
      </c>
      <c r="H590">
        <v>0.03</v>
      </c>
      <c r="I590" t="s">
        <v>1809</v>
      </c>
      <c r="J590">
        <v>243.42150000000001</v>
      </c>
    </row>
    <row r="591" spans="1:10" x14ac:dyDescent="0.3">
      <c r="A591" t="s">
        <v>2398</v>
      </c>
      <c r="B591" s="1">
        <v>45257</v>
      </c>
      <c r="C591" t="s">
        <v>1012</v>
      </c>
      <c r="D591" t="s">
        <v>1723</v>
      </c>
      <c r="E591" t="s">
        <v>1756</v>
      </c>
      <c r="F591">
        <v>3</v>
      </c>
      <c r="G591">
        <v>882.84</v>
      </c>
      <c r="H591">
        <v>0.1</v>
      </c>
      <c r="I591" t="s">
        <v>1807</v>
      </c>
      <c r="J591">
        <v>2383.6680000000001</v>
      </c>
    </row>
    <row r="592" spans="1:10" x14ac:dyDescent="0.3">
      <c r="A592" t="s">
        <v>2399</v>
      </c>
      <c r="B592" s="1">
        <v>45702</v>
      </c>
      <c r="C592" t="s">
        <v>465</v>
      </c>
      <c r="D592" t="s">
        <v>1569</v>
      </c>
      <c r="E592" t="s">
        <v>1793</v>
      </c>
      <c r="F592">
        <v>4</v>
      </c>
      <c r="G592">
        <v>573.37</v>
      </c>
      <c r="H592">
        <v>0.04</v>
      </c>
      <c r="I592" t="s">
        <v>1812</v>
      </c>
      <c r="J592">
        <v>2201.7408</v>
      </c>
    </row>
    <row r="593" spans="1:10" x14ac:dyDescent="0.3">
      <c r="A593" t="s">
        <v>2400</v>
      </c>
      <c r="B593" s="1">
        <v>45318</v>
      </c>
      <c r="C593" t="s">
        <v>215</v>
      </c>
      <c r="D593" t="s">
        <v>1595</v>
      </c>
      <c r="E593" t="s">
        <v>1777</v>
      </c>
      <c r="F593">
        <v>3</v>
      </c>
      <c r="G593">
        <v>622.72</v>
      </c>
      <c r="H593">
        <v>0.04</v>
      </c>
      <c r="I593" t="s">
        <v>1807</v>
      </c>
      <c r="J593">
        <v>1793.4336000000001</v>
      </c>
    </row>
    <row r="594" spans="1:10" x14ac:dyDescent="0.3">
      <c r="A594" t="s">
        <v>2401</v>
      </c>
      <c r="B594" s="1">
        <v>45943</v>
      </c>
      <c r="C594" t="s">
        <v>1198</v>
      </c>
      <c r="D594" t="s">
        <v>1715</v>
      </c>
      <c r="E594" t="s">
        <v>1790</v>
      </c>
      <c r="F594">
        <v>3</v>
      </c>
      <c r="G594">
        <v>259.74</v>
      </c>
      <c r="H594">
        <v>0.24</v>
      </c>
      <c r="I594" t="s">
        <v>1807</v>
      </c>
      <c r="J594">
        <v>592.20720000000006</v>
      </c>
    </row>
    <row r="595" spans="1:10" x14ac:dyDescent="0.3">
      <c r="A595" t="s">
        <v>2402</v>
      </c>
      <c r="B595" s="1">
        <v>45769</v>
      </c>
      <c r="C595" t="s">
        <v>202</v>
      </c>
      <c r="D595" t="s">
        <v>1587</v>
      </c>
      <c r="E595" t="s">
        <v>1780</v>
      </c>
      <c r="F595">
        <v>4</v>
      </c>
      <c r="G595">
        <v>951.09</v>
      </c>
      <c r="H595">
        <v>0.14000000000000001</v>
      </c>
      <c r="I595" t="s">
        <v>1812</v>
      </c>
      <c r="J595">
        <v>3271.7496000000001</v>
      </c>
    </row>
    <row r="596" spans="1:10" x14ac:dyDescent="0.3">
      <c r="A596" t="s">
        <v>2403</v>
      </c>
      <c r="B596" s="1">
        <v>45765</v>
      </c>
      <c r="C596" t="s">
        <v>645</v>
      </c>
      <c r="D596" t="s">
        <v>1729</v>
      </c>
      <c r="E596" t="s">
        <v>1744</v>
      </c>
      <c r="F596">
        <v>1</v>
      </c>
      <c r="G596">
        <v>71.709999999999994</v>
      </c>
      <c r="H596">
        <v>0.23</v>
      </c>
      <c r="I596" t="s">
        <v>1812</v>
      </c>
      <c r="J596">
        <v>55.216700000000003</v>
      </c>
    </row>
    <row r="597" spans="1:10" x14ac:dyDescent="0.3">
      <c r="A597" t="s">
        <v>2404</v>
      </c>
      <c r="B597" s="1">
        <v>45891</v>
      </c>
      <c r="C597" t="s">
        <v>568</v>
      </c>
      <c r="D597" t="s">
        <v>1571</v>
      </c>
      <c r="E597" t="s">
        <v>1762</v>
      </c>
      <c r="F597">
        <v>4</v>
      </c>
      <c r="G597">
        <v>894.93</v>
      </c>
      <c r="H597">
        <v>0.05</v>
      </c>
      <c r="I597" t="s">
        <v>1812</v>
      </c>
      <c r="J597">
        <v>3400.733999999999</v>
      </c>
    </row>
    <row r="598" spans="1:10" x14ac:dyDescent="0.3">
      <c r="A598" t="s">
        <v>2405</v>
      </c>
      <c r="B598" s="1">
        <v>45842</v>
      </c>
      <c r="C598" t="s">
        <v>654</v>
      </c>
      <c r="D598" t="s">
        <v>1687</v>
      </c>
      <c r="E598" t="s">
        <v>1765</v>
      </c>
      <c r="F598">
        <v>4</v>
      </c>
      <c r="G598">
        <v>870.18</v>
      </c>
      <c r="H598">
        <v>0.13</v>
      </c>
      <c r="I598" t="s">
        <v>1812</v>
      </c>
      <c r="J598">
        <v>3028.2264</v>
      </c>
    </row>
    <row r="599" spans="1:10" x14ac:dyDescent="0.3">
      <c r="A599" t="s">
        <v>2406</v>
      </c>
      <c r="B599" s="1">
        <v>45382</v>
      </c>
      <c r="C599" t="s">
        <v>876</v>
      </c>
      <c r="D599" t="s">
        <v>1659</v>
      </c>
      <c r="E599" t="s">
        <v>1744</v>
      </c>
      <c r="F599">
        <v>2</v>
      </c>
      <c r="G599">
        <v>552.72</v>
      </c>
      <c r="H599">
        <v>0.06</v>
      </c>
      <c r="I599" t="s">
        <v>1809</v>
      </c>
      <c r="J599">
        <v>1039.1135999999999</v>
      </c>
    </row>
    <row r="600" spans="1:10" x14ac:dyDescent="0.3">
      <c r="A600" t="s">
        <v>2407</v>
      </c>
      <c r="B600" s="1">
        <v>45236</v>
      </c>
      <c r="C600" t="s">
        <v>782</v>
      </c>
      <c r="D600" t="s">
        <v>1609</v>
      </c>
      <c r="E600" t="s">
        <v>1765</v>
      </c>
      <c r="F600">
        <v>3</v>
      </c>
      <c r="G600">
        <v>700.43</v>
      </c>
      <c r="H600">
        <v>0.01</v>
      </c>
      <c r="I600" t="s">
        <v>1812</v>
      </c>
      <c r="J600">
        <v>2080.2770999999998</v>
      </c>
    </row>
    <row r="601" spans="1:10" x14ac:dyDescent="0.3">
      <c r="A601" t="s">
        <v>2408</v>
      </c>
      <c r="B601" s="1">
        <v>45806</v>
      </c>
      <c r="C601" t="s">
        <v>1054</v>
      </c>
      <c r="D601" t="s">
        <v>1548</v>
      </c>
      <c r="E601" t="s">
        <v>1744</v>
      </c>
      <c r="F601">
        <v>2</v>
      </c>
      <c r="G601">
        <v>823.03</v>
      </c>
      <c r="H601">
        <v>0.18</v>
      </c>
      <c r="I601" t="s">
        <v>1809</v>
      </c>
      <c r="J601">
        <v>1349.7692</v>
      </c>
    </row>
    <row r="602" spans="1:10" x14ac:dyDescent="0.3">
      <c r="A602" t="s">
        <v>2409</v>
      </c>
      <c r="B602" s="1">
        <v>45401</v>
      </c>
      <c r="C602" t="s">
        <v>808</v>
      </c>
      <c r="D602" t="s">
        <v>1715</v>
      </c>
      <c r="E602" t="s">
        <v>1759</v>
      </c>
      <c r="F602">
        <v>1</v>
      </c>
      <c r="G602">
        <v>117.37</v>
      </c>
      <c r="H602">
        <v>0.21</v>
      </c>
      <c r="I602" t="s">
        <v>1807</v>
      </c>
      <c r="J602">
        <v>92.722300000000004</v>
      </c>
    </row>
    <row r="603" spans="1:10" x14ac:dyDescent="0.3">
      <c r="A603" t="s">
        <v>2410</v>
      </c>
      <c r="B603" s="1">
        <v>45716</v>
      </c>
      <c r="C603" t="s">
        <v>364</v>
      </c>
      <c r="D603" t="s">
        <v>1643</v>
      </c>
      <c r="E603" t="s">
        <v>1740</v>
      </c>
      <c r="F603">
        <v>4</v>
      </c>
      <c r="G603">
        <v>165.37</v>
      </c>
      <c r="H603">
        <v>0.28999999999999998</v>
      </c>
      <c r="I603" t="s">
        <v>1807</v>
      </c>
      <c r="J603">
        <v>469.6508</v>
      </c>
    </row>
    <row r="604" spans="1:10" x14ac:dyDescent="0.3">
      <c r="A604" t="s">
        <v>2411</v>
      </c>
      <c r="B604" s="1">
        <v>45718</v>
      </c>
      <c r="C604" t="s">
        <v>1168</v>
      </c>
      <c r="D604" t="s">
        <v>1540</v>
      </c>
      <c r="E604" t="s">
        <v>1772</v>
      </c>
      <c r="F604">
        <v>3</v>
      </c>
      <c r="G604">
        <v>483.06</v>
      </c>
      <c r="H604">
        <v>0.05</v>
      </c>
      <c r="I604" t="s">
        <v>1807</v>
      </c>
      <c r="J604">
        <v>1376.721</v>
      </c>
    </row>
    <row r="605" spans="1:10" x14ac:dyDescent="0.3">
      <c r="A605" t="s">
        <v>2412</v>
      </c>
      <c r="B605" s="1">
        <v>45379</v>
      </c>
      <c r="C605" t="s">
        <v>920</v>
      </c>
      <c r="D605" t="s">
        <v>1693</v>
      </c>
      <c r="E605" t="s">
        <v>1762</v>
      </c>
      <c r="F605">
        <v>4</v>
      </c>
      <c r="G605">
        <v>262.05</v>
      </c>
      <c r="H605">
        <v>0.24</v>
      </c>
      <c r="I605" t="s">
        <v>1809</v>
      </c>
      <c r="J605">
        <v>796.63200000000006</v>
      </c>
    </row>
    <row r="606" spans="1:10" x14ac:dyDescent="0.3">
      <c r="A606" t="s">
        <v>2413</v>
      </c>
      <c r="B606" s="1">
        <v>45635</v>
      </c>
      <c r="C606" t="s">
        <v>1412</v>
      </c>
      <c r="D606" t="s">
        <v>1559</v>
      </c>
      <c r="E606" t="s">
        <v>1782</v>
      </c>
      <c r="F606">
        <v>3</v>
      </c>
      <c r="G606">
        <v>970.89</v>
      </c>
      <c r="H606">
        <v>0.11</v>
      </c>
      <c r="I606" t="s">
        <v>1812</v>
      </c>
      <c r="J606">
        <v>2592.2763</v>
      </c>
    </row>
    <row r="607" spans="1:10" x14ac:dyDescent="0.3">
      <c r="A607" t="s">
        <v>2414</v>
      </c>
      <c r="B607" s="1">
        <v>45222</v>
      </c>
      <c r="C607" t="s">
        <v>696</v>
      </c>
      <c r="D607" t="s">
        <v>1675</v>
      </c>
      <c r="E607" t="s">
        <v>1735</v>
      </c>
      <c r="F607">
        <v>1</v>
      </c>
      <c r="G607">
        <v>61.11</v>
      </c>
      <c r="H607">
        <v>0.1</v>
      </c>
      <c r="I607" t="s">
        <v>1809</v>
      </c>
      <c r="J607">
        <v>54.999000000000002</v>
      </c>
    </row>
    <row r="608" spans="1:10" x14ac:dyDescent="0.3">
      <c r="A608" t="s">
        <v>2415</v>
      </c>
      <c r="B608" s="1">
        <v>45555</v>
      </c>
      <c r="C608" t="s">
        <v>121</v>
      </c>
      <c r="D608" t="s">
        <v>1585</v>
      </c>
      <c r="E608" t="s">
        <v>1765</v>
      </c>
      <c r="F608">
        <v>3</v>
      </c>
      <c r="G608">
        <v>827.88</v>
      </c>
      <c r="H608">
        <v>0.19</v>
      </c>
      <c r="I608" t="s">
        <v>1809</v>
      </c>
      <c r="J608">
        <v>2011.7483999999999</v>
      </c>
    </row>
    <row r="609" spans="1:10" x14ac:dyDescent="0.3">
      <c r="A609" t="s">
        <v>2416</v>
      </c>
      <c r="B609" s="1">
        <v>45583</v>
      </c>
      <c r="C609" t="s">
        <v>1318</v>
      </c>
      <c r="D609" t="s">
        <v>1705</v>
      </c>
      <c r="E609" t="s">
        <v>1780</v>
      </c>
      <c r="F609">
        <v>3</v>
      </c>
      <c r="G609">
        <v>926.85</v>
      </c>
      <c r="H609">
        <v>0.18</v>
      </c>
      <c r="I609" t="s">
        <v>1812</v>
      </c>
      <c r="J609">
        <v>2280.0509999999999</v>
      </c>
    </row>
    <row r="610" spans="1:10" x14ac:dyDescent="0.3">
      <c r="A610" t="s">
        <v>2417</v>
      </c>
      <c r="B610" s="1">
        <v>45662</v>
      </c>
      <c r="C610" t="s">
        <v>989</v>
      </c>
      <c r="D610" t="s">
        <v>1551</v>
      </c>
      <c r="E610" t="s">
        <v>1782</v>
      </c>
      <c r="F610">
        <v>1</v>
      </c>
      <c r="G610">
        <v>874.59</v>
      </c>
      <c r="H610">
        <v>0.28999999999999998</v>
      </c>
      <c r="I610" t="s">
        <v>1809</v>
      </c>
      <c r="J610">
        <v>620.95889999999997</v>
      </c>
    </row>
    <row r="611" spans="1:10" x14ac:dyDescent="0.3">
      <c r="A611" t="s">
        <v>2418</v>
      </c>
      <c r="B611" s="1">
        <v>45921</v>
      </c>
      <c r="C611" t="s">
        <v>1433</v>
      </c>
      <c r="D611" t="s">
        <v>1561</v>
      </c>
      <c r="E611" t="s">
        <v>1740</v>
      </c>
      <c r="F611">
        <v>4</v>
      </c>
      <c r="G611">
        <v>479.11</v>
      </c>
      <c r="H611">
        <v>0.24</v>
      </c>
      <c r="I611" t="s">
        <v>1809</v>
      </c>
      <c r="J611">
        <v>1456.4944</v>
      </c>
    </row>
    <row r="612" spans="1:10" x14ac:dyDescent="0.3">
      <c r="A612" t="s">
        <v>2419</v>
      </c>
      <c r="B612" s="1">
        <v>45490</v>
      </c>
      <c r="C612" t="s">
        <v>687</v>
      </c>
      <c r="D612" t="s">
        <v>1595</v>
      </c>
      <c r="E612" t="s">
        <v>1790</v>
      </c>
      <c r="F612">
        <v>3</v>
      </c>
      <c r="G612">
        <v>182.91</v>
      </c>
      <c r="H612">
        <v>0.28999999999999998</v>
      </c>
      <c r="I612" t="s">
        <v>1807</v>
      </c>
      <c r="J612">
        <v>389.59829999999999</v>
      </c>
    </row>
    <row r="613" spans="1:10" x14ac:dyDescent="0.3">
      <c r="A613" t="s">
        <v>2420</v>
      </c>
      <c r="B613" s="1">
        <v>45652</v>
      </c>
      <c r="C613" t="s">
        <v>858</v>
      </c>
      <c r="D613" t="s">
        <v>1599</v>
      </c>
      <c r="E613" t="s">
        <v>1756</v>
      </c>
      <c r="F613">
        <v>4</v>
      </c>
      <c r="G613">
        <v>745.51</v>
      </c>
      <c r="H613">
        <v>0.05</v>
      </c>
      <c r="I613" t="s">
        <v>1807</v>
      </c>
      <c r="J613">
        <v>2832.9380000000001</v>
      </c>
    </row>
    <row r="614" spans="1:10" x14ac:dyDescent="0.3">
      <c r="A614" t="s">
        <v>2421</v>
      </c>
      <c r="B614" s="1">
        <v>45598</v>
      </c>
      <c r="C614" t="s">
        <v>1464</v>
      </c>
      <c r="D614" t="s">
        <v>1707</v>
      </c>
      <c r="E614" t="s">
        <v>1784</v>
      </c>
      <c r="F614">
        <v>3</v>
      </c>
      <c r="G614">
        <v>920.61</v>
      </c>
      <c r="H614">
        <v>0.04</v>
      </c>
      <c r="I614" t="s">
        <v>1807</v>
      </c>
      <c r="J614">
        <v>2651.3568</v>
      </c>
    </row>
    <row r="615" spans="1:10" x14ac:dyDescent="0.3">
      <c r="A615" t="s">
        <v>2422</v>
      </c>
      <c r="B615" s="1">
        <v>45772</v>
      </c>
      <c r="C615" t="s">
        <v>1303</v>
      </c>
      <c r="D615" t="s">
        <v>1681</v>
      </c>
      <c r="E615" t="s">
        <v>1772</v>
      </c>
      <c r="F615">
        <v>4</v>
      </c>
      <c r="G615">
        <v>659.03</v>
      </c>
      <c r="H615">
        <v>0.15</v>
      </c>
      <c r="I615" t="s">
        <v>1807</v>
      </c>
      <c r="J615">
        <v>2240.7020000000002</v>
      </c>
    </row>
    <row r="616" spans="1:10" x14ac:dyDescent="0.3">
      <c r="A616" t="s">
        <v>2423</v>
      </c>
      <c r="B616" s="1">
        <v>45338</v>
      </c>
      <c r="C616" t="s">
        <v>1493</v>
      </c>
      <c r="D616" t="s">
        <v>1548</v>
      </c>
      <c r="E616" t="s">
        <v>1744</v>
      </c>
      <c r="F616">
        <v>1</v>
      </c>
      <c r="G616">
        <v>312.91000000000003</v>
      </c>
      <c r="H616">
        <v>0.12</v>
      </c>
      <c r="I616" t="s">
        <v>1809</v>
      </c>
      <c r="J616">
        <v>275.36079999999998</v>
      </c>
    </row>
    <row r="617" spans="1:10" x14ac:dyDescent="0.3">
      <c r="A617" t="s">
        <v>2424</v>
      </c>
      <c r="B617" s="1">
        <v>45524</v>
      </c>
      <c r="C617" t="s">
        <v>729</v>
      </c>
      <c r="D617" t="s">
        <v>1555</v>
      </c>
      <c r="E617" t="s">
        <v>1793</v>
      </c>
      <c r="F617">
        <v>4</v>
      </c>
      <c r="G617">
        <v>705.64</v>
      </c>
      <c r="H617">
        <v>0.11</v>
      </c>
      <c r="I617" t="s">
        <v>1809</v>
      </c>
      <c r="J617">
        <v>2512.0783999999999</v>
      </c>
    </row>
    <row r="618" spans="1:10" x14ac:dyDescent="0.3">
      <c r="A618" t="s">
        <v>2425</v>
      </c>
      <c r="B618" s="1">
        <v>45497</v>
      </c>
      <c r="C618" t="s">
        <v>482</v>
      </c>
      <c r="D618" t="s">
        <v>1548</v>
      </c>
      <c r="E618" t="s">
        <v>1772</v>
      </c>
      <c r="F618">
        <v>4</v>
      </c>
      <c r="G618">
        <v>386.41</v>
      </c>
      <c r="H618">
        <v>0.13</v>
      </c>
      <c r="I618" t="s">
        <v>1812</v>
      </c>
      <c r="J618">
        <v>1344.7067999999999</v>
      </c>
    </row>
    <row r="619" spans="1:10" x14ac:dyDescent="0.3">
      <c r="A619" t="s">
        <v>2426</v>
      </c>
      <c r="B619" s="1">
        <v>45534</v>
      </c>
      <c r="C619" t="s">
        <v>121</v>
      </c>
      <c r="D619" t="s">
        <v>1719</v>
      </c>
      <c r="E619" t="s">
        <v>1775</v>
      </c>
      <c r="F619">
        <v>3</v>
      </c>
      <c r="G619">
        <v>265.89</v>
      </c>
      <c r="H619">
        <v>0.08</v>
      </c>
      <c r="I619" t="s">
        <v>1812</v>
      </c>
      <c r="J619">
        <v>733.85640000000001</v>
      </c>
    </row>
    <row r="620" spans="1:10" x14ac:dyDescent="0.3">
      <c r="A620" t="s">
        <v>2427</v>
      </c>
      <c r="B620" s="1">
        <v>45925</v>
      </c>
      <c r="C620" t="s">
        <v>272</v>
      </c>
      <c r="D620" t="s">
        <v>1591</v>
      </c>
      <c r="E620" t="s">
        <v>1787</v>
      </c>
      <c r="F620">
        <v>1</v>
      </c>
      <c r="G620">
        <v>703.16</v>
      </c>
      <c r="H620">
        <v>0.28999999999999998</v>
      </c>
      <c r="I620" t="s">
        <v>1807</v>
      </c>
      <c r="J620">
        <v>499.24360000000001</v>
      </c>
    </row>
    <row r="621" spans="1:10" x14ac:dyDescent="0.3">
      <c r="A621" t="s">
        <v>2428</v>
      </c>
      <c r="B621" s="1">
        <v>45765</v>
      </c>
      <c r="C621" t="s">
        <v>1436</v>
      </c>
      <c r="D621" t="s">
        <v>1725</v>
      </c>
      <c r="E621" t="s">
        <v>1780</v>
      </c>
      <c r="F621">
        <v>2</v>
      </c>
      <c r="G621">
        <v>394.5</v>
      </c>
      <c r="H621">
        <v>0.28999999999999998</v>
      </c>
      <c r="I621" t="s">
        <v>1812</v>
      </c>
      <c r="J621">
        <v>560.18999999999994</v>
      </c>
    </row>
    <row r="622" spans="1:10" x14ac:dyDescent="0.3">
      <c r="A622" t="s">
        <v>2429</v>
      </c>
      <c r="B622" s="1">
        <v>45882</v>
      </c>
      <c r="C622" t="s">
        <v>403</v>
      </c>
      <c r="D622" t="s">
        <v>1725</v>
      </c>
      <c r="E622" t="s">
        <v>1762</v>
      </c>
      <c r="F622">
        <v>3</v>
      </c>
      <c r="G622">
        <v>411.25</v>
      </c>
      <c r="H622">
        <v>0.05</v>
      </c>
      <c r="I622" t="s">
        <v>1807</v>
      </c>
      <c r="J622">
        <v>1172.0625</v>
      </c>
    </row>
    <row r="623" spans="1:10" x14ac:dyDescent="0.3">
      <c r="A623" t="s">
        <v>2430</v>
      </c>
      <c r="B623" s="1">
        <v>45923</v>
      </c>
      <c r="C623" t="s">
        <v>1095</v>
      </c>
      <c r="D623" t="s">
        <v>1627</v>
      </c>
      <c r="E623" t="s">
        <v>1744</v>
      </c>
      <c r="F623">
        <v>4</v>
      </c>
      <c r="G623">
        <v>395.45</v>
      </c>
      <c r="H623">
        <v>0.01</v>
      </c>
      <c r="I623" t="s">
        <v>1807</v>
      </c>
      <c r="J623">
        <v>1565.982</v>
      </c>
    </row>
    <row r="624" spans="1:10" x14ac:dyDescent="0.3">
      <c r="A624" t="s">
        <v>2431</v>
      </c>
      <c r="B624" s="1">
        <v>45421</v>
      </c>
      <c r="C624" t="s">
        <v>143</v>
      </c>
      <c r="D624" t="s">
        <v>1711</v>
      </c>
      <c r="E624" t="s">
        <v>1756</v>
      </c>
      <c r="F624">
        <v>2</v>
      </c>
      <c r="G624">
        <v>678.98</v>
      </c>
      <c r="H624">
        <v>0.23</v>
      </c>
      <c r="I624" t="s">
        <v>1807</v>
      </c>
      <c r="J624">
        <v>1045.6292000000001</v>
      </c>
    </row>
    <row r="625" spans="1:10" x14ac:dyDescent="0.3">
      <c r="A625" t="s">
        <v>2432</v>
      </c>
      <c r="B625" s="1">
        <v>45608</v>
      </c>
      <c r="C625" t="s">
        <v>261</v>
      </c>
      <c r="D625" t="s">
        <v>1585</v>
      </c>
      <c r="E625" t="s">
        <v>1782</v>
      </c>
      <c r="F625">
        <v>4</v>
      </c>
      <c r="G625">
        <v>757.71</v>
      </c>
      <c r="H625">
        <v>0.26</v>
      </c>
      <c r="I625" t="s">
        <v>1812</v>
      </c>
      <c r="J625">
        <v>2242.8216000000002</v>
      </c>
    </row>
    <row r="626" spans="1:10" x14ac:dyDescent="0.3">
      <c r="A626" t="s">
        <v>2433</v>
      </c>
      <c r="B626" s="1">
        <v>45644</v>
      </c>
      <c r="C626" t="s">
        <v>218</v>
      </c>
      <c r="D626" t="s">
        <v>1719</v>
      </c>
      <c r="E626" t="s">
        <v>1752</v>
      </c>
      <c r="F626">
        <v>1</v>
      </c>
      <c r="G626">
        <v>647.86</v>
      </c>
      <c r="H626">
        <v>0.05</v>
      </c>
      <c r="I626" t="s">
        <v>1812</v>
      </c>
      <c r="J626">
        <v>615.46699999999998</v>
      </c>
    </row>
    <row r="627" spans="1:10" x14ac:dyDescent="0.3">
      <c r="A627" t="s">
        <v>2434</v>
      </c>
      <c r="B627" s="1">
        <v>45517</v>
      </c>
      <c r="C627" t="s">
        <v>456</v>
      </c>
      <c r="D627" t="s">
        <v>1555</v>
      </c>
      <c r="E627" t="s">
        <v>1759</v>
      </c>
      <c r="F627">
        <v>2</v>
      </c>
      <c r="G627">
        <v>179.64</v>
      </c>
      <c r="H627">
        <v>0.1</v>
      </c>
      <c r="I627" t="s">
        <v>1809</v>
      </c>
      <c r="J627">
        <v>323.35199999999998</v>
      </c>
    </row>
    <row r="628" spans="1:10" x14ac:dyDescent="0.3">
      <c r="A628" t="s">
        <v>2435</v>
      </c>
      <c r="B628" s="1">
        <v>45545</v>
      </c>
      <c r="C628" t="s">
        <v>1222</v>
      </c>
      <c r="D628" t="s">
        <v>1655</v>
      </c>
      <c r="E628" t="s">
        <v>1752</v>
      </c>
      <c r="F628">
        <v>3</v>
      </c>
      <c r="G628">
        <v>392.65</v>
      </c>
      <c r="H628">
        <v>0.17</v>
      </c>
      <c r="I628" t="s">
        <v>1809</v>
      </c>
      <c r="J628">
        <v>977.69849999999985</v>
      </c>
    </row>
    <row r="629" spans="1:10" x14ac:dyDescent="0.3">
      <c r="A629" t="s">
        <v>2436</v>
      </c>
      <c r="B629" s="1">
        <v>45547</v>
      </c>
      <c r="C629" t="s">
        <v>576</v>
      </c>
      <c r="D629" t="s">
        <v>1713</v>
      </c>
      <c r="E629" t="s">
        <v>1787</v>
      </c>
      <c r="F629">
        <v>4</v>
      </c>
      <c r="G629">
        <v>969.55</v>
      </c>
      <c r="H629">
        <v>0.09</v>
      </c>
      <c r="I629" t="s">
        <v>1812</v>
      </c>
      <c r="J629">
        <v>3529.1619999999998</v>
      </c>
    </row>
    <row r="630" spans="1:10" x14ac:dyDescent="0.3">
      <c r="A630" t="s">
        <v>2437</v>
      </c>
      <c r="B630" s="1">
        <v>45433</v>
      </c>
      <c r="C630" t="s">
        <v>1409</v>
      </c>
      <c r="D630" t="s">
        <v>1679</v>
      </c>
      <c r="E630" t="s">
        <v>1777</v>
      </c>
      <c r="F630">
        <v>3</v>
      </c>
      <c r="G630">
        <v>322.94</v>
      </c>
      <c r="H630">
        <v>0.01</v>
      </c>
      <c r="I630" t="s">
        <v>1807</v>
      </c>
      <c r="J630">
        <v>959.13179999999988</v>
      </c>
    </row>
    <row r="631" spans="1:10" x14ac:dyDescent="0.3">
      <c r="A631" t="s">
        <v>2438</v>
      </c>
      <c r="B631" s="1">
        <v>45792</v>
      </c>
      <c r="C631" t="s">
        <v>1121</v>
      </c>
      <c r="D631" t="s">
        <v>1697</v>
      </c>
      <c r="E631" t="s">
        <v>1735</v>
      </c>
      <c r="F631">
        <v>1</v>
      </c>
      <c r="G631">
        <v>92.83</v>
      </c>
      <c r="H631">
        <v>0.26</v>
      </c>
      <c r="I631" t="s">
        <v>1809</v>
      </c>
      <c r="J631">
        <v>68.694199999999995</v>
      </c>
    </row>
    <row r="632" spans="1:10" x14ac:dyDescent="0.3">
      <c r="A632" t="s">
        <v>2439</v>
      </c>
      <c r="B632" s="1">
        <v>45804</v>
      </c>
      <c r="C632" t="s">
        <v>1290</v>
      </c>
      <c r="D632" t="s">
        <v>1545</v>
      </c>
      <c r="E632" t="s">
        <v>1749</v>
      </c>
      <c r="F632">
        <v>4</v>
      </c>
      <c r="G632">
        <v>432.29</v>
      </c>
      <c r="H632">
        <v>0.16</v>
      </c>
      <c r="I632" t="s">
        <v>1812</v>
      </c>
      <c r="J632">
        <v>1452.4944</v>
      </c>
    </row>
    <row r="633" spans="1:10" x14ac:dyDescent="0.3">
      <c r="A633" t="s">
        <v>2440</v>
      </c>
      <c r="B633" s="1">
        <v>45311</v>
      </c>
      <c r="C633" t="s">
        <v>289</v>
      </c>
      <c r="D633" t="s">
        <v>1609</v>
      </c>
      <c r="E633" t="s">
        <v>1780</v>
      </c>
      <c r="F633">
        <v>2</v>
      </c>
      <c r="G633">
        <v>925.78</v>
      </c>
      <c r="H633">
        <v>0.14000000000000001</v>
      </c>
      <c r="I633" t="s">
        <v>1812</v>
      </c>
      <c r="J633">
        <v>1592.3416</v>
      </c>
    </row>
    <row r="634" spans="1:10" x14ac:dyDescent="0.3">
      <c r="A634" t="s">
        <v>2441</v>
      </c>
      <c r="B634" s="1">
        <v>45605</v>
      </c>
      <c r="C634" t="s">
        <v>1453</v>
      </c>
      <c r="D634" t="s">
        <v>1581</v>
      </c>
      <c r="E634" t="s">
        <v>1775</v>
      </c>
      <c r="F634">
        <v>2</v>
      </c>
      <c r="G634">
        <v>151.47</v>
      </c>
      <c r="H634">
        <v>0.21</v>
      </c>
      <c r="I634" t="s">
        <v>1809</v>
      </c>
      <c r="J634">
        <v>239.32259999999999</v>
      </c>
    </row>
    <row r="635" spans="1:10" x14ac:dyDescent="0.3">
      <c r="A635" t="s">
        <v>2442</v>
      </c>
      <c r="B635" s="1">
        <v>45338</v>
      </c>
      <c r="C635" t="s">
        <v>1373</v>
      </c>
      <c r="D635" t="s">
        <v>1697</v>
      </c>
      <c r="E635" t="s">
        <v>1772</v>
      </c>
      <c r="F635">
        <v>1</v>
      </c>
      <c r="G635">
        <v>343.05</v>
      </c>
      <c r="H635">
        <v>0.28000000000000003</v>
      </c>
      <c r="I635" t="s">
        <v>1809</v>
      </c>
      <c r="J635">
        <v>246.99600000000001</v>
      </c>
    </row>
    <row r="636" spans="1:10" x14ac:dyDescent="0.3">
      <c r="A636" t="s">
        <v>2443</v>
      </c>
      <c r="B636" s="1">
        <v>45642</v>
      </c>
      <c r="C636" t="s">
        <v>241</v>
      </c>
      <c r="D636" t="s">
        <v>1565</v>
      </c>
      <c r="E636" t="s">
        <v>1752</v>
      </c>
      <c r="F636">
        <v>1</v>
      </c>
      <c r="G636">
        <v>373.06</v>
      </c>
      <c r="H636">
        <v>0.11</v>
      </c>
      <c r="I636" t="s">
        <v>1809</v>
      </c>
      <c r="J636">
        <v>332.02339999999998</v>
      </c>
    </row>
    <row r="637" spans="1:10" x14ac:dyDescent="0.3">
      <c r="A637" t="s">
        <v>2444</v>
      </c>
      <c r="B637" s="1">
        <v>45693</v>
      </c>
      <c r="C637" t="s">
        <v>1264</v>
      </c>
      <c r="D637" t="s">
        <v>1567</v>
      </c>
      <c r="E637" t="s">
        <v>1784</v>
      </c>
      <c r="F637">
        <v>1</v>
      </c>
      <c r="G637">
        <v>124.98</v>
      </c>
      <c r="H637">
        <v>7.0000000000000007E-2</v>
      </c>
      <c r="I637" t="s">
        <v>1812</v>
      </c>
      <c r="J637">
        <v>116.23139999999999</v>
      </c>
    </row>
    <row r="638" spans="1:10" x14ac:dyDescent="0.3">
      <c r="A638" t="s">
        <v>2445</v>
      </c>
      <c r="B638" s="1">
        <v>45763</v>
      </c>
      <c r="C638" t="s">
        <v>858</v>
      </c>
      <c r="D638" t="s">
        <v>1677</v>
      </c>
      <c r="E638" t="s">
        <v>1796</v>
      </c>
      <c r="F638">
        <v>4</v>
      </c>
      <c r="G638">
        <v>221.49</v>
      </c>
      <c r="H638">
        <v>0.26</v>
      </c>
      <c r="I638" t="s">
        <v>1809</v>
      </c>
      <c r="J638">
        <v>655.61040000000003</v>
      </c>
    </row>
    <row r="639" spans="1:10" x14ac:dyDescent="0.3">
      <c r="A639" t="s">
        <v>2446</v>
      </c>
      <c r="B639" s="1">
        <v>45572</v>
      </c>
      <c r="C639" t="s">
        <v>560</v>
      </c>
      <c r="D639" t="s">
        <v>1577</v>
      </c>
      <c r="E639" t="s">
        <v>1784</v>
      </c>
      <c r="F639">
        <v>1</v>
      </c>
      <c r="G639">
        <v>563.32000000000005</v>
      </c>
      <c r="H639">
        <v>0.01</v>
      </c>
      <c r="I639" t="s">
        <v>1809</v>
      </c>
      <c r="J639">
        <v>557.68680000000006</v>
      </c>
    </row>
    <row r="640" spans="1:10" x14ac:dyDescent="0.3">
      <c r="A640" t="s">
        <v>2447</v>
      </c>
      <c r="B640" s="1">
        <v>45338</v>
      </c>
      <c r="C640" t="s">
        <v>1204</v>
      </c>
      <c r="D640" t="s">
        <v>1553</v>
      </c>
      <c r="E640" t="s">
        <v>1735</v>
      </c>
      <c r="F640">
        <v>1</v>
      </c>
      <c r="G640">
        <v>362.93</v>
      </c>
      <c r="H640">
        <v>0.27</v>
      </c>
      <c r="I640" t="s">
        <v>1807</v>
      </c>
      <c r="J640">
        <v>264.93889999999999</v>
      </c>
    </row>
    <row r="641" spans="1:10" x14ac:dyDescent="0.3">
      <c r="A641" t="s">
        <v>2448</v>
      </c>
      <c r="B641" s="1">
        <v>45373</v>
      </c>
      <c r="C641" t="s">
        <v>1045</v>
      </c>
      <c r="D641" t="s">
        <v>1553</v>
      </c>
      <c r="E641" t="s">
        <v>1784</v>
      </c>
      <c r="F641">
        <v>4</v>
      </c>
      <c r="G641">
        <v>369.22</v>
      </c>
      <c r="H641">
        <v>0.18</v>
      </c>
      <c r="I641" t="s">
        <v>1812</v>
      </c>
      <c r="J641">
        <v>1211.0416</v>
      </c>
    </row>
    <row r="642" spans="1:10" x14ac:dyDescent="0.3">
      <c r="A642" t="s">
        <v>2449</v>
      </c>
      <c r="B642" s="1">
        <v>45590</v>
      </c>
      <c r="C642" t="s">
        <v>1261</v>
      </c>
      <c r="D642" t="s">
        <v>1723</v>
      </c>
      <c r="E642" t="s">
        <v>1782</v>
      </c>
      <c r="F642">
        <v>3</v>
      </c>
      <c r="G642">
        <v>950.83</v>
      </c>
      <c r="H642">
        <v>0.06</v>
      </c>
      <c r="I642" t="s">
        <v>1809</v>
      </c>
      <c r="J642">
        <v>2681.3406</v>
      </c>
    </row>
    <row r="643" spans="1:10" x14ac:dyDescent="0.3">
      <c r="A643" t="s">
        <v>2450</v>
      </c>
      <c r="B643" s="1">
        <v>45365</v>
      </c>
      <c r="C643" t="s">
        <v>479</v>
      </c>
      <c r="D643" t="s">
        <v>1605</v>
      </c>
      <c r="E643" t="s">
        <v>1780</v>
      </c>
      <c r="F643">
        <v>3</v>
      </c>
      <c r="G643">
        <v>338.79</v>
      </c>
      <c r="H643">
        <v>0.01</v>
      </c>
      <c r="I643" t="s">
        <v>1807</v>
      </c>
      <c r="J643">
        <v>1006.2063000000001</v>
      </c>
    </row>
    <row r="644" spans="1:10" x14ac:dyDescent="0.3">
      <c r="A644" t="s">
        <v>2451</v>
      </c>
      <c r="B644" s="1">
        <v>45711</v>
      </c>
      <c r="C644" t="s">
        <v>488</v>
      </c>
      <c r="D644" t="s">
        <v>1711</v>
      </c>
      <c r="E644" t="s">
        <v>1740</v>
      </c>
      <c r="F644">
        <v>3</v>
      </c>
      <c r="G644">
        <v>853.32</v>
      </c>
      <c r="H644">
        <v>7.0000000000000007E-2</v>
      </c>
      <c r="I644" t="s">
        <v>1812</v>
      </c>
      <c r="J644">
        <v>2380.7628</v>
      </c>
    </row>
    <row r="645" spans="1:10" x14ac:dyDescent="0.3">
      <c r="A645" t="s">
        <v>2452</v>
      </c>
      <c r="B645" s="1">
        <v>45586</v>
      </c>
      <c r="C645" t="s">
        <v>497</v>
      </c>
      <c r="D645" t="s">
        <v>1683</v>
      </c>
      <c r="E645" t="s">
        <v>1759</v>
      </c>
      <c r="F645">
        <v>3</v>
      </c>
      <c r="G645">
        <v>89.78</v>
      </c>
      <c r="H645">
        <v>0.2</v>
      </c>
      <c r="I645" t="s">
        <v>1812</v>
      </c>
      <c r="J645">
        <v>215.47200000000001</v>
      </c>
    </row>
    <row r="646" spans="1:10" x14ac:dyDescent="0.3">
      <c r="A646" t="s">
        <v>2453</v>
      </c>
      <c r="B646" s="1">
        <v>45334</v>
      </c>
      <c r="C646" t="s">
        <v>622</v>
      </c>
      <c r="D646" t="s">
        <v>1641</v>
      </c>
      <c r="E646" t="s">
        <v>1740</v>
      </c>
      <c r="F646">
        <v>1</v>
      </c>
      <c r="G646">
        <v>172.04</v>
      </c>
      <c r="H646">
        <v>0.04</v>
      </c>
      <c r="I646" t="s">
        <v>1809</v>
      </c>
      <c r="J646">
        <v>165.1584</v>
      </c>
    </row>
    <row r="647" spans="1:10" x14ac:dyDescent="0.3">
      <c r="A647" t="s">
        <v>2454</v>
      </c>
      <c r="B647" s="1">
        <v>45333</v>
      </c>
      <c r="C647" t="s">
        <v>1424</v>
      </c>
      <c r="D647" t="s">
        <v>1639</v>
      </c>
      <c r="E647" t="s">
        <v>1740</v>
      </c>
      <c r="F647">
        <v>1</v>
      </c>
      <c r="G647">
        <v>389.2</v>
      </c>
      <c r="H647">
        <v>0.05</v>
      </c>
      <c r="I647" t="s">
        <v>1807</v>
      </c>
      <c r="J647">
        <v>369.74</v>
      </c>
    </row>
    <row r="648" spans="1:10" x14ac:dyDescent="0.3">
      <c r="A648" t="s">
        <v>2455</v>
      </c>
      <c r="B648" s="1">
        <v>45778</v>
      </c>
      <c r="C648" t="s">
        <v>1406</v>
      </c>
      <c r="D648" t="s">
        <v>1685</v>
      </c>
      <c r="E648" t="s">
        <v>1780</v>
      </c>
      <c r="F648">
        <v>3</v>
      </c>
      <c r="G648">
        <v>865.96</v>
      </c>
      <c r="H648">
        <v>0.12</v>
      </c>
      <c r="I648" t="s">
        <v>1809</v>
      </c>
      <c r="J648">
        <v>2286.1343999999999</v>
      </c>
    </row>
    <row r="649" spans="1:10" x14ac:dyDescent="0.3">
      <c r="A649" t="s">
        <v>2456</v>
      </c>
      <c r="B649" s="1">
        <v>45592</v>
      </c>
      <c r="C649" t="s">
        <v>557</v>
      </c>
      <c r="D649" t="s">
        <v>1569</v>
      </c>
      <c r="E649" t="s">
        <v>1740</v>
      </c>
      <c r="F649">
        <v>3</v>
      </c>
      <c r="G649">
        <v>79.95</v>
      </c>
      <c r="H649">
        <v>0.2</v>
      </c>
      <c r="I649" t="s">
        <v>1812</v>
      </c>
      <c r="J649">
        <v>191.88</v>
      </c>
    </row>
    <row r="650" spans="1:10" x14ac:dyDescent="0.3">
      <c r="A650" t="s">
        <v>2457</v>
      </c>
      <c r="B650" s="1">
        <v>45259</v>
      </c>
      <c r="C650" t="s">
        <v>1177</v>
      </c>
      <c r="D650" t="s">
        <v>1583</v>
      </c>
      <c r="E650" t="s">
        <v>1762</v>
      </c>
      <c r="F650">
        <v>1</v>
      </c>
      <c r="G650">
        <v>566.5</v>
      </c>
      <c r="H650">
        <v>0.25</v>
      </c>
      <c r="I650" t="s">
        <v>1812</v>
      </c>
      <c r="J650">
        <v>424.875</v>
      </c>
    </row>
    <row r="651" spans="1:10" x14ac:dyDescent="0.3">
      <c r="A651" t="s">
        <v>2458</v>
      </c>
      <c r="B651" s="1">
        <v>45801</v>
      </c>
      <c r="C651" t="s">
        <v>1238</v>
      </c>
      <c r="D651" t="s">
        <v>1573</v>
      </c>
      <c r="E651" t="s">
        <v>1735</v>
      </c>
      <c r="F651">
        <v>2</v>
      </c>
      <c r="G651">
        <v>347.95</v>
      </c>
      <c r="H651">
        <v>0.13</v>
      </c>
      <c r="I651" t="s">
        <v>1812</v>
      </c>
      <c r="J651">
        <v>605.43299999999999</v>
      </c>
    </row>
    <row r="652" spans="1:10" x14ac:dyDescent="0.3">
      <c r="A652" t="s">
        <v>2459</v>
      </c>
      <c r="B652" s="1">
        <v>45347</v>
      </c>
      <c r="C652" t="s">
        <v>675</v>
      </c>
      <c r="D652" t="s">
        <v>1647</v>
      </c>
      <c r="E652" t="s">
        <v>1749</v>
      </c>
      <c r="F652">
        <v>2</v>
      </c>
      <c r="G652">
        <v>250.83</v>
      </c>
      <c r="H652">
        <v>0.15</v>
      </c>
      <c r="I652" t="s">
        <v>1809</v>
      </c>
      <c r="J652">
        <v>426.411</v>
      </c>
    </row>
    <row r="653" spans="1:10" x14ac:dyDescent="0.3">
      <c r="A653" t="s">
        <v>2460</v>
      </c>
      <c r="B653" s="1">
        <v>45721</v>
      </c>
      <c r="C653" t="s">
        <v>497</v>
      </c>
      <c r="D653" t="s">
        <v>1673</v>
      </c>
      <c r="E653" t="s">
        <v>1740</v>
      </c>
      <c r="F653">
        <v>1</v>
      </c>
      <c r="G653">
        <v>888.05</v>
      </c>
      <c r="H653">
        <v>0.2</v>
      </c>
      <c r="I653" t="s">
        <v>1809</v>
      </c>
      <c r="J653">
        <v>710.44</v>
      </c>
    </row>
    <row r="654" spans="1:10" x14ac:dyDescent="0.3">
      <c r="A654" t="s">
        <v>2461</v>
      </c>
      <c r="B654" s="1">
        <v>45531</v>
      </c>
      <c r="C654" t="s">
        <v>36</v>
      </c>
      <c r="D654" t="s">
        <v>1609</v>
      </c>
      <c r="E654" t="s">
        <v>1793</v>
      </c>
      <c r="F654">
        <v>2</v>
      </c>
      <c r="G654">
        <v>673.02</v>
      </c>
      <c r="H654">
        <v>0.11</v>
      </c>
      <c r="I654" t="s">
        <v>1809</v>
      </c>
      <c r="J654">
        <v>1197.9756</v>
      </c>
    </row>
    <row r="655" spans="1:10" x14ac:dyDescent="0.3">
      <c r="A655" t="s">
        <v>2462</v>
      </c>
      <c r="B655" s="1">
        <v>45332</v>
      </c>
      <c r="C655" t="s">
        <v>1346</v>
      </c>
      <c r="D655" t="s">
        <v>1659</v>
      </c>
      <c r="E655" t="s">
        <v>1749</v>
      </c>
      <c r="F655">
        <v>2</v>
      </c>
      <c r="G655">
        <v>492.62</v>
      </c>
      <c r="H655">
        <v>0.26</v>
      </c>
      <c r="I655" t="s">
        <v>1812</v>
      </c>
      <c r="J655">
        <v>729.07759999999996</v>
      </c>
    </row>
    <row r="656" spans="1:10" x14ac:dyDescent="0.3">
      <c r="A656" t="s">
        <v>2463</v>
      </c>
      <c r="B656" s="1">
        <v>45344</v>
      </c>
      <c r="C656" t="s">
        <v>1162</v>
      </c>
      <c r="D656" t="s">
        <v>1701</v>
      </c>
      <c r="E656" t="s">
        <v>1749</v>
      </c>
      <c r="F656">
        <v>4</v>
      </c>
      <c r="G656">
        <v>986.93</v>
      </c>
      <c r="H656">
        <v>0.01</v>
      </c>
      <c r="I656" t="s">
        <v>1807</v>
      </c>
      <c r="J656">
        <v>3908.2428</v>
      </c>
    </row>
    <row r="657" spans="1:10" x14ac:dyDescent="0.3">
      <c r="A657" t="s">
        <v>2464</v>
      </c>
      <c r="B657" s="1">
        <v>45388</v>
      </c>
      <c r="C657" t="s">
        <v>1458</v>
      </c>
      <c r="D657" t="s">
        <v>1575</v>
      </c>
      <c r="E657" t="s">
        <v>1777</v>
      </c>
      <c r="F657">
        <v>4</v>
      </c>
      <c r="G657">
        <v>411.68</v>
      </c>
      <c r="H657">
        <v>0.06</v>
      </c>
      <c r="I657" t="s">
        <v>1809</v>
      </c>
      <c r="J657">
        <v>1547.9168</v>
      </c>
    </row>
    <row r="658" spans="1:10" x14ac:dyDescent="0.3">
      <c r="A658" t="s">
        <v>2465</v>
      </c>
      <c r="B658" s="1">
        <v>45397</v>
      </c>
      <c r="C658" t="s">
        <v>705</v>
      </c>
      <c r="D658" t="s">
        <v>1603</v>
      </c>
      <c r="E658" t="s">
        <v>1790</v>
      </c>
      <c r="F658">
        <v>2</v>
      </c>
      <c r="G658">
        <v>637.55999999999995</v>
      </c>
      <c r="H658">
        <v>0.05</v>
      </c>
      <c r="I658" t="s">
        <v>1812</v>
      </c>
      <c r="J658">
        <v>1211.364</v>
      </c>
    </row>
    <row r="659" spans="1:10" x14ac:dyDescent="0.3">
      <c r="A659" t="s">
        <v>2466</v>
      </c>
      <c r="B659" s="1">
        <v>45633</v>
      </c>
      <c r="C659" t="s">
        <v>67</v>
      </c>
      <c r="D659" t="s">
        <v>1557</v>
      </c>
      <c r="E659" t="s">
        <v>1749</v>
      </c>
      <c r="F659">
        <v>3</v>
      </c>
      <c r="G659">
        <v>706.87</v>
      </c>
      <c r="H659">
        <v>0.27</v>
      </c>
      <c r="I659" t="s">
        <v>1807</v>
      </c>
      <c r="J659">
        <v>1548.0453</v>
      </c>
    </row>
    <row r="660" spans="1:10" x14ac:dyDescent="0.3">
      <c r="A660" t="s">
        <v>2467</v>
      </c>
      <c r="B660" s="1">
        <v>45629</v>
      </c>
      <c r="C660" t="s">
        <v>205</v>
      </c>
      <c r="D660" t="s">
        <v>1561</v>
      </c>
      <c r="E660" t="s">
        <v>1759</v>
      </c>
      <c r="F660">
        <v>2</v>
      </c>
      <c r="G660">
        <v>884.48</v>
      </c>
      <c r="H660">
        <v>0</v>
      </c>
      <c r="I660" t="s">
        <v>1812</v>
      </c>
      <c r="J660">
        <v>1768.96</v>
      </c>
    </row>
    <row r="661" spans="1:10" x14ac:dyDescent="0.3">
      <c r="A661" t="s">
        <v>2468</v>
      </c>
      <c r="B661" s="1">
        <v>45291</v>
      </c>
      <c r="C661" t="s">
        <v>178</v>
      </c>
      <c r="D661" t="s">
        <v>1715</v>
      </c>
      <c r="E661" t="s">
        <v>1752</v>
      </c>
      <c r="F661">
        <v>3</v>
      </c>
      <c r="G661">
        <v>718.23</v>
      </c>
      <c r="H661">
        <v>0.19</v>
      </c>
      <c r="I661" t="s">
        <v>1809</v>
      </c>
      <c r="J661">
        <v>1745.2989</v>
      </c>
    </row>
    <row r="662" spans="1:10" x14ac:dyDescent="0.3">
      <c r="A662" t="s">
        <v>2469</v>
      </c>
      <c r="B662" s="1">
        <v>45914</v>
      </c>
      <c r="C662" t="s">
        <v>589</v>
      </c>
      <c r="D662" t="s">
        <v>1711</v>
      </c>
      <c r="E662" t="s">
        <v>1793</v>
      </c>
      <c r="F662">
        <v>3</v>
      </c>
      <c r="G662">
        <v>107.44</v>
      </c>
      <c r="H662">
        <v>0.27</v>
      </c>
      <c r="I662" t="s">
        <v>1809</v>
      </c>
      <c r="J662">
        <v>235.2936</v>
      </c>
    </row>
    <row r="663" spans="1:10" x14ac:dyDescent="0.3">
      <c r="A663" t="s">
        <v>2470</v>
      </c>
      <c r="B663" s="1">
        <v>45673</v>
      </c>
      <c r="C663" t="s">
        <v>208</v>
      </c>
      <c r="D663" t="s">
        <v>1623</v>
      </c>
      <c r="E663" t="s">
        <v>1749</v>
      </c>
      <c r="F663">
        <v>4</v>
      </c>
      <c r="G663">
        <v>608.97</v>
      </c>
      <c r="H663">
        <v>0.14000000000000001</v>
      </c>
      <c r="I663" t="s">
        <v>1812</v>
      </c>
      <c r="J663">
        <v>2094.8568</v>
      </c>
    </row>
    <row r="664" spans="1:10" x14ac:dyDescent="0.3">
      <c r="A664" t="s">
        <v>2471</v>
      </c>
      <c r="B664" s="1">
        <v>45689</v>
      </c>
      <c r="C664" t="s">
        <v>1097</v>
      </c>
      <c r="D664" t="s">
        <v>1653</v>
      </c>
      <c r="E664" t="s">
        <v>1759</v>
      </c>
      <c r="F664">
        <v>3</v>
      </c>
      <c r="G664">
        <v>260.45999999999998</v>
      </c>
      <c r="H664">
        <v>0.09</v>
      </c>
      <c r="I664" t="s">
        <v>1807</v>
      </c>
      <c r="J664">
        <v>711.05579999999986</v>
      </c>
    </row>
    <row r="665" spans="1:10" x14ac:dyDescent="0.3">
      <c r="A665" t="s">
        <v>2472</v>
      </c>
      <c r="B665" s="1">
        <v>45646</v>
      </c>
      <c r="C665" t="s">
        <v>420</v>
      </c>
      <c r="D665" t="s">
        <v>1575</v>
      </c>
      <c r="E665" t="s">
        <v>1759</v>
      </c>
      <c r="F665">
        <v>1</v>
      </c>
      <c r="G665">
        <v>747.03</v>
      </c>
      <c r="H665">
        <v>0.01</v>
      </c>
      <c r="I665" t="s">
        <v>1807</v>
      </c>
      <c r="J665">
        <v>739.55970000000002</v>
      </c>
    </row>
    <row r="666" spans="1:10" x14ac:dyDescent="0.3">
      <c r="A666" t="s">
        <v>2473</v>
      </c>
      <c r="B666" s="1">
        <v>45475</v>
      </c>
      <c r="C666" t="s">
        <v>1243</v>
      </c>
      <c r="D666" t="s">
        <v>1563</v>
      </c>
      <c r="E666" t="s">
        <v>1765</v>
      </c>
      <c r="F666">
        <v>4</v>
      </c>
      <c r="G666">
        <v>700.88</v>
      </c>
      <c r="H666">
        <v>0.23</v>
      </c>
      <c r="I666" t="s">
        <v>1809</v>
      </c>
      <c r="J666">
        <v>2158.7103999999999</v>
      </c>
    </row>
    <row r="667" spans="1:10" x14ac:dyDescent="0.3">
      <c r="A667" t="s">
        <v>2474</v>
      </c>
      <c r="B667" s="1">
        <v>45781</v>
      </c>
      <c r="C667" t="s">
        <v>182</v>
      </c>
      <c r="D667" t="s">
        <v>1721</v>
      </c>
      <c r="E667" t="s">
        <v>1782</v>
      </c>
      <c r="F667">
        <v>4</v>
      </c>
      <c r="G667">
        <v>20.09</v>
      </c>
      <c r="H667">
        <v>0.16</v>
      </c>
      <c r="I667" t="s">
        <v>1809</v>
      </c>
      <c r="J667">
        <v>67.502399999999994</v>
      </c>
    </row>
    <row r="668" spans="1:10" x14ac:dyDescent="0.3">
      <c r="A668" t="s">
        <v>2475</v>
      </c>
      <c r="B668" s="1">
        <v>45654</v>
      </c>
      <c r="C668" t="s">
        <v>227</v>
      </c>
      <c r="D668" t="s">
        <v>1605</v>
      </c>
      <c r="E668" t="s">
        <v>1775</v>
      </c>
      <c r="F668">
        <v>3</v>
      </c>
      <c r="G668">
        <v>917.64</v>
      </c>
      <c r="H668">
        <v>0.24</v>
      </c>
      <c r="I668" t="s">
        <v>1809</v>
      </c>
      <c r="J668">
        <v>2092.2192</v>
      </c>
    </row>
    <row r="669" spans="1:10" x14ac:dyDescent="0.3">
      <c r="A669" t="s">
        <v>2476</v>
      </c>
      <c r="B669" s="1">
        <v>45594</v>
      </c>
      <c r="C669" t="s">
        <v>192</v>
      </c>
      <c r="D669" t="s">
        <v>1573</v>
      </c>
      <c r="E669" t="s">
        <v>1735</v>
      </c>
      <c r="F669">
        <v>1</v>
      </c>
      <c r="G669">
        <v>242.08</v>
      </c>
      <c r="H669">
        <v>0.18</v>
      </c>
      <c r="I669" t="s">
        <v>1809</v>
      </c>
      <c r="J669">
        <v>198.50559999999999</v>
      </c>
    </row>
    <row r="670" spans="1:10" x14ac:dyDescent="0.3">
      <c r="A670" t="s">
        <v>2477</v>
      </c>
      <c r="B670" s="1">
        <v>45581</v>
      </c>
      <c r="C670" t="s">
        <v>211</v>
      </c>
      <c r="D670" t="s">
        <v>1657</v>
      </c>
      <c r="E670" t="s">
        <v>1762</v>
      </c>
      <c r="F670">
        <v>1</v>
      </c>
      <c r="G670">
        <v>536.67999999999995</v>
      </c>
      <c r="H670">
        <v>0.27</v>
      </c>
      <c r="I670" t="s">
        <v>1807</v>
      </c>
      <c r="J670">
        <v>391.77640000000002</v>
      </c>
    </row>
    <row r="671" spans="1:10" x14ac:dyDescent="0.3">
      <c r="A671" t="s">
        <v>2478</v>
      </c>
      <c r="B671" s="1">
        <v>45748</v>
      </c>
      <c r="C671" t="s">
        <v>333</v>
      </c>
      <c r="D671" t="s">
        <v>1589</v>
      </c>
      <c r="E671" t="s">
        <v>1752</v>
      </c>
      <c r="F671">
        <v>2</v>
      </c>
      <c r="G671">
        <v>145.18</v>
      </c>
      <c r="H671">
        <v>0.26</v>
      </c>
      <c r="I671" t="s">
        <v>1809</v>
      </c>
      <c r="J671">
        <v>214.8664</v>
      </c>
    </row>
    <row r="672" spans="1:10" x14ac:dyDescent="0.3">
      <c r="A672" t="s">
        <v>2479</v>
      </c>
      <c r="B672" s="1">
        <v>45369</v>
      </c>
      <c r="C672" t="s">
        <v>710</v>
      </c>
      <c r="D672" t="s">
        <v>1665</v>
      </c>
      <c r="E672" t="s">
        <v>1752</v>
      </c>
      <c r="F672">
        <v>2</v>
      </c>
      <c r="G672">
        <v>132.77000000000001</v>
      </c>
      <c r="H672">
        <v>0.13</v>
      </c>
      <c r="I672" t="s">
        <v>1812</v>
      </c>
      <c r="J672">
        <v>231.0198</v>
      </c>
    </row>
    <row r="673" spans="1:10" x14ac:dyDescent="0.3">
      <c r="A673" t="s">
        <v>2480</v>
      </c>
      <c r="B673" s="1">
        <v>45701</v>
      </c>
      <c r="C673" t="s">
        <v>63</v>
      </c>
      <c r="D673" t="s">
        <v>1613</v>
      </c>
      <c r="E673" t="s">
        <v>1769</v>
      </c>
      <c r="F673">
        <v>4</v>
      </c>
      <c r="G673">
        <v>682.11</v>
      </c>
      <c r="H673">
        <v>0.14000000000000001</v>
      </c>
      <c r="I673" t="s">
        <v>1807</v>
      </c>
      <c r="J673">
        <v>2346.4584</v>
      </c>
    </row>
    <row r="674" spans="1:10" x14ac:dyDescent="0.3">
      <c r="A674" t="s">
        <v>2481</v>
      </c>
      <c r="B674" s="1">
        <v>45510</v>
      </c>
      <c r="C674" t="s">
        <v>1478</v>
      </c>
      <c r="D674" t="s">
        <v>1611</v>
      </c>
      <c r="E674" t="s">
        <v>1790</v>
      </c>
      <c r="F674">
        <v>4</v>
      </c>
      <c r="G674">
        <v>502.95</v>
      </c>
      <c r="H674">
        <v>0.14000000000000001</v>
      </c>
      <c r="I674" t="s">
        <v>1812</v>
      </c>
      <c r="J674">
        <v>1730.1479999999999</v>
      </c>
    </row>
    <row r="675" spans="1:10" x14ac:dyDescent="0.3">
      <c r="A675" t="s">
        <v>2482</v>
      </c>
      <c r="B675" s="1">
        <v>45538</v>
      </c>
      <c r="C675" t="s">
        <v>746</v>
      </c>
      <c r="D675" t="s">
        <v>1605</v>
      </c>
      <c r="E675" t="s">
        <v>1787</v>
      </c>
      <c r="F675">
        <v>2</v>
      </c>
      <c r="G675">
        <v>472.08</v>
      </c>
      <c r="H675">
        <v>7.0000000000000007E-2</v>
      </c>
      <c r="I675" t="s">
        <v>1807</v>
      </c>
      <c r="J675">
        <v>878.0687999999999</v>
      </c>
    </row>
    <row r="676" spans="1:10" x14ac:dyDescent="0.3">
      <c r="A676" t="s">
        <v>2483</v>
      </c>
      <c r="B676" s="1">
        <v>45665</v>
      </c>
      <c r="C676" t="s">
        <v>1442</v>
      </c>
      <c r="D676" t="s">
        <v>1645</v>
      </c>
      <c r="E676" t="s">
        <v>1790</v>
      </c>
      <c r="F676">
        <v>2</v>
      </c>
      <c r="G676">
        <v>218.11</v>
      </c>
      <c r="H676">
        <v>0.02</v>
      </c>
      <c r="I676" t="s">
        <v>1812</v>
      </c>
      <c r="J676">
        <v>427.49560000000002</v>
      </c>
    </row>
    <row r="677" spans="1:10" x14ac:dyDescent="0.3">
      <c r="A677" t="s">
        <v>2484</v>
      </c>
      <c r="B677" s="1">
        <v>45859</v>
      </c>
      <c r="C677" t="s">
        <v>211</v>
      </c>
      <c r="D677" t="s">
        <v>1529</v>
      </c>
      <c r="E677" t="s">
        <v>1759</v>
      </c>
      <c r="F677">
        <v>4</v>
      </c>
      <c r="G677">
        <v>845.58</v>
      </c>
      <c r="H677">
        <v>0.06</v>
      </c>
      <c r="I677" t="s">
        <v>1809</v>
      </c>
      <c r="J677">
        <v>3179.3807999999999</v>
      </c>
    </row>
    <row r="678" spans="1:10" x14ac:dyDescent="0.3">
      <c r="A678" t="s">
        <v>2485</v>
      </c>
      <c r="B678" s="1">
        <v>45255</v>
      </c>
      <c r="C678" t="s">
        <v>436</v>
      </c>
      <c r="D678" t="s">
        <v>1691</v>
      </c>
      <c r="E678" t="s">
        <v>1744</v>
      </c>
      <c r="F678">
        <v>2</v>
      </c>
      <c r="G678">
        <v>111.28</v>
      </c>
      <c r="H678">
        <v>0.14000000000000001</v>
      </c>
      <c r="I678" t="s">
        <v>1807</v>
      </c>
      <c r="J678">
        <v>191.4016</v>
      </c>
    </row>
    <row r="679" spans="1:10" x14ac:dyDescent="0.3">
      <c r="A679" t="s">
        <v>2486</v>
      </c>
      <c r="B679" s="1">
        <v>45842</v>
      </c>
      <c r="C679" t="s">
        <v>579</v>
      </c>
      <c r="D679" t="s">
        <v>1649</v>
      </c>
      <c r="E679" t="s">
        <v>1782</v>
      </c>
      <c r="F679">
        <v>2</v>
      </c>
      <c r="G679">
        <v>37.21</v>
      </c>
      <c r="H679">
        <v>0.19</v>
      </c>
      <c r="I679" t="s">
        <v>1807</v>
      </c>
      <c r="J679">
        <v>60.280200000000008</v>
      </c>
    </row>
    <row r="680" spans="1:10" x14ac:dyDescent="0.3">
      <c r="A680" t="s">
        <v>2487</v>
      </c>
      <c r="B680" s="1">
        <v>45220</v>
      </c>
      <c r="C680" t="s">
        <v>1281</v>
      </c>
      <c r="D680" t="s">
        <v>1655</v>
      </c>
      <c r="E680" t="s">
        <v>1780</v>
      </c>
      <c r="F680">
        <v>1</v>
      </c>
      <c r="G680">
        <v>331.73</v>
      </c>
      <c r="H680">
        <v>0.04</v>
      </c>
      <c r="I680" t="s">
        <v>1807</v>
      </c>
      <c r="J680">
        <v>318.46080000000001</v>
      </c>
    </row>
    <row r="681" spans="1:10" x14ac:dyDescent="0.3">
      <c r="A681" t="s">
        <v>2488</v>
      </c>
      <c r="B681" s="1">
        <v>45273</v>
      </c>
      <c r="C681" t="s">
        <v>1126</v>
      </c>
      <c r="D681" t="s">
        <v>1671</v>
      </c>
      <c r="E681" t="s">
        <v>1777</v>
      </c>
      <c r="F681">
        <v>3</v>
      </c>
      <c r="G681">
        <v>306.70999999999998</v>
      </c>
      <c r="H681">
        <v>0.09</v>
      </c>
      <c r="I681" t="s">
        <v>1809</v>
      </c>
      <c r="J681">
        <v>837.31829999999991</v>
      </c>
    </row>
    <row r="682" spans="1:10" x14ac:dyDescent="0.3">
      <c r="A682" t="s">
        <v>2489</v>
      </c>
      <c r="B682" s="1">
        <v>45456</v>
      </c>
      <c r="C682" t="s">
        <v>853</v>
      </c>
      <c r="D682" t="s">
        <v>1581</v>
      </c>
      <c r="E682" t="s">
        <v>1759</v>
      </c>
      <c r="F682">
        <v>4</v>
      </c>
      <c r="G682">
        <v>484.92</v>
      </c>
      <c r="H682">
        <v>0.28000000000000003</v>
      </c>
      <c r="I682" t="s">
        <v>1809</v>
      </c>
      <c r="J682">
        <v>1396.5696</v>
      </c>
    </row>
    <row r="683" spans="1:10" x14ac:dyDescent="0.3">
      <c r="A683" t="s">
        <v>2490</v>
      </c>
      <c r="B683" s="1">
        <v>45292</v>
      </c>
      <c r="C683" t="s">
        <v>167</v>
      </c>
      <c r="D683" t="s">
        <v>1631</v>
      </c>
      <c r="E683" t="s">
        <v>1756</v>
      </c>
      <c r="F683">
        <v>2</v>
      </c>
      <c r="G683">
        <v>42.04</v>
      </c>
      <c r="H683">
        <v>7.0000000000000007E-2</v>
      </c>
      <c r="I683" t="s">
        <v>1807</v>
      </c>
      <c r="J683">
        <v>78.194399999999987</v>
      </c>
    </row>
    <row r="684" spans="1:10" x14ac:dyDescent="0.3">
      <c r="A684" t="s">
        <v>2491</v>
      </c>
      <c r="B684" s="1">
        <v>45278</v>
      </c>
      <c r="C684" t="s">
        <v>885</v>
      </c>
      <c r="D684" t="s">
        <v>1641</v>
      </c>
      <c r="E684" t="s">
        <v>1759</v>
      </c>
      <c r="F684">
        <v>3</v>
      </c>
      <c r="G684">
        <v>599.48</v>
      </c>
      <c r="H684">
        <v>0.22</v>
      </c>
      <c r="I684" t="s">
        <v>1809</v>
      </c>
      <c r="J684">
        <v>1402.7832000000001</v>
      </c>
    </row>
    <row r="685" spans="1:10" x14ac:dyDescent="0.3">
      <c r="A685" t="s">
        <v>2492</v>
      </c>
      <c r="B685" s="1">
        <v>45232</v>
      </c>
      <c r="C685" t="s">
        <v>1106</v>
      </c>
      <c r="D685" t="s">
        <v>1565</v>
      </c>
      <c r="E685" t="s">
        <v>1740</v>
      </c>
      <c r="F685">
        <v>3</v>
      </c>
      <c r="G685">
        <v>401.42</v>
      </c>
      <c r="H685">
        <v>0.01</v>
      </c>
      <c r="I685" t="s">
        <v>1812</v>
      </c>
      <c r="J685">
        <v>1192.2174</v>
      </c>
    </row>
    <row r="686" spans="1:10" x14ac:dyDescent="0.3">
      <c r="A686" t="s">
        <v>2493</v>
      </c>
      <c r="B686" s="1">
        <v>45907</v>
      </c>
      <c r="C686" t="s">
        <v>625</v>
      </c>
      <c r="D686" t="s">
        <v>1623</v>
      </c>
      <c r="E686" t="s">
        <v>1765</v>
      </c>
      <c r="F686">
        <v>4</v>
      </c>
      <c r="G686">
        <v>442.54</v>
      </c>
      <c r="H686">
        <v>0.06</v>
      </c>
      <c r="I686" t="s">
        <v>1807</v>
      </c>
      <c r="J686">
        <v>1663.9503999999999</v>
      </c>
    </row>
    <row r="687" spans="1:10" x14ac:dyDescent="0.3">
      <c r="A687" t="s">
        <v>2494</v>
      </c>
      <c r="B687" s="1">
        <v>45270</v>
      </c>
      <c r="C687" t="s">
        <v>1392</v>
      </c>
      <c r="D687" t="s">
        <v>1707</v>
      </c>
      <c r="E687" t="s">
        <v>1780</v>
      </c>
      <c r="F687">
        <v>4</v>
      </c>
      <c r="G687">
        <v>451.41</v>
      </c>
      <c r="H687">
        <v>0.06</v>
      </c>
      <c r="I687" t="s">
        <v>1809</v>
      </c>
      <c r="J687">
        <v>1697.3016</v>
      </c>
    </row>
    <row r="688" spans="1:10" x14ac:dyDescent="0.3">
      <c r="A688" t="s">
        <v>2495</v>
      </c>
      <c r="B688" s="1">
        <v>45942</v>
      </c>
      <c r="C688" t="s">
        <v>839</v>
      </c>
      <c r="D688" t="s">
        <v>1713</v>
      </c>
      <c r="E688" t="s">
        <v>1769</v>
      </c>
      <c r="F688">
        <v>4</v>
      </c>
      <c r="G688">
        <v>547.21</v>
      </c>
      <c r="H688">
        <v>0.25</v>
      </c>
      <c r="I688" t="s">
        <v>1807</v>
      </c>
      <c r="J688">
        <v>1641.63</v>
      </c>
    </row>
    <row r="689" spans="1:10" x14ac:dyDescent="0.3">
      <c r="A689" t="s">
        <v>2496</v>
      </c>
      <c r="B689" s="1">
        <v>45750</v>
      </c>
      <c r="C689" t="s">
        <v>657</v>
      </c>
      <c r="D689" t="s">
        <v>1705</v>
      </c>
      <c r="E689" t="s">
        <v>1752</v>
      </c>
      <c r="F689">
        <v>1</v>
      </c>
      <c r="G689">
        <v>979.28</v>
      </c>
      <c r="H689">
        <v>0.2</v>
      </c>
      <c r="I689" t="s">
        <v>1809</v>
      </c>
      <c r="J689">
        <v>783.42399999999998</v>
      </c>
    </row>
    <row r="690" spans="1:10" x14ac:dyDescent="0.3">
      <c r="A690" t="s">
        <v>2497</v>
      </c>
      <c r="B690" s="1">
        <v>45300</v>
      </c>
      <c r="C690" t="s">
        <v>1415</v>
      </c>
      <c r="D690" t="s">
        <v>1643</v>
      </c>
      <c r="E690" t="s">
        <v>1762</v>
      </c>
      <c r="F690">
        <v>4</v>
      </c>
      <c r="G690">
        <v>263.58999999999997</v>
      </c>
      <c r="H690">
        <v>0.04</v>
      </c>
      <c r="I690" t="s">
        <v>1807</v>
      </c>
      <c r="J690">
        <v>1012.1856</v>
      </c>
    </row>
    <row r="691" spans="1:10" x14ac:dyDescent="0.3">
      <c r="A691" t="s">
        <v>2498</v>
      </c>
      <c r="B691" s="1">
        <v>45876</v>
      </c>
      <c r="C691" t="s">
        <v>20</v>
      </c>
      <c r="D691" t="s">
        <v>1639</v>
      </c>
      <c r="E691" t="s">
        <v>1756</v>
      </c>
      <c r="F691">
        <v>1</v>
      </c>
      <c r="G691">
        <v>692.75</v>
      </c>
      <c r="H691">
        <v>0.11</v>
      </c>
      <c r="I691" t="s">
        <v>1812</v>
      </c>
      <c r="J691">
        <v>616.54750000000001</v>
      </c>
    </row>
    <row r="692" spans="1:10" x14ac:dyDescent="0.3">
      <c r="A692" t="s">
        <v>2499</v>
      </c>
      <c r="B692" s="1">
        <v>45301</v>
      </c>
      <c r="C692" t="s">
        <v>539</v>
      </c>
      <c r="D692" t="s">
        <v>1657</v>
      </c>
      <c r="E692" t="s">
        <v>1749</v>
      </c>
      <c r="F692">
        <v>3</v>
      </c>
      <c r="G692">
        <v>142.83000000000001</v>
      </c>
      <c r="H692">
        <v>0.01</v>
      </c>
      <c r="I692" t="s">
        <v>1807</v>
      </c>
      <c r="J692">
        <v>424.20510000000002</v>
      </c>
    </row>
    <row r="693" spans="1:10" x14ac:dyDescent="0.3">
      <c r="A693" t="s">
        <v>2500</v>
      </c>
      <c r="B693" s="1">
        <v>45857</v>
      </c>
      <c r="C693" t="s">
        <v>423</v>
      </c>
      <c r="D693" t="s">
        <v>1575</v>
      </c>
      <c r="E693" t="s">
        <v>1744</v>
      </c>
      <c r="F693">
        <v>2</v>
      </c>
      <c r="G693">
        <v>419.25</v>
      </c>
      <c r="H693">
        <v>0.17</v>
      </c>
      <c r="I693" t="s">
        <v>1809</v>
      </c>
      <c r="J693">
        <v>695.95499999999993</v>
      </c>
    </row>
    <row r="694" spans="1:10" x14ac:dyDescent="0.3">
      <c r="A694" t="s">
        <v>2501</v>
      </c>
      <c r="B694" s="1">
        <v>45650</v>
      </c>
      <c r="C694" t="s">
        <v>764</v>
      </c>
      <c r="D694" t="s">
        <v>1583</v>
      </c>
      <c r="E694" t="s">
        <v>1796</v>
      </c>
      <c r="F694">
        <v>2</v>
      </c>
      <c r="G694">
        <v>800.84</v>
      </c>
      <c r="H694">
        <v>0.27</v>
      </c>
      <c r="I694" t="s">
        <v>1812</v>
      </c>
      <c r="J694">
        <v>1169.2264</v>
      </c>
    </row>
    <row r="695" spans="1:10" x14ac:dyDescent="0.3">
      <c r="A695" t="s">
        <v>2502</v>
      </c>
      <c r="B695" s="1">
        <v>45520</v>
      </c>
      <c r="C695" t="s">
        <v>14</v>
      </c>
      <c r="D695" t="s">
        <v>1627</v>
      </c>
      <c r="E695" t="s">
        <v>1744</v>
      </c>
      <c r="F695">
        <v>1</v>
      </c>
      <c r="G695">
        <v>301.24</v>
      </c>
      <c r="H695">
        <v>0.11</v>
      </c>
      <c r="I695" t="s">
        <v>1809</v>
      </c>
      <c r="J695">
        <v>268.10359999999997</v>
      </c>
    </row>
    <row r="696" spans="1:10" x14ac:dyDescent="0.3">
      <c r="A696" t="s">
        <v>2503</v>
      </c>
      <c r="B696" s="1">
        <v>45497</v>
      </c>
      <c r="C696" t="s">
        <v>906</v>
      </c>
      <c r="D696" t="s">
        <v>1701</v>
      </c>
      <c r="E696" t="s">
        <v>1756</v>
      </c>
      <c r="F696">
        <v>2</v>
      </c>
      <c r="G696">
        <v>701.49</v>
      </c>
      <c r="H696">
        <v>0.09</v>
      </c>
      <c r="I696" t="s">
        <v>1809</v>
      </c>
      <c r="J696">
        <v>1276.7118</v>
      </c>
    </row>
    <row r="697" spans="1:10" x14ac:dyDescent="0.3">
      <c r="A697" t="s">
        <v>2504</v>
      </c>
      <c r="B697" s="1">
        <v>45615</v>
      </c>
      <c r="C697" t="s">
        <v>1089</v>
      </c>
      <c r="D697" t="s">
        <v>1583</v>
      </c>
      <c r="E697" t="s">
        <v>1772</v>
      </c>
      <c r="F697">
        <v>4</v>
      </c>
      <c r="G697">
        <v>413.48</v>
      </c>
      <c r="H697">
        <v>0.02</v>
      </c>
      <c r="I697" t="s">
        <v>1809</v>
      </c>
      <c r="J697">
        <v>1620.8416</v>
      </c>
    </row>
    <row r="698" spans="1:10" x14ac:dyDescent="0.3">
      <c r="A698" t="s">
        <v>2505</v>
      </c>
      <c r="B698" s="1">
        <v>45365</v>
      </c>
      <c r="C698" t="s">
        <v>640</v>
      </c>
      <c r="D698" t="s">
        <v>1545</v>
      </c>
      <c r="E698" t="s">
        <v>1740</v>
      </c>
      <c r="F698">
        <v>4</v>
      </c>
      <c r="G698">
        <v>167.83</v>
      </c>
      <c r="H698">
        <v>0.15</v>
      </c>
      <c r="I698" t="s">
        <v>1807</v>
      </c>
      <c r="J698">
        <v>570.62200000000007</v>
      </c>
    </row>
    <row r="699" spans="1:10" x14ac:dyDescent="0.3">
      <c r="A699" t="s">
        <v>2506</v>
      </c>
      <c r="B699" s="1">
        <v>45832</v>
      </c>
      <c r="C699" t="s">
        <v>467</v>
      </c>
      <c r="D699" t="s">
        <v>1561</v>
      </c>
      <c r="E699" t="s">
        <v>1793</v>
      </c>
      <c r="F699">
        <v>2</v>
      </c>
      <c r="G699">
        <v>669.12</v>
      </c>
      <c r="H699">
        <v>0.22</v>
      </c>
      <c r="I699" t="s">
        <v>1807</v>
      </c>
      <c r="J699">
        <v>1043.8271999999999</v>
      </c>
    </row>
    <row r="700" spans="1:10" x14ac:dyDescent="0.3">
      <c r="A700" t="s">
        <v>2507</v>
      </c>
      <c r="B700" s="1">
        <v>45530</v>
      </c>
      <c r="C700" t="s">
        <v>152</v>
      </c>
      <c r="D700" t="s">
        <v>1605</v>
      </c>
      <c r="E700" t="s">
        <v>1762</v>
      </c>
      <c r="F700">
        <v>3</v>
      </c>
      <c r="G700">
        <v>346.77</v>
      </c>
      <c r="H700">
        <v>0.18</v>
      </c>
      <c r="I700" t="s">
        <v>1809</v>
      </c>
      <c r="J700">
        <v>853.05420000000004</v>
      </c>
    </row>
    <row r="701" spans="1:10" x14ac:dyDescent="0.3">
      <c r="A701" t="s">
        <v>2508</v>
      </c>
      <c r="B701" s="1">
        <v>45939</v>
      </c>
      <c r="C701" t="s">
        <v>218</v>
      </c>
      <c r="D701" t="s">
        <v>1577</v>
      </c>
      <c r="E701" t="s">
        <v>1796</v>
      </c>
      <c r="F701">
        <v>3</v>
      </c>
      <c r="G701">
        <v>648.33000000000004</v>
      </c>
      <c r="H701">
        <v>0.2</v>
      </c>
      <c r="I701" t="s">
        <v>1812</v>
      </c>
      <c r="J701">
        <v>1555.992</v>
      </c>
    </row>
    <row r="702" spans="1:10" x14ac:dyDescent="0.3">
      <c r="A702" t="s">
        <v>2509</v>
      </c>
      <c r="B702" s="1">
        <v>45401</v>
      </c>
      <c r="C702" t="s">
        <v>897</v>
      </c>
      <c r="D702" t="s">
        <v>1540</v>
      </c>
      <c r="E702" t="s">
        <v>1744</v>
      </c>
      <c r="F702">
        <v>4</v>
      </c>
      <c r="G702">
        <v>254.94</v>
      </c>
      <c r="H702">
        <v>0.06</v>
      </c>
      <c r="I702" t="s">
        <v>1809</v>
      </c>
      <c r="J702">
        <v>958.57439999999997</v>
      </c>
    </row>
    <row r="703" spans="1:10" x14ac:dyDescent="0.3">
      <c r="A703" t="s">
        <v>2510</v>
      </c>
      <c r="B703" s="1">
        <v>45420</v>
      </c>
      <c r="C703" t="s">
        <v>1051</v>
      </c>
      <c r="D703" t="s">
        <v>1693</v>
      </c>
      <c r="E703" t="s">
        <v>1752</v>
      </c>
      <c r="F703">
        <v>1</v>
      </c>
      <c r="G703">
        <v>445.5</v>
      </c>
      <c r="H703">
        <v>0.28000000000000003</v>
      </c>
      <c r="I703" t="s">
        <v>1807</v>
      </c>
      <c r="J703">
        <v>320.76</v>
      </c>
    </row>
    <row r="704" spans="1:10" x14ac:dyDescent="0.3">
      <c r="A704" t="s">
        <v>2511</v>
      </c>
      <c r="B704" s="1">
        <v>45459</v>
      </c>
      <c r="C704" t="s">
        <v>710</v>
      </c>
      <c r="D704" t="s">
        <v>1711</v>
      </c>
      <c r="E704" t="s">
        <v>1752</v>
      </c>
      <c r="F704">
        <v>1</v>
      </c>
      <c r="G704">
        <v>900.94</v>
      </c>
      <c r="H704">
        <v>0.1</v>
      </c>
      <c r="I704" t="s">
        <v>1807</v>
      </c>
      <c r="J704">
        <v>810.84600000000012</v>
      </c>
    </row>
    <row r="705" spans="1:10" x14ac:dyDescent="0.3">
      <c r="A705" t="s">
        <v>2512</v>
      </c>
      <c r="B705" s="1">
        <v>45429</v>
      </c>
      <c r="C705" t="s">
        <v>637</v>
      </c>
      <c r="D705" t="s">
        <v>1561</v>
      </c>
      <c r="E705" t="s">
        <v>1787</v>
      </c>
      <c r="F705">
        <v>3</v>
      </c>
      <c r="G705">
        <v>262.69</v>
      </c>
      <c r="H705">
        <v>0.04</v>
      </c>
      <c r="I705" t="s">
        <v>1809</v>
      </c>
      <c r="J705">
        <v>756.54719999999986</v>
      </c>
    </row>
    <row r="706" spans="1:10" x14ac:dyDescent="0.3">
      <c r="A706" t="s">
        <v>2513</v>
      </c>
      <c r="B706" s="1">
        <v>45386</v>
      </c>
      <c r="C706" t="s">
        <v>1467</v>
      </c>
      <c r="D706" t="s">
        <v>1667</v>
      </c>
      <c r="E706" t="s">
        <v>1744</v>
      </c>
      <c r="F706">
        <v>3</v>
      </c>
      <c r="G706">
        <v>212.72</v>
      </c>
      <c r="H706">
        <v>0.22</v>
      </c>
      <c r="I706" t="s">
        <v>1809</v>
      </c>
      <c r="J706">
        <v>497.76479999999998</v>
      </c>
    </row>
    <row r="707" spans="1:10" x14ac:dyDescent="0.3">
      <c r="A707" t="s">
        <v>2514</v>
      </c>
      <c r="B707" s="1">
        <v>45803</v>
      </c>
      <c r="C707" t="s">
        <v>503</v>
      </c>
      <c r="D707" t="s">
        <v>1579</v>
      </c>
      <c r="E707" t="s">
        <v>1793</v>
      </c>
      <c r="F707">
        <v>4</v>
      </c>
      <c r="G707">
        <v>757.9</v>
      </c>
      <c r="H707">
        <v>0.22</v>
      </c>
      <c r="I707" t="s">
        <v>1809</v>
      </c>
      <c r="J707">
        <v>2364.6480000000001</v>
      </c>
    </row>
    <row r="708" spans="1:10" x14ac:dyDescent="0.3">
      <c r="A708" t="s">
        <v>2515</v>
      </c>
      <c r="B708" s="1">
        <v>45346</v>
      </c>
      <c r="C708" t="s">
        <v>78</v>
      </c>
      <c r="D708" t="s">
        <v>1691</v>
      </c>
      <c r="E708" t="s">
        <v>1790</v>
      </c>
      <c r="F708">
        <v>1</v>
      </c>
      <c r="G708">
        <v>846.04</v>
      </c>
      <c r="H708">
        <v>0.08</v>
      </c>
      <c r="I708" t="s">
        <v>1809</v>
      </c>
      <c r="J708">
        <v>778.35680000000002</v>
      </c>
    </row>
    <row r="709" spans="1:10" x14ac:dyDescent="0.3">
      <c r="A709" t="s">
        <v>2516</v>
      </c>
      <c r="B709" s="1">
        <v>45267</v>
      </c>
      <c r="C709" t="s">
        <v>527</v>
      </c>
      <c r="D709" t="s">
        <v>1607</v>
      </c>
      <c r="E709" t="s">
        <v>1762</v>
      </c>
      <c r="F709">
        <v>3</v>
      </c>
      <c r="G709">
        <v>179.7</v>
      </c>
      <c r="H709">
        <v>0.17</v>
      </c>
      <c r="I709" t="s">
        <v>1812</v>
      </c>
      <c r="J709">
        <v>447.45299999999992</v>
      </c>
    </row>
    <row r="710" spans="1:10" x14ac:dyDescent="0.3">
      <c r="A710" t="s">
        <v>2517</v>
      </c>
      <c r="B710" s="1">
        <v>45572</v>
      </c>
      <c r="C710" t="s">
        <v>1364</v>
      </c>
      <c r="D710" t="s">
        <v>1593</v>
      </c>
      <c r="E710" t="s">
        <v>1752</v>
      </c>
      <c r="F710">
        <v>4</v>
      </c>
      <c r="G710">
        <v>681.08</v>
      </c>
      <c r="H710">
        <v>0</v>
      </c>
      <c r="I710" t="s">
        <v>1809</v>
      </c>
      <c r="J710">
        <v>2724.32</v>
      </c>
    </row>
    <row r="711" spans="1:10" x14ac:dyDescent="0.3">
      <c r="A711" t="s">
        <v>2518</v>
      </c>
      <c r="B711" s="1">
        <v>45252</v>
      </c>
      <c r="C711" t="s">
        <v>1240</v>
      </c>
      <c r="D711" t="s">
        <v>1536</v>
      </c>
      <c r="E711" t="s">
        <v>1762</v>
      </c>
      <c r="F711">
        <v>4</v>
      </c>
      <c r="G711">
        <v>723.44</v>
      </c>
      <c r="H711">
        <v>0.14000000000000001</v>
      </c>
      <c r="I711" t="s">
        <v>1809</v>
      </c>
      <c r="J711">
        <v>2488.6336000000001</v>
      </c>
    </row>
    <row r="712" spans="1:10" x14ac:dyDescent="0.3">
      <c r="A712" t="s">
        <v>2519</v>
      </c>
      <c r="B712" s="1">
        <v>45939</v>
      </c>
      <c r="C712" t="s">
        <v>430</v>
      </c>
      <c r="D712" t="s">
        <v>1593</v>
      </c>
      <c r="E712" t="s">
        <v>1782</v>
      </c>
      <c r="F712">
        <v>4</v>
      </c>
      <c r="G712">
        <v>471.89</v>
      </c>
      <c r="H712">
        <v>0.12</v>
      </c>
      <c r="I712" t="s">
        <v>1812</v>
      </c>
      <c r="J712">
        <v>1661.0527999999999</v>
      </c>
    </row>
    <row r="713" spans="1:10" x14ac:dyDescent="0.3">
      <c r="A713" t="s">
        <v>2520</v>
      </c>
      <c r="B713" s="1">
        <v>45559</v>
      </c>
      <c r="C713" t="s">
        <v>1132</v>
      </c>
      <c r="D713" t="s">
        <v>1673</v>
      </c>
      <c r="E713" t="s">
        <v>1790</v>
      </c>
      <c r="F713">
        <v>1</v>
      </c>
      <c r="G713">
        <v>613.17999999999995</v>
      </c>
      <c r="H713">
        <v>0.14000000000000001</v>
      </c>
      <c r="I713" t="s">
        <v>1812</v>
      </c>
      <c r="J713">
        <v>527.33479999999997</v>
      </c>
    </row>
    <row r="714" spans="1:10" x14ac:dyDescent="0.3">
      <c r="A714" t="s">
        <v>2521</v>
      </c>
      <c r="B714" s="1">
        <v>45229</v>
      </c>
      <c r="C714" t="s">
        <v>192</v>
      </c>
      <c r="D714" t="s">
        <v>1617</v>
      </c>
      <c r="E714" t="s">
        <v>1752</v>
      </c>
      <c r="F714">
        <v>1</v>
      </c>
      <c r="G714">
        <v>651.30999999999995</v>
      </c>
      <c r="H714">
        <v>0.24</v>
      </c>
      <c r="I714" t="s">
        <v>1809</v>
      </c>
      <c r="J714">
        <v>494.99560000000002</v>
      </c>
    </row>
    <row r="715" spans="1:10" x14ac:dyDescent="0.3">
      <c r="A715" t="s">
        <v>2522</v>
      </c>
      <c r="B715" s="1">
        <v>45333</v>
      </c>
      <c r="C715" t="s">
        <v>103</v>
      </c>
      <c r="D715" t="s">
        <v>1534</v>
      </c>
      <c r="E715" t="s">
        <v>1759</v>
      </c>
      <c r="F715">
        <v>2</v>
      </c>
      <c r="G715">
        <v>635.14</v>
      </c>
      <c r="H715">
        <v>0.1</v>
      </c>
      <c r="I715" t="s">
        <v>1812</v>
      </c>
      <c r="J715">
        <v>1143.252</v>
      </c>
    </row>
    <row r="716" spans="1:10" x14ac:dyDescent="0.3">
      <c r="A716" t="s">
        <v>2523</v>
      </c>
      <c r="B716" s="1">
        <v>45752</v>
      </c>
      <c r="C716" t="s">
        <v>1174</v>
      </c>
      <c r="D716" t="s">
        <v>1727</v>
      </c>
      <c r="E716" t="s">
        <v>1782</v>
      </c>
      <c r="F716">
        <v>4</v>
      </c>
      <c r="G716">
        <v>912.61</v>
      </c>
      <c r="H716">
        <v>0.14000000000000001</v>
      </c>
      <c r="I716" t="s">
        <v>1807</v>
      </c>
      <c r="J716">
        <v>3139.3784000000001</v>
      </c>
    </row>
    <row r="717" spans="1:10" x14ac:dyDescent="0.3">
      <c r="A717" t="s">
        <v>2524</v>
      </c>
      <c r="B717" s="1">
        <v>45795</v>
      </c>
      <c r="C717" t="s">
        <v>864</v>
      </c>
      <c r="D717" t="s">
        <v>1625</v>
      </c>
      <c r="E717" t="s">
        <v>1762</v>
      </c>
      <c r="F717">
        <v>3</v>
      </c>
      <c r="G717">
        <v>79.77</v>
      </c>
      <c r="H717">
        <v>0.09</v>
      </c>
      <c r="I717" t="s">
        <v>1807</v>
      </c>
      <c r="J717">
        <v>217.77209999999999</v>
      </c>
    </row>
    <row r="718" spans="1:10" x14ac:dyDescent="0.3">
      <c r="A718" t="s">
        <v>2525</v>
      </c>
      <c r="B718" s="1">
        <v>45755</v>
      </c>
      <c r="C718" t="s">
        <v>873</v>
      </c>
      <c r="D718" t="s">
        <v>1719</v>
      </c>
      <c r="E718" t="s">
        <v>1784</v>
      </c>
      <c r="F718">
        <v>4</v>
      </c>
      <c r="G718">
        <v>603.52</v>
      </c>
      <c r="H718">
        <v>0.25</v>
      </c>
      <c r="I718" t="s">
        <v>1807</v>
      </c>
      <c r="J718">
        <v>1810.56</v>
      </c>
    </row>
    <row r="719" spans="1:10" x14ac:dyDescent="0.3">
      <c r="A719" t="s">
        <v>2526</v>
      </c>
      <c r="B719" s="1">
        <v>45625</v>
      </c>
      <c r="C719" t="s">
        <v>278</v>
      </c>
      <c r="D719" t="s">
        <v>1685</v>
      </c>
      <c r="E719" t="s">
        <v>1777</v>
      </c>
      <c r="F719">
        <v>4</v>
      </c>
      <c r="G719">
        <v>453.12</v>
      </c>
      <c r="H719">
        <v>0.23</v>
      </c>
      <c r="I719" t="s">
        <v>1812</v>
      </c>
      <c r="J719">
        <v>1395.6096</v>
      </c>
    </row>
    <row r="720" spans="1:10" x14ac:dyDescent="0.3">
      <c r="A720" t="s">
        <v>2527</v>
      </c>
      <c r="B720" s="1">
        <v>45656</v>
      </c>
      <c r="C720" t="s">
        <v>1510</v>
      </c>
      <c r="D720" t="s">
        <v>1597</v>
      </c>
      <c r="E720" t="s">
        <v>1769</v>
      </c>
      <c r="F720">
        <v>2</v>
      </c>
      <c r="G720">
        <v>974.35</v>
      </c>
      <c r="H720">
        <v>0.15</v>
      </c>
      <c r="I720" t="s">
        <v>1807</v>
      </c>
      <c r="J720">
        <v>1656.395</v>
      </c>
    </row>
    <row r="721" spans="1:10" x14ac:dyDescent="0.3">
      <c r="A721" t="s">
        <v>2528</v>
      </c>
      <c r="B721" s="1">
        <v>45824</v>
      </c>
      <c r="C721" t="s">
        <v>1450</v>
      </c>
      <c r="D721" t="s">
        <v>1721</v>
      </c>
      <c r="E721" t="s">
        <v>1790</v>
      </c>
      <c r="F721">
        <v>4</v>
      </c>
      <c r="G721">
        <v>52.35</v>
      </c>
      <c r="H721">
        <v>0.23</v>
      </c>
      <c r="I721" t="s">
        <v>1812</v>
      </c>
      <c r="J721">
        <v>161.238</v>
      </c>
    </row>
    <row r="722" spans="1:10" x14ac:dyDescent="0.3">
      <c r="A722" t="s">
        <v>2529</v>
      </c>
      <c r="B722" s="1">
        <v>45824</v>
      </c>
      <c r="C722" t="s">
        <v>1144</v>
      </c>
      <c r="D722" t="s">
        <v>1661</v>
      </c>
      <c r="E722" t="s">
        <v>1790</v>
      </c>
      <c r="F722">
        <v>3</v>
      </c>
      <c r="G722">
        <v>681.58</v>
      </c>
      <c r="H722">
        <v>0.23</v>
      </c>
      <c r="I722" t="s">
        <v>1807</v>
      </c>
      <c r="J722">
        <v>1574.4498000000001</v>
      </c>
    </row>
    <row r="723" spans="1:10" x14ac:dyDescent="0.3">
      <c r="A723" t="s">
        <v>2530</v>
      </c>
      <c r="B723" s="1">
        <v>45384</v>
      </c>
      <c r="C723" t="s">
        <v>579</v>
      </c>
      <c r="D723" t="s">
        <v>1697</v>
      </c>
      <c r="E723" t="s">
        <v>1784</v>
      </c>
      <c r="F723">
        <v>3</v>
      </c>
      <c r="G723">
        <v>71.23</v>
      </c>
      <c r="H723">
        <v>0.03</v>
      </c>
      <c r="I723" t="s">
        <v>1807</v>
      </c>
      <c r="J723">
        <v>207.27930000000001</v>
      </c>
    </row>
    <row r="724" spans="1:10" x14ac:dyDescent="0.3">
      <c r="A724" t="s">
        <v>2531</v>
      </c>
      <c r="B724" s="1">
        <v>45379</v>
      </c>
      <c r="C724" t="s">
        <v>767</v>
      </c>
      <c r="D724" t="s">
        <v>1561</v>
      </c>
      <c r="E724" t="s">
        <v>1782</v>
      </c>
      <c r="F724">
        <v>1</v>
      </c>
      <c r="G724">
        <v>31.36</v>
      </c>
      <c r="H724">
        <v>0.21</v>
      </c>
      <c r="I724" t="s">
        <v>1812</v>
      </c>
      <c r="J724">
        <v>24.7744</v>
      </c>
    </row>
    <row r="725" spans="1:10" x14ac:dyDescent="0.3">
      <c r="A725" t="s">
        <v>2532</v>
      </c>
      <c r="B725" s="1">
        <v>45674</v>
      </c>
      <c r="C725" t="s">
        <v>1060</v>
      </c>
      <c r="D725" t="s">
        <v>1613</v>
      </c>
      <c r="E725" t="s">
        <v>1780</v>
      </c>
      <c r="F725">
        <v>2</v>
      </c>
      <c r="G725">
        <v>555.54999999999995</v>
      </c>
      <c r="H725">
        <v>0.14000000000000001</v>
      </c>
      <c r="I725" t="s">
        <v>1807</v>
      </c>
      <c r="J725">
        <v>955.54599999999994</v>
      </c>
    </row>
    <row r="726" spans="1:10" x14ac:dyDescent="0.3">
      <c r="A726" t="s">
        <v>2533</v>
      </c>
      <c r="B726" s="1">
        <v>45760</v>
      </c>
      <c r="C726" t="s">
        <v>797</v>
      </c>
      <c r="D726" t="s">
        <v>1663</v>
      </c>
      <c r="E726" t="s">
        <v>1787</v>
      </c>
      <c r="F726">
        <v>4</v>
      </c>
      <c r="G726">
        <v>805.99</v>
      </c>
      <c r="H726">
        <v>0.06</v>
      </c>
      <c r="I726" t="s">
        <v>1807</v>
      </c>
      <c r="J726">
        <v>3030.5223999999998</v>
      </c>
    </row>
    <row r="727" spans="1:10" x14ac:dyDescent="0.3">
      <c r="A727" t="s">
        <v>2534</v>
      </c>
      <c r="B727" s="1">
        <v>45474</v>
      </c>
      <c r="C727" t="s">
        <v>1198</v>
      </c>
      <c r="D727" t="s">
        <v>1673</v>
      </c>
      <c r="E727" t="s">
        <v>1740</v>
      </c>
      <c r="F727">
        <v>1</v>
      </c>
      <c r="G727">
        <v>506.55</v>
      </c>
      <c r="H727">
        <v>0.28000000000000003</v>
      </c>
      <c r="I727" t="s">
        <v>1807</v>
      </c>
      <c r="J727">
        <v>364.71600000000001</v>
      </c>
    </row>
    <row r="728" spans="1:10" x14ac:dyDescent="0.3">
      <c r="A728" t="s">
        <v>2535</v>
      </c>
      <c r="B728" s="1">
        <v>45640</v>
      </c>
      <c r="C728" t="s">
        <v>442</v>
      </c>
      <c r="D728" t="s">
        <v>1613</v>
      </c>
      <c r="E728" t="s">
        <v>1775</v>
      </c>
      <c r="F728">
        <v>3</v>
      </c>
      <c r="G728">
        <v>28.69</v>
      </c>
      <c r="H728">
        <v>0.02</v>
      </c>
      <c r="I728" t="s">
        <v>1807</v>
      </c>
      <c r="J728">
        <v>84.348600000000005</v>
      </c>
    </row>
    <row r="729" spans="1:10" x14ac:dyDescent="0.3">
      <c r="A729" t="s">
        <v>2536</v>
      </c>
      <c r="B729" s="1">
        <v>45253</v>
      </c>
      <c r="C729" t="s">
        <v>1195</v>
      </c>
      <c r="D729" t="s">
        <v>1683</v>
      </c>
      <c r="E729" t="s">
        <v>1752</v>
      </c>
      <c r="F729">
        <v>1</v>
      </c>
      <c r="G729">
        <v>106.07</v>
      </c>
      <c r="H729">
        <v>0.23</v>
      </c>
      <c r="I729" t="s">
        <v>1812</v>
      </c>
      <c r="J729">
        <v>81.673900000000003</v>
      </c>
    </row>
    <row r="730" spans="1:10" x14ac:dyDescent="0.3">
      <c r="A730" t="s">
        <v>2537</v>
      </c>
      <c r="B730" s="1">
        <v>45225</v>
      </c>
      <c r="C730" t="s">
        <v>823</v>
      </c>
      <c r="D730" t="s">
        <v>1713</v>
      </c>
      <c r="E730" t="s">
        <v>1735</v>
      </c>
      <c r="F730">
        <v>4</v>
      </c>
      <c r="G730">
        <v>289.77</v>
      </c>
      <c r="H730">
        <v>0.06</v>
      </c>
      <c r="I730" t="s">
        <v>1809</v>
      </c>
      <c r="J730">
        <v>1089.5352</v>
      </c>
    </row>
    <row r="731" spans="1:10" x14ac:dyDescent="0.3">
      <c r="A731" t="s">
        <v>2538</v>
      </c>
      <c r="B731" s="1">
        <v>45263</v>
      </c>
      <c r="C731" t="s">
        <v>518</v>
      </c>
      <c r="D731" t="s">
        <v>1697</v>
      </c>
      <c r="E731" t="s">
        <v>1793</v>
      </c>
      <c r="F731">
        <v>2</v>
      </c>
      <c r="G731">
        <v>354.26</v>
      </c>
      <c r="H731">
        <v>0.01</v>
      </c>
      <c r="I731" t="s">
        <v>1812</v>
      </c>
      <c r="J731">
        <v>701.4348</v>
      </c>
    </row>
    <row r="732" spans="1:10" x14ac:dyDescent="0.3">
      <c r="A732" t="s">
        <v>2539</v>
      </c>
      <c r="B732" s="1">
        <v>45554</v>
      </c>
      <c r="C732" t="s">
        <v>1189</v>
      </c>
      <c r="D732" t="s">
        <v>1667</v>
      </c>
      <c r="E732" t="s">
        <v>1782</v>
      </c>
      <c r="F732">
        <v>1</v>
      </c>
      <c r="G732">
        <v>522.72</v>
      </c>
      <c r="H732">
        <v>0.25</v>
      </c>
      <c r="I732" t="s">
        <v>1809</v>
      </c>
      <c r="J732">
        <v>392.04</v>
      </c>
    </row>
    <row r="733" spans="1:10" x14ac:dyDescent="0.3">
      <c r="A733" t="s">
        <v>2540</v>
      </c>
      <c r="B733" s="1">
        <v>45569</v>
      </c>
      <c r="C733" t="s">
        <v>211</v>
      </c>
      <c r="D733" t="s">
        <v>1538</v>
      </c>
      <c r="E733" t="s">
        <v>1769</v>
      </c>
      <c r="F733">
        <v>3</v>
      </c>
      <c r="G733">
        <v>966.02</v>
      </c>
      <c r="H733">
        <v>0.03</v>
      </c>
      <c r="I733" t="s">
        <v>1812</v>
      </c>
      <c r="J733">
        <v>2811.1181999999999</v>
      </c>
    </row>
    <row r="734" spans="1:10" x14ac:dyDescent="0.3">
      <c r="A734" t="s">
        <v>2541</v>
      </c>
      <c r="B734" s="1">
        <v>45217</v>
      </c>
      <c r="C734" t="s">
        <v>718</v>
      </c>
      <c r="D734" t="s">
        <v>1631</v>
      </c>
      <c r="E734" t="s">
        <v>1790</v>
      </c>
      <c r="F734">
        <v>1</v>
      </c>
      <c r="G734">
        <v>498.61</v>
      </c>
      <c r="H734">
        <v>0.04</v>
      </c>
      <c r="I734" t="s">
        <v>1809</v>
      </c>
      <c r="J734">
        <v>478.66559999999998</v>
      </c>
    </row>
    <row r="735" spans="1:10" x14ac:dyDescent="0.3">
      <c r="A735" t="s">
        <v>2542</v>
      </c>
      <c r="B735" s="1">
        <v>45783</v>
      </c>
      <c r="C735" t="s">
        <v>1027</v>
      </c>
      <c r="D735" t="s">
        <v>1615</v>
      </c>
      <c r="E735" t="s">
        <v>1759</v>
      </c>
      <c r="F735">
        <v>4</v>
      </c>
      <c r="G735">
        <v>758.27</v>
      </c>
      <c r="H735">
        <v>0.05</v>
      </c>
      <c r="I735" t="s">
        <v>1809</v>
      </c>
      <c r="J735">
        <v>2881.4259999999999</v>
      </c>
    </row>
    <row r="736" spans="1:10" x14ac:dyDescent="0.3">
      <c r="A736" t="s">
        <v>2543</v>
      </c>
      <c r="B736" s="1">
        <v>45371</v>
      </c>
      <c r="C736" t="s">
        <v>642</v>
      </c>
      <c r="D736" t="s">
        <v>1534</v>
      </c>
      <c r="E736" t="s">
        <v>1744</v>
      </c>
      <c r="F736">
        <v>2</v>
      </c>
      <c r="G736">
        <v>371.03</v>
      </c>
      <c r="H736">
        <v>0.23</v>
      </c>
      <c r="I736" t="s">
        <v>1809</v>
      </c>
      <c r="J736">
        <v>571.38619999999992</v>
      </c>
    </row>
    <row r="737" spans="1:10" x14ac:dyDescent="0.3">
      <c r="A737" t="s">
        <v>2544</v>
      </c>
      <c r="B737" s="1">
        <v>45453</v>
      </c>
      <c r="C737" t="s">
        <v>1100</v>
      </c>
      <c r="D737" t="s">
        <v>1713</v>
      </c>
      <c r="E737" t="s">
        <v>1790</v>
      </c>
      <c r="F737">
        <v>1</v>
      </c>
      <c r="G737">
        <v>230.32</v>
      </c>
      <c r="H737">
        <v>0.05</v>
      </c>
      <c r="I737" t="s">
        <v>1812</v>
      </c>
      <c r="J737">
        <v>218.804</v>
      </c>
    </row>
    <row r="738" spans="1:10" x14ac:dyDescent="0.3">
      <c r="A738" t="s">
        <v>2545</v>
      </c>
      <c r="B738" s="1">
        <v>45526</v>
      </c>
      <c r="C738" t="s">
        <v>1063</v>
      </c>
      <c r="D738" t="s">
        <v>1653</v>
      </c>
      <c r="E738" t="s">
        <v>1759</v>
      </c>
      <c r="F738">
        <v>2</v>
      </c>
      <c r="G738">
        <v>985.43</v>
      </c>
      <c r="H738">
        <v>0.28000000000000003</v>
      </c>
      <c r="I738" t="s">
        <v>1812</v>
      </c>
      <c r="J738">
        <v>1419.0192</v>
      </c>
    </row>
    <row r="739" spans="1:10" x14ac:dyDescent="0.3">
      <c r="A739" t="s">
        <v>2546</v>
      </c>
      <c r="B739" s="1">
        <v>45756</v>
      </c>
      <c r="C739" t="s">
        <v>1295</v>
      </c>
      <c r="D739" t="s">
        <v>1548</v>
      </c>
      <c r="E739" t="s">
        <v>1752</v>
      </c>
      <c r="F739">
        <v>2</v>
      </c>
      <c r="G739">
        <v>492.5</v>
      </c>
      <c r="H739">
        <v>0.3</v>
      </c>
      <c r="I739" t="s">
        <v>1809</v>
      </c>
      <c r="J739">
        <v>689.5</v>
      </c>
    </row>
    <row r="740" spans="1:10" x14ac:dyDescent="0.3">
      <c r="A740" t="s">
        <v>2547</v>
      </c>
      <c r="B740" s="1">
        <v>45657</v>
      </c>
      <c r="C740" t="s">
        <v>1126</v>
      </c>
      <c r="D740" t="s">
        <v>1623</v>
      </c>
      <c r="E740" t="s">
        <v>1775</v>
      </c>
      <c r="F740">
        <v>2</v>
      </c>
      <c r="G740">
        <v>213.69</v>
      </c>
      <c r="H740">
        <v>0.28000000000000003</v>
      </c>
      <c r="I740" t="s">
        <v>1809</v>
      </c>
      <c r="J740">
        <v>307.71359999999999</v>
      </c>
    </row>
    <row r="741" spans="1:10" x14ac:dyDescent="0.3">
      <c r="A741" t="s">
        <v>2548</v>
      </c>
      <c r="B741" s="1">
        <v>45716</v>
      </c>
      <c r="C741" t="s">
        <v>238</v>
      </c>
      <c r="D741" t="s">
        <v>1571</v>
      </c>
      <c r="E741" t="s">
        <v>1765</v>
      </c>
      <c r="F741">
        <v>4</v>
      </c>
      <c r="G741">
        <v>618.83000000000004</v>
      </c>
      <c r="H741">
        <v>0.08</v>
      </c>
      <c r="I741" t="s">
        <v>1809</v>
      </c>
      <c r="J741">
        <v>2277.2944000000002</v>
      </c>
    </row>
    <row r="742" spans="1:10" x14ac:dyDescent="0.3">
      <c r="A742" t="s">
        <v>2549</v>
      </c>
      <c r="B742" s="1">
        <v>45313</v>
      </c>
      <c r="C742" t="s">
        <v>330</v>
      </c>
      <c r="D742" t="s">
        <v>1649</v>
      </c>
      <c r="E742" t="s">
        <v>1775</v>
      </c>
      <c r="F742">
        <v>2</v>
      </c>
      <c r="G742">
        <v>81.16</v>
      </c>
      <c r="H742">
        <v>0.16</v>
      </c>
      <c r="I742" t="s">
        <v>1809</v>
      </c>
      <c r="J742">
        <v>136.34880000000001</v>
      </c>
    </row>
    <row r="743" spans="1:10" x14ac:dyDescent="0.3">
      <c r="A743" t="s">
        <v>2550</v>
      </c>
      <c r="B743" s="1">
        <v>45372</v>
      </c>
      <c r="C743" t="s">
        <v>20</v>
      </c>
      <c r="D743" t="s">
        <v>1703</v>
      </c>
      <c r="E743" t="s">
        <v>1769</v>
      </c>
      <c r="F743">
        <v>1</v>
      </c>
      <c r="G743">
        <v>431.69</v>
      </c>
      <c r="H743">
        <v>0.09</v>
      </c>
      <c r="I743" t="s">
        <v>1807</v>
      </c>
      <c r="J743">
        <v>392.83789999999999</v>
      </c>
    </row>
    <row r="744" spans="1:10" x14ac:dyDescent="0.3">
      <c r="A744" t="s">
        <v>2551</v>
      </c>
      <c r="B744" s="1">
        <v>45648</v>
      </c>
      <c r="C744" t="s">
        <v>1246</v>
      </c>
      <c r="D744" t="s">
        <v>1567</v>
      </c>
      <c r="E744" t="s">
        <v>1756</v>
      </c>
      <c r="F744">
        <v>3</v>
      </c>
      <c r="G744">
        <v>438.65</v>
      </c>
      <c r="H744">
        <v>0.28999999999999998</v>
      </c>
      <c r="I744" t="s">
        <v>1809</v>
      </c>
      <c r="J744">
        <v>934.32449999999983</v>
      </c>
    </row>
    <row r="745" spans="1:10" x14ac:dyDescent="0.3">
      <c r="A745" t="s">
        <v>2552</v>
      </c>
      <c r="B745" s="1">
        <v>45384</v>
      </c>
      <c r="C745" t="s">
        <v>565</v>
      </c>
      <c r="D745" t="s">
        <v>1689</v>
      </c>
      <c r="E745" t="s">
        <v>1749</v>
      </c>
      <c r="F745">
        <v>3</v>
      </c>
      <c r="G745">
        <v>339.41</v>
      </c>
      <c r="H745">
        <v>0.26</v>
      </c>
      <c r="I745" t="s">
        <v>1807</v>
      </c>
      <c r="J745">
        <v>753.49019999999996</v>
      </c>
    </row>
    <row r="746" spans="1:10" x14ac:dyDescent="0.3">
      <c r="A746" t="s">
        <v>2553</v>
      </c>
      <c r="B746" s="1">
        <v>45687</v>
      </c>
      <c r="C746" t="s">
        <v>1433</v>
      </c>
      <c r="D746" t="s">
        <v>1689</v>
      </c>
      <c r="E746" t="s">
        <v>1769</v>
      </c>
      <c r="F746">
        <v>4</v>
      </c>
      <c r="G746">
        <v>848.47</v>
      </c>
      <c r="H746">
        <v>0.21</v>
      </c>
      <c r="I746" t="s">
        <v>1812</v>
      </c>
      <c r="J746">
        <v>2681.1651999999999</v>
      </c>
    </row>
    <row r="747" spans="1:10" x14ac:dyDescent="0.3">
      <c r="A747" t="s">
        <v>2554</v>
      </c>
      <c r="B747" s="1">
        <v>45747</v>
      </c>
      <c r="C747" t="s">
        <v>625</v>
      </c>
      <c r="D747" t="s">
        <v>1665</v>
      </c>
      <c r="E747" t="s">
        <v>1765</v>
      </c>
      <c r="F747">
        <v>1</v>
      </c>
      <c r="G747">
        <v>664.87</v>
      </c>
      <c r="H747">
        <v>0.08</v>
      </c>
      <c r="I747" t="s">
        <v>1809</v>
      </c>
      <c r="J747">
        <v>611.68040000000008</v>
      </c>
    </row>
    <row r="748" spans="1:10" x14ac:dyDescent="0.3">
      <c r="A748" t="s">
        <v>2555</v>
      </c>
      <c r="B748" s="1">
        <v>45687</v>
      </c>
      <c r="C748" t="s">
        <v>348</v>
      </c>
      <c r="D748" t="s">
        <v>1579</v>
      </c>
      <c r="E748" t="s">
        <v>1762</v>
      </c>
      <c r="F748">
        <v>1</v>
      </c>
      <c r="G748">
        <v>412.11</v>
      </c>
      <c r="H748">
        <v>0.23</v>
      </c>
      <c r="I748" t="s">
        <v>1809</v>
      </c>
      <c r="J748">
        <v>317.32470000000001</v>
      </c>
    </row>
    <row r="749" spans="1:10" x14ac:dyDescent="0.3">
      <c r="A749" t="s">
        <v>2556</v>
      </c>
      <c r="B749" s="1">
        <v>45916</v>
      </c>
      <c r="C749" t="s">
        <v>417</v>
      </c>
      <c r="D749" t="s">
        <v>1719</v>
      </c>
      <c r="E749" t="s">
        <v>1740</v>
      </c>
      <c r="F749">
        <v>1</v>
      </c>
      <c r="G749">
        <v>126.09</v>
      </c>
      <c r="H749">
        <v>0.05</v>
      </c>
      <c r="I749" t="s">
        <v>1812</v>
      </c>
      <c r="J749">
        <v>119.7855</v>
      </c>
    </row>
    <row r="750" spans="1:10" x14ac:dyDescent="0.3">
      <c r="A750" t="s">
        <v>2557</v>
      </c>
      <c r="B750" s="1">
        <v>45917</v>
      </c>
      <c r="C750" t="s">
        <v>642</v>
      </c>
      <c r="D750" t="s">
        <v>1665</v>
      </c>
      <c r="E750" t="s">
        <v>1772</v>
      </c>
      <c r="F750">
        <v>4</v>
      </c>
      <c r="G750">
        <v>602.39</v>
      </c>
      <c r="H750">
        <v>0.19</v>
      </c>
      <c r="I750" t="s">
        <v>1812</v>
      </c>
      <c r="J750">
        <v>1951.7436</v>
      </c>
    </row>
    <row r="751" spans="1:10" x14ac:dyDescent="0.3">
      <c r="A751" t="s">
        <v>2558</v>
      </c>
      <c r="B751" s="1">
        <v>45941</v>
      </c>
      <c r="C751" t="s">
        <v>1012</v>
      </c>
      <c r="D751" t="s">
        <v>1695</v>
      </c>
      <c r="E751" t="s">
        <v>1749</v>
      </c>
      <c r="F751">
        <v>3</v>
      </c>
      <c r="G751">
        <v>447.69</v>
      </c>
      <c r="H751">
        <v>0.02</v>
      </c>
      <c r="I751" t="s">
        <v>1812</v>
      </c>
      <c r="J751">
        <v>1316.2085999999999</v>
      </c>
    </row>
    <row r="752" spans="1:10" x14ac:dyDescent="0.3">
      <c r="A752" t="s">
        <v>2559</v>
      </c>
      <c r="B752" s="1">
        <v>45778</v>
      </c>
      <c r="C752" t="s">
        <v>788</v>
      </c>
      <c r="D752" t="s">
        <v>1599</v>
      </c>
      <c r="E752" t="s">
        <v>1749</v>
      </c>
      <c r="F752">
        <v>3</v>
      </c>
      <c r="G752">
        <v>35.159999999999997</v>
      </c>
      <c r="H752">
        <v>0.04</v>
      </c>
      <c r="I752" t="s">
        <v>1812</v>
      </c>
      <c r="J752">
        <v>101.2608</v>
      </c>
    </row>
    <row r="753" spans="1:10" x14ac:dyDescent="0.3">
      <c r="A753" t="s">
        <v>2560</v>
      </c>
      <c r="B753" s="1">
        <v>45740</v>
      </c>
      <c r="C753" t="s">
        <v>1027</v>
      </c>
      <c r="D753" t="s">
        <v>1675</v>
      </c>
      <c r="E753" t="s">
        <v>1775</v>
      </c>
      <c r="F753">
        <v>2</v>
      </c>
      <c r="G753">
        <v>838.59</v>
      </c>
      <c r="H753">
        <v>0.18</v>
      </c>
      <c r="I753" t="s">
        <v>1812</v>
      </c>
      <c r="J753">
        <v>1375.2876000000001</v>
      </c>
    </row>
    <row r="754" spans="1:10" x14ac:dyDescent="0.3">
      <c r="A754" t="s">
        <v>2561</v>
      </c>
      <c r="B754" s="1">
        <v>45598</v>
      </c>
      <c r="C754" t="s">
        <v>316</v>
      </c>
      <c r="D754" t="s">
        <v>1649</v>
      </c>
      <c r="E754" t="s">
        <v>1759</v>
      </c>
      <c r="F754">
        <v>4</v>
      </c>
      <c r="G754">
        <v>867.94</v>
      </c>
      <c r="H754">
        <v>0.26</v>
      </c>
      <c r="I754" t="s">
        <v>1809</v>
      </c>
      <c r="J754">
        <v>2569.1024000000002</v>
      </c>
    </row>
    <row r="755" spans="1:10" x14ac:dyDescent="0.3">
      <c r="A755" t="s">
        <v>2562</v>
      </c>
      <c r="B755" s="1">
        <v>45591</v>
      </c>
      <c r="C755" t="s">
        <v>637</v>
      </c>
      <c r="D755" t="s">
        <v>1609</v>
      </c>
      <c r="E755" t="s">
        <v>1790</v>
      </c>
      <c r="F755">
        <v>1</v>
      </c>
      <c r="G755">
        <v>623.88</v>
      </c>
      <c r="H755">
        <v>0.25</v>
      </c>
      <c r="I755" t="s">
        <v>1807</v>
      </c>
      <c r="J755">
        <v>467.91</v>
      </c>
    </row>
    <row r="756" spans="1:10" x14ac:dyDescent="0.3">
      <c r="A756" t="s">
        <v>2563</v>
      </c>
      <c r="B756" s="1">
        <v>45546</v>
      </c>
      <c r="C756" t="s">
        <v>579</v>
      </c>
      <c r="D756" t="s">
        <v>1615</v>
      </c>
      <c r="E756" t="s">
        <v>1782</v>
      </c>
      <c r="F756">
        <v>2</v>
      </c>
      <c r="G756">
        <v>567.95000000000005</v>
      </c>
      <c r="H756">
        <v>0.12</v>
      </c>
      <c r="I756" t="s">
        <v>1809</v>
      </c>
      <c r="J756">
        <v>999.5920000000001</v>
      </c>
    </row>
    <row r="757" spans="1:10" x14ac:dyDescent="0.3">
      <c r="A757" t="s">
        <v>2564</v>
      </c>
      <c r="B757" s="1">
        <v>45483</v>
      </c>
      <c r="C757" t="s">
        <v>1007</v>
      </c>
      <c r="D757" t="s">
        <v>1593</v>
      </c>
      <c r="E757" t="s">
        <v>1793</v>
      </c>
      <c r="F757">
        <v>2</v>
      </c>
      <c r="G757">
        <v>671.69</v>
      </c>
      <c r="H757">
        <v>0.19</v>
      </c>
      <c r="I757" t="s">
        <v>1807</v>
      </c>
      <c r="J757">
        <v>1088.1378</v>
      </c>
    </row>
    <row r="758" spans="1:10" x14ac:dyDescent="0.3">
      <c r="A758" t="s">
        <v>2565</v>
      </c>
      <c r="B758" s="1">
        <v>45786</v>
      </c>
      <c r="C758" t="s">
        <v>666</v>
      </c>
      <c r="D758" t="s">
        <v>1540</v>
      </c>
      <c r="E758" t="s">
        <v>1762</v>
      </c>
      <c r="F758">
        <v>2</v>
      </c>
      <c r="G758">
        <v>257.95999999999998</v>
      </c>
      <c r="H758">
        <v>0.21</v>
      </c>
      <c r="I758" t="s">
        <v>1809</v>
      </c>
      <c r="J758">
        <v>407.57679999999999</v>
      </c>
    </row>
    <row r="759" spans="1:10" x14ac:dyDescent="0.3">
      <c r="A759" t="s">
        <v>2566</v>
      </c>
      <c r="B759" s="1">
        <v>45475</v>
      </c>
      <c r="C759" t="s">
        <v>660</v>
      </c>
      <c r="D759" t="s">
        <v>1727</v>
      </c>
      <c r="E759" t="s">
        <v>1796</v>
      </c>
      <c r="F759">
        <v>4</v>
      </c>
      <c r="G759">
        <v>281.48</v>
      </c>
      <c r="H759">
        <v>0.27</v>
      </c>
      <c r="I759" t="s">
        <v>1809</v>
      </c>
      <c r="J759">
        <v>821.92160000000001</v>
      </c>
    </row>
    <row r="760" spans="1:10" x14ac:dyDescent="0.3">
      <c r="A760" t="s">
        <v>2567</v>
      </c>
      <c r="B760" s="1">
        <v>45470</v>
      </c>
      <c r="C760" t="s">
        <v>986</v>
      </c>
      <c r="D760" t="s">
        <v>1571</v>
      </c>
      <c r="E760" t="s">
        <v>1775</v>
      </c>
      <c r="F760">
        <v>1</v>
      </c>
      <c r="G760">
        <v>202.13</v>
      </c>
      <c r="H760">
        <v>0.13</v>
      </c>
      <c r="I760" t="s">
        <v>1812</v>
      </c>
      <c r="J760">
        <v>175.85310000000001</v>
      </c>
    </row>
    <row r="761" spans="1:10" x14ac:dyDescent="0.3">
      <c r="A761" t="s">
        <v>2568</v>
      </c>
      <c r="B761" s="1">
        <v>45243</v>
      </c>
      <c r="C761" t="s">
        <v>856</v>
      </c>
      <c r="D761" t="s">
        <v>1679</v>
      </c>
      <c r="E761" t="s">
        <v>1756</v>
      </c>
      <c r="F761">
        <v>1</v>
      </c>
      <c r="G761">
        <v>370.66</v>
      </c>
      <c r="H761">
        <v>0.01</v>
      </c>
      <c r="I761" t="s">
        <v>1809</v>
      </c>
      <c r="J761">
        <v>366.95339999999999</v>
      </c>
    </row>
    <row r="762" spans="1:10" x14ac:dyDescent="0.3">
      <c r="A762" t="s">
        <v>2569</v>
      </c>
      <c r="B762" s="1">
        <v>45341</v>
      </c>
      <c r="C762" t="s">
        <v>32</v>
      </c>
      <c r="D762" t="s">
        <v>1653</v>
      </c>
      <c r="E762" t="s">
        <v>1777</v>
      </c>
      <c r="F762">
        <v>4</v>
      </c>
      <c r="G762">
        <v>731.53</v>
      </c>
      <c r="H762">
        <v>0.12</v>
      </c>
      <c r="I762" t="s">
        <v>1807</v>
      </c>
      <c r="J762">
        <v>2574.9856</v>
      </c>
    </row>
    <row r="763" spans="1:10" x14ac:dyDescent="0.3">
      <c r="A763" t="s">
        <v>2570</v>
      </c>
      <c r="B763" s="1">
        <v>45371</v>
      </c>
      <c r="C763" t="s">
        <v>545</v>
      </c>
      <c r="D763" t="s">
        <v>1687</v>
      </c>
      <c r="E763" t="s">
        <v>1740</v>
      </c>
      <c r="F763">
        <v>3</v>
      </c>
      <c r="G763">
        <v>468.25</v>
      </c>
      <c r="H763">
        <v>7.0000000000000007E-2</v>
      </c>
      <c r="I763" t="s">
        <v>1809</v>
      </c>
      <c r="J763">
        <v>1306.4175</v>
      </c>
    </row>
    <row r="764" spans="1:10" x14ac:dyDescent="0.3">
      <c r="A764" t="s">
        <v>2571</v>
      </c>
      <c r="B764" s="1">
        <v>45360</v>
      </c>
      <c r="C764" t="s">
        <v>14</v>
      </c>
      <c r="D764" t="s">
        <v>1665</v>
      </c>
      <c r="E764" t="s">
        <v>1735</v>
      </c>
      <c r="F764">
        <v>1</v>
      </c>
      <c r="G764">
        <v>928.72</v>
      </c>
      <c r="H764">
        <v>0.1</v>
      </c>
      <c r="I764" t="s">
        <v>1812</v>
      </c>
      <c r="J764">
        <v>835.84800000000007</v>
      </c>
    </row>
    <row r="765" spans="1:10" x14ac:dyDescent="0.3">
      <c r="A765" t="s">
        <v>2572</v>
      </c>
      <c r="B765" s="1">
        <v>45499</v>
      </c>
      <c r="C765" t="s">
        <v>355</v>
      </c>
      <c r="D765" t="s">
        <v>1536</v>
      </c>
      <c r="E765" t="s">
        <v>1793</v>
      </c>
      <c r="F765">
        <v>3</v>
      </c>
      <c r="G765">
        <v>217.22</v>
      </c>
      <c r="H765">
        <v>0.06</v>
      </c>
      <c r="I765" t="s">
        <v>1809</v>
      </c>
      <c r="J765">
        <v>612.56039999999996</v>
      </c>
    </row>
    <row r="766" spans="1:10" x14ac:dyDescent="0.3">
      <c r="A766" t="s">
        <v>2573</v>
      </c>
      <c r="B766" s="1">
        <v>45745</v>
      </c>
      <c r="C766" t="s">
        <v>1246</v>
      </c>
      <c r="D766" t="s">
        <v>1579</v>
      </c>
      <c r="E766" t="s">
        <v>1749</v>
      </c>
      <c r="F766">
        <v>1</v>
      </c>
      <c r="G766">
        <v>387.99</v>
      </c>
      <c r="H766">
        <v>0.3</v>
      </c>
      <c r="I766" t="s">
        <v>1807</v>
      </c>
      <c r="J766">
        <v>271.59300000000002</v>
      </c>
    </row>
    <row r="767" spans="1:10" x14ac:dyDescent="0.3">
      <c r="A767" t="s">
        <v>2574</v>
      </c>
      <c r="B767" s="1">
        <v>45718</v>
      </c>
      <c r="C767" t="s">
        <v>1450</v>
      </c>
      <c r="D767" t="s">
        <v>1567</v>
      </c>
      <c r="E767" t="s">
        <v>1759</v>
      </c>
      <c r="F767">
        <v>4</v>
      </c>
      <c r="G767">
        <v>186.24</v>
      </c>
      <c r="H767">
        <v>0.23</v>
      </c>
      <c r="I767" t="s">
        <v>1807</v>
      </c>
      <c r="J767">
        <v>573.61920000000009</v>
      </c>
    </row>
    <row r="768" spans="1:10" x14ac:dyDescent="0.3">
      <c r="A768" t="s">
        <v>2575</v>
      </c>
      <c r="B768" s="1">
        <v>45454</v>
      </c>
      <c r="C768" t="s">
        <v>928</v>
      </c>
      <c r="D768" t="s">
        <v>1611</v>
      </c>
      <c r="E768" t="s">
        <v>1765</v>
      </c>
      <c r="F768">
        <v>4</v>
      </c>
      <c r="G768">
        <v>609.05999999999995</v>
      </c>
      <c r="H768">
        <v>0.22</v>
      </c>
      <c r="I768" t="s">
        <v>1812</v>
      </c>
      <c r="J768">
        <v>1900.2672</v>
      </c>
    </row>
    <row r="769" spans="1:10" x14ac:dyDescent="0.3">
      <c r="A769" t="s">
        <v>2576</v>
      </c>
      <c r="B769" s="1">
        <v>45434</v>
      </c>
      <c r="C769" t="s">
        <v>1339</v>
      </c>
      <c r="D769" t="s">
        <v>1597</v>
      </c>
      <c r="E769" t="s">
        <v>1775</v>
      </c>
      <c r="F769">
        <v>1</v>
      </c>
      <c r="G769">
        <v>827.91</v>
      </c>
      <c r="H769">
        <v>0.21</v>
      </c>
      <c r="I769" t="s">
        <v>1809</v>
      </c>
      <c r="J769">
        <v>654.0489</v>
      </c>
    </row>
    <row r="770" spans="1:10" x14ac:dyDescent="0.3">
      <c r="A770" t="s">
        <v>2577</v>
      </c>
      <c r="B770" s="1">
        <v>45486</v>
      </c>
      <c r="C770" t="s">
        <v>576</v>
      </c>
      <c r="D770" t="s">
        <v>1697</v>
      </c>
      <c r="E770" t="s">
        <v>1735</v>
      </c>
      <c r="F770">
        <v>1</v>
      </c>
      <c r="G770">
        <v>303.79000000000002</v>
      </c>
      <c r="H770">
        <v>0.24</v>
      </c>
      <c r="I770" t="s">
        <v>1809</v>
      </c>
      <c r="J770">
        <v>230.88040000000001</v>
      </c>
    </row>
    <row r="771" spans="1:10" x14ac:dyDescent="0.3">
      <c r="A771" t="s">
        <v>2578</v>
      </c>
      <c r="B771" s="1">
        <v>45902</v>
      </c>
      <c r="C771" t="s">
        <v>364</v>
      </c>
      <c r="D771" t="s">
        <v>1605</v>
      </c>
      <c r="E771" t="s">
        <v>1759</v>
      </c>
      <c r="F771">
        <v>2</v>
      </c>
      <c r="G771">
        <v>365.91</v>
      </c>
      <c r="H771">
        <v>0.14000000000000001</v>
      </c>
      <c r="I771" t="s">
        <v>1812</v>
      </c>
      <c r="J771">
        <v>629.36520000000007</v>
      </c>
    </row>
    <row r="772" spans="1:10" x14ac:dyDescent="0.3">
      <c r="A772" t="s">
        <v>2579</v>
      </c>
      <c r="B772" s="1">
        <v>45762</v>
      </c>
      <c r="C772" t="s">
        <v>252</v>
      </c>
      <c r="D772" t="s">
        <v>1581</v>
      </c>
      <c r="E772" t="s">
        <v>1790</v>
      </c>
      <c r="F772">
        <v>3</v>
      </c>
      <c r="G772">
        <v>852.72</v>
      </c>
      <c r="H772">
        <v>0.16</v>
      </c>
      <c r="I772" t="s">
        <v>1807</v>
      </c>
      <c r="J772">
        <v>2148.8544000000002</v>
      </c>
    </row>
    <row r="773" spans="1:10" x14ac:dyDescent="0.3">
      <c r="A773" t="s">
        <v>2580</v>
      </c>
      <c r="B773" s="1">
        <v>45752</v>
      </c>
      <c r="C773" t="s">
        <v>785</v>
      </c>
      <c r="D773" t="s">
        <v>1551</v>
      </c>
      <c r="E773" t="s">
        <v>1752</v>
      </c>
      <c r="F773">
        <v>1</v>
      </c>
      <c r="G773">
        <v>768.25</v>
      </c>
      <c r="H773">
        <v>0.18</v>
      </c>
      <c r="I773" t="s">
        <v>1807</v>
      </c>
      <c r="J773">
        <v>629.96500000000003</v>
      </c>
    </row>
    <row r="774" spans="1:10" x14ac:dyDescent="0.3">
      <c r="A774" t="s">
        <v>2581</v>
      </c>
      <c r="B774" s="1">
        <v>45254</v>
      </c>
      <c r="C774" t="s">
        <v>1086</v>
      </c>
      <c r="D774" t="s">
        <v>1715</v>
      </c>
      <c r="E774" t="s">
        <v>1796</v>
      </c>
      <c r="F774">
        <v>2</v>
      </c>
      <c r="G774">
        <v>318.62</v>
      </c>
      <c r="H774">
        <v>0.02</v>
      </c>
      <c r="I774" t="s">
        <v>1812</v>
      </c>
      <c r="J774">
        <v>624.49519999999995</v>
      </c>
    </row>
    <row r="775" spans="1:10" x14ac:dyDescent="0.3">
      <c r="A775" t="s">
        <v>2582</v>
      </c>
      <c r="B775" s="1">
        <v>45683</v>
      </c>
      <c r="C775" t="s">
        <v>185</v>
      </c>
      <c r="D775" t="s">
        <v>1683</v>
      </c>
      <c r="E775" t="s">
        <v>1744</v>
      </c>
      <c r="F775">
        <v>4</v>
      </c>
      <c r="G775">
        <v>402.11</v>
      </c>
      <c r="H775">
        <v>0.14000000000000001</v>
      </c>
      <c r="I775" t="s">
        <v>1809</v>
      </c>
      <c r="J775">
        <v>1383.2583999999999</v>
      </c>
    </row>
    <row r="776" spans="1:10" x14ac:dyDescent="0.3">
      <c r="A776" t="s">
        <v>2583</v>
      </c>
      <c r="B776" s="1">
        <v>45804</v>
      </c>
      <c r="C776" t="s">
        <v>1255</v>
      </c>
      <c r="D776" t="s">
        <v>1699</v>
      </c>
      <c r="E776" t="s">
        <v>1790</v>
      </c>
      <c r="F776">
        <v>3</v>
      </c>
      <c r="G776">
        <v>846.31</v>
      </c>
      <c r="H776">
        <v>0.18</v>
      </c>
      <c r="I776" t="s">
        <v>1812</v>
      </c>
      <c r="J776">
        <v>2081.9225999999999</v>
      </c>
    </row>
    <row r="777" spans="1:10" x14ac:dyDescent="0.3">
      <c r="A777" t="s">
        <v>2584</v>
      </c>
      <c r="B777" s="1">
        <v>45821</v>
      </c>
      <c r="C777" t="s">
        <v>554</v>
      </c>
      <c r="D777" t="s">
        <v>1719</v>
      </c>
      <c r="E777" t="s">
        <v>1782</v>
      </c>
      <c r="F777">
        <v>1</v>
      </c>
      <c r="G777">
        <v>269.94</v>
      </c>
      <c r="H777">
        <v>7.0000000000000007E-2</v>
      </c>
      <c r="I777" t="s">
        <v>1812</v>
      </c>
      <c r="J777">
        <v>251.04419999999999</v>
      </c>
    </row>
    <row r="778" spans="1:10" x14ac:dyDescent="0.3">
      <c r="A778" t="s">
        <v>2585</v>
      </c>
      <c r="B778" s="1">
        <v>45472</v>
      </c>
      <c r="C778" t="s">
        <v>767</v>
      </c>
      <c r="D778" t="s">
        <v>1571</v>
      </c>
      <c r="E778" t="s">
        <v>1752</v>
      </c>
      <c r="F778">
        <v>3</v>
      </c>
      <c r="G778">
        <v>909.25</v>
      </c>
      <c r="H778">
        <v>0.28999999999999998</v>
      </c>
      <c r="I778" t="s">
        <v>1812</v>
      </c>
      <c r="J778">
        <v>1936.7025000000001</v>
      </c>
    </row>
    <row r="779" spans="1:10" x14ac:dyDescent="0.3">
      <c r="A779" t="s">
        <v>2586</v>
      </c>
      <c r="B779" s="1">
        <v>45331</v>
      </c>
      <c r="C779" t="s">
        <v>1123</v>
      </c>
      <c r="D779" t="s">
        <v>1713</v>
      </c>
      <c r="E779" t="s">
        <v>1777</v>
      </c>
      <c r="F779">
        <v>2</v>
      </c>
      <c r="G779">
        <v>229.81</v>
      </c>
      <c r="H779">
        <v>0.21</v>
      </c>
      <c r="I779" t="s">
        <v>1812</v>
      </c>
      <c r="J779">
        <v>363.09980000000002</v>
      </c>
    </row>
    <row r="780" spans="1:10" x14ac:dyDescent="0.3">
      <c r="A780" t="s">
        <v>2587</v>
      </c>
      <c r="B780" s="1">
        <v>45451</v>
      </c>
      <c r="C780" t="s">
        <v>146</v>
      </c>
      <c r="D780" t="s">
        <v>1687</v>
      </c>
      <c r="E780" t="s">
        <v>1784</v>
      </c>
      <c r="F780">
        <v>3</v>
      </c>
      <c r="G780">
        <v>442.36</v>
      </c>
      <c r="H780">
        <v>0.06</v>
      </c>
      <c r="I780" t="s">
        <v>1809</v>
      </c>
      <c r="J780">
        <v>1247.4552000000001</v>
      </c>
    </row>
    <row r="781" spans="1:10" x14ac:dyDescent="0.3">
      <c r="A781" t="s">
        <v>2588</v>
      </c>
      <c r="B781" s="1">
        <v>45386</v>
      </c>
      <c r="C781" t="s">
        <v>761</v>
      </c>
      <c r="D781" t="s">
        <v>1703</v>
      </c>
      <c r="E781" t="s">
        <v>1749</v>
      </c>
      <c r="F781">
        <v>3</v>
      </c>
      <c r="G781">
        <v>413.74</v>
      </c>
      <c r="H781">
        <v>0.01</v>
      </c>
      <c r="I781" t="s">
        <v>1807</v>
      </c>
      <c r="J781">
        <v>1228.8078</v>
      </c>
    </row>
    <row r="782" spans="1:10" x14ac:dyDescent="0.3">
      <c r="A782" t="s">
        <v>2589</v>
      </c>
      <c r="B782" s="1">
        <v>45477</v>
      </c>
      <c r="C782" t="s">
        <v>1507</v>
      </c>
      <c r="D782" t="s">
        <v>1709</v>
      </c>
      <c r="E782" t="s">
        <v>1782</v>
      </c>
      <c r="F782">
        <v>4</v>
      </c>
      <c r="G782">
        <v>79.75</v>
      </c>
      <c r="H782">
        <v>0.18</v>
      </c>
      <c r="I782" t="s">
        <v>1809</v>
      </c>
      <c r="J782">
        <v>261.58</v>
      </c>
    </row>
    <row r="783" spans="1:10" x14ac:dyDescent="0.3">
      <c r="A783" t="s">
        <v>2590</v>
      </c>
      <c r="B783" s="1">
        <v>45433</v>
      </c>
      <c r="C783" t="s">
        <v>1504</v>
      </c>
      <c r="D783" t="s">
        <v>1611</v>
      </c>
      <c r="E783" t="s">
        <v>1777</v>
      </c>
      <c r="F783">
        <v>4</v>
      </c>
      <c r="G783">
        <v>95.06</v>
      </c>
      <c r="H783">
        <v>0.03</v>
      </c>
      <c r="I783" t="s">
        <v>1807</v>
      </c>
      <c r="J783">
        <v>368.83280000000002</v>
      </c>
    </row>
    <row r="784" spans="1:10" x14ac:dyDescent="0.3">
      <c r="A784" t="s">
        <v>2591</v>
      </c>
      <c r="B784" s="1">
        <v>45759</v>
      </c>
      <c r="C784" t="s">
        <v>1278</v>
      </c>
      <c r="D784" t="s">
        <v>1727</v>
      </c>
      <c r="E784" t="s">
        <v>1762</v>
      </c>
      <c r="F784">
        <v>4</v>
      </c>
      <c r="G784">
        <v>107.08</v>
      </c>
      <c r="H784">
        <v>0.27</v>
      </c>
      <c r="I784" t="s">
        <v>1812</v>
      </c>
      <c r="J784">
        <v>312.67360000000002</v>
      </c>
    </row>
    <row r="785" spans="1:10" x14ac:dyDescent="0.3">
      <c r="A785" t="s">
        <v>2592</v>
      </c>
      <c r="B785" s="1">
        <v>45794</v>
      </c>
      <c r="C785" t="s">
        <v>1445</v>
      </c>
      <c r="D785" t="s">
        <v>1729</v>
      </c>
      <c r="E785" t="s">
        <v>1793</v>
      </c>
      <c r="F785">
        <v>1</v>
      </c>
      <c r="G785">
        <v>873.18</v>
      </c>
      <c r="H785">
        <v>0.03</v>
      </c>
      <c r="I785" t="s">
        <v>1812</v>
      </c>
      <c r="J785">
        <v>846.98459999999989</v>
      </c>
    </row>
    <row r="786" spans="1:10" x14ac:dyDescent="0.3">
      <c r="A786" t="s">
        <v>2593</v>
      </c>
      <c r="B786" s="1">
        <v>45764</v>
      </c>
      <c r="C786" t="s">
        <v>1165</v>
      </c>
      <c r="D786" t="s">
        <v>1671</v>
      </c>
      <c r="E786" t="s">
        <v>1793</v>
      </c>
      <c r="F786">
        <v>1</v>
      </c>
      <c r="G786">
        <v>914.75</v>
      </c>
      <c r="H786">
        <v>0.1</v>
      </c>
      <c r="I786" t="s">
        <v>1812</v>
      </c>
      <c r="J786">
        <v>823.27499999999998</v>
      </c>
    </row>
    <row r="787" spans="1:10" x14ac:dyDescent="0.3">
      <c r="A787" t="s">
        <v>2594</v>
      </c>
      <c r="B787" s="1">
        <v>45279</v>
      </c>
      <c r="C787" t="s">
        <v>185</v>
      </c>
      <c r="D787" t="s">
        <v>1677</v>
      </c>
      <c r="E787" t="s">
        <v>1780</v>
      </c>
      <c r="F787">
        <v>4</v>
      </c>
      <c r="G787">
        <v>457.33</v>
      </c>
      <c r="H787">
        <v>0.1</v>
      </c>
      <c r="I787" t="s">
        <v>1807</v>
      </c>
      <c r="J787">
        <v>1646.3879999999999</v>
      </c>
    </row>
    <row r="788" spans="1:10" x14ac:dyDescent="0.3">
      <c r="A788" t="s">
        <v>2595</v>
      </c>
      <c r="B788" s="1">
        <v>45602</v>
      </c>
      <c r="C788" t="s">
        <v>917</v>
      </c>
      <c r="D788" t="s">
        <v>1729</v>
      </c>
      <c r="E788" t="s">
        <v>1749</v>
      </c>
      <c r="F788">
        <v>3</v>
      </c>
      <c r="G788">
        <v>761.88</v>
      </c>
      <c r="H788">
        <v>0.23</v>
      </c>
      <c r="I788" t="s">
        <v>1809</v>
      </c>
      <c r="J788">
        <v>1759.9428</v>
      </c>
    </row>
    <row r="789" spans="1:10" x14ac:dyDescent="0.3">
      <c r="A789" t="s">
        <v>2596</v>
      </c>
      <c r="B789" s="1">
        <v>45793</v>
      </c>
      <c r="C789" t="s">
        <v>579</v>
      </c>
      <c r="D789" t="s">
        <v>1605</v>
      </c>
      <c r="E789" t="s">
        <v>1796</v>
      </c>
      <c r="F789">
        <v>4</v>
      </c>
      <c r="G789">
        <v>122.87</v>
      </c>
      <c r="H789">
        <v>0.13</v>
      </c>
      <c r="I789" t="s">
        <v>1807</v>
      </c>
      <c r="J789">
        <v>427.58760000000001</v>
      </c>
    </row>
    <row r="790" spans="1:10" x14ac:dyDescent="0.3">
      <c r="A790" t="s">
        <v>2597</v>
      </c>
      <c r="B790" s="1">
        <v>45778</v>
      </c>
      <c r="C790" t="s">
        <v>1448</v>
      </c>
      <c r="D790" t="s">
        <v>1677</v>
      </c>
      <c r="E790" t="s">
        <v>1752</v>
      </c>
      <c r="F790">
        <v>4</v>
      </c>
      <c r="G790">
        <v>753</v>
      </c>
      <c r="H790">
        <v>0.28000000000000003</v>
      </c>
      <c r="I790" t="s">
        <v>1812</v>
      </c>
      <c r="J790">
        <v>2168.64</v>
      </c>
    </row>
    <row r="791" spans="1:10" x14ac:dyDescent="0.3">
      <c r="A791" t="s">
        <v>2598</v>
      </c>
      <c r="B791" s="1">
        <v>45325</v>
      </c>
      <c r="C791" t="s">
        <v>1144</v>
      </c>
      <c r="D791" t="s">
        <v>1538</v>
      </c>
      <c r="E791" t="s">
        <v>1756</v>
      </c>
      <c r="F791">
        <v>2</v>
      </c>
      <c r="G791">
        <v>788.05</v>
      </c>
      <c r="H791">
        <v>0.21</v>
      </c>
      <c r="I791" t="s">
        <v>1807</v>
      </c>
      <c r="J791">
        <v>1245.1189999999999</v>
      </c>
    </row>
    <row r="792" spans="1:10" x14ac:dyDescent="0.3">
      <c r="A792" t="s">
        <v>2599</v>
      </c>
      <c r="B792" s="1">
        <v>45875</v>
      </c>
      <c r="C792" t="s">
        <v>1409</v>
      </c>
      <c r="D792" t="s">
        <v>1695</v>
      </c>
      <c r="E792" t="s">
        <v>1772</v>
      </c>
      <c r="F792">
        <v>2</v>
      </c>
      <c r="G792">
        <v>807.1</v>
      </c>
      <c r="H792">
        <v>0.28999999999999998</v>
      </c>
      <c r="I792" t="s">
        <v>1807</v>
      </c>
      <c r="J792">
        <v>1146.0820000000001</v>
      </c>
    </row>
    <row r="793" spans="1:10" x14ac:dyDescent="0.3">
      <c r="A793" t="s">
        <v>2600</v>
      </c>
      <c r="B793" s="1">
        <v>45320</v>
      </c>
      <c r="C793" t="s">
        <v>453</v>
      </c>
      <c r="D793" t="s">
        <v>1545</v>
      </c>
      <c r="E793" t="s">
        <v>1740</v>
      </c>
      <c r="F793">
        <v>2</v>
      </c>
      <c r="G793">
        <v>443.09</v>
      </c>
      <c r="H793">
        <v>0.02</v>
      </c>
      <c r="I793" t="s">
        <v>1809</v>
      </c>
      <c r="J793">
        <v>868.45639999999992</v>
      </c>
    </row>
    <row r="794" spans="1:10" x14ac:dyDescent="0.3">
      <c r="A794" t="s">
        <v>2601</v>
      </c>
      <c r="B794" s="1">
        <v>45870</v>
      </c>
      <c r="C794" t="s">
        <v>1427</v>
      </c>
      <c r="D794" t="s">
        <v>1569</v>
      </c>
      <c r="E794" t="s">
        <v>1784</v>
      </c>
      <c r="F794">
        <v>1</v>
      </c>
      <c r="G794">
        <v>512.16</v>
      </c>
      <c r="H794">
        <v>0.02</v>
      </c>
      <c r="I794" t="s">
        <v>1812</v>
      </c>
      <c r="J794">
        <v>501.91680000000002</v>
      </c>
    </row>
    <row r="795" spans="1:10" x14ac:dyDescent="0.3">
      <c r="A795" t="s">
        <v>2602</v>
      </c>
      <c r="B795" s="1">
        <v>45577</v>
      </c>
      <c r="C795" t="s">
        <v>672</v>
      </c>
      <c r="D795" t="s">
        <v>1613</v>
      </c>
      <c r="E795" t="s">
        <v>1793</v>
      </c>
      <c r="F795">
        <v>2</v>
      </c>
      <c r="G795">
        <v>602.54999999999995</v>
      </c>
      <c r="H795">
        <v>0.23</v>
      </c>
      <c r="I795" t="s">
        <v>1812</v>
      </c>
      <c r="J795">
        <v>927.92699999999991</v>
      </c>
    </row>
    <row r="796" spans="1:10" x14ac:dyDescent="0.3">
      <c r="A796" t="s">
        <v>2603</v>
      </c>
      <c r="B796" s="1">
        <v>45745</v>
      </c>
      <c r="C796" t="s">
        <v>542</v>
      </c>
      <c r="D796" t="s">
        <v>1615</v>
      </c>
      <c r="E796" t="s">
        <v>1735</v>
      </c>
      <c r="F796">
        <v>3</v>
      </c>
      <c r="G796">
        <v>846.19</v>
      </c>
      <c r="H796">
        <v>0.09</v>
      </c>
      <c r="I796" t="s">
        <v>1812</v>
      </c>
      <c r="J796">
        <v>2310.0987</v>
      </c>
    </row>
    <row r="797" spans="1:10" x14ac:dyDescent="0.3">
      <c r="A797" t="s">
        <v>2604</v>
      </c>
      <c r="B797" s="1">
        <v>45772</v>
      </c>
      <c r="C797" t="s">
        <v>1015</v>
      </c>
      <c r="D797" t="s">
        <v>1669</v>
      </c>
      <c r="E797" t="s">
        <v>1765</v>
      </c>
      <c r="F797">
        <v>1</v>
      </c>
      <c r="G797">
        <v>506.73</v>
      </c>
      <c r="H797">
        <v>0.28999999999999998</v>
      </c>
      <c r="I797" t="s">
        <v>1807</v>
      </c>
      <c r="J797">
        <v>359.7783</v>
      </c>
    </row>
    <row r="798" spans="1:10" x14ac:dyDescent="0.3">
      <c r="A798" t="s">
        <v>2605</v>
      </c>
      <c r="B798" s="1">
        <v>45299</v>
      </c>
      <c r="C798" t="s">
        <v>195</v>
      </c>
      <c r="D798" t="s">
        <v>1633</v>
      </c>
      <c r="E798" t="s">
        <v>1787</v>
      </c>
      <c r="F798">
        <v>1</v>
      </c>
      <c r="G798">
        <v>408.66</v>
      </c>
      <c r="H798">
        <v>0.13</v>
      </c>
      <c r="I798" t="s">
        <v>1812</v>
      </c>
      <c r="J798">
        <v>355.5342</v>
      </c>
    </row>
    <row r="799" spans="1:10" x14ac:dyDescent="0.3">
      <c r="A799" t="s">
        <v>2606</v>
      </c>
      <c r="B799" s="1">
        <v>45447</v>
      </c>
      <c r="C799" t="s">
        <v>382</v>
      </c>
      <c r="D799" t="s">
        <v>1545</v>
      </c>
      <c r="E799" t="s">
        <v>1790</v>
      </c>
      <c r="F799">
        <v>3</v>
      </c>
      <c r="G799">
        <v>170.48</v>
      </c>
      <c r="H799">
        <v>0.06</v>
      </c>
      <c r="I799" t="s">
        <v>1812</v>
      </c>
      <c r="J799">
        <v>480.75359999999989</v>
      </c>
    </row>
    <row r="800" spans="1:10" x14ac:dyDescent="0.3">
      <c r="A800" t="s">
        <v>2607</v>
      </c>
      <c r="B800" s="1">
        <v>45717</v>
      </c>
      <c r="C800" t="s">
        <v>342</v>
      </c>
      <c r="D800" t="s">
        <v>1567</v>
      </c>
      <c r="E800" t="s">
        <v>1769</v>
      </c>
      <c r="F800">
        <v>1</v>
      </c>
      <c r="G800">
        <v>423.48</v>
      </c>
      <c r="H800">
        <v>0.18</v>
      </c>
      <c r="I800" t="s">
        <v>1809</v>
      </c>
      <c r="J800">
        <v>347.25360000000012</v>
      </c>
    </row>
    <row r="801" spans="1:10" x14ac:dyDescent="0.3">
      <c r="A801" t="s">
        <v>2608</v>
      </c>
      <c r="B801" s="1">
        <v>45213</v>
      </c>
      <c r="C801" t="s">
        <v>749</v>
      </c>
      <c r="D801" t="s">
        <v>1715</v>
      </c>
      <c r="E801" t="s">
        <v>1775</v>
      </c>
      <c r="F801">
        <v>4</v>
      </c>
      <c r="G801">
        <v>23.57</v>
      </c>
      <c r="H801">
        <v>0.1</v>
      </c>
      <c r="I801" t="s">
        <v>1807</v>
      </c>
      <c r="J801">
        <v>84.852000000000004</v>
      </c>
    </row>
    <row r="802" spans="1:10" x14ac:dyDescent="0.3">
      <c r="A802" t="s">
        <v>2609</v>
      </c>
      <c r="B802" s="1">
        <v>45837</v>
      </c>
      <c r="C802" t="s">
        <v>1177</v>
      </c>
      <c r="D802" t="s">
        <v>1615</v>
      </c>
      <c r="E802" t="s">
        <v>1793</v>
      </c>
      <c r="F802">
        <v>2</v>
      </c>
      <c r="G802">
        <v>953.26</v>
      </c>
      <c r="H802">
        <v>0.1</v>
      </c>
      <c r="I802" t="s">
        <v>1812</v>
      </c>
      <c r="J802">
        <v>1715.8679999999999</v>
      </c>
    </row>
    <row r="803" spans="1:10" x14ac:dyDescent="0.3">
      <c r="A803" t="s">
        <v>2610</v>
      </c>
      <c r="B803" s="1">
        <v>45277</v>
      </c>
      <c r="C803" t="s">
        <v>1078</v>
      </c>
      <c r="D803" t="s">
        <v>1677</v>
      </c>
      <c r="E803" t="s">
        <v>1762</v>
      </c>
      <c r="F803">
        <v>3</v>
      </c>
      <c r="G803">
        <v>405.13</v>
      </c>
      <c r="H803">
        <v>0.14000000000000001</v>
      </c>
      <c r="I803" t="s">
        <v>1812</v>
      </c>
      <c r="J803">
        <v>1045.2354</v>
      </c>
    </row>
    <row r="804" spans="1:10" x14ac:dyDescent="0.3">
      <c r="A804" t="s">
        <v>2611</v>
      </c>
      <c r="B804" s="1">
        <v>45248</v>
      </c>
      <c r="C804" t="s">
        <v>1054</v>
      </c>
      <c r="D804" t="s">
        <v>1532</v>
      </c>
      <c r="E804" t="s">
        <v>1752</v>
      </c>
      <c r="F804">
        <v>2</v>
      </c>
      <c r="G804">
        <v>333.83</v>
      </c>
      <c r="H804">
        <v>0.26</v>
      </c>
      <c r="I804" t="s">
        <v>1809</v>
      </c>
      <c r="J804">
        <v>494.0684</v>
      </c>
    </row>
    <row r="805" spans="1:10" x14ac:dyDescent="0.3">
      <c r="A805" t="s">
        <v>2612</v>
      </c>
      <c r="B805" s="1">
        <v>45741</v>
      </c>
      <c r="C805" t="s">
        <v>1036</v>
      </c>
      <c r="D805" t="s">
        <v>1713</v>
      </c>
      <c r="E805" t="s">
        <v>1749</v>
      </c>
      <c r="F805">
        <v>2</v>
      </c>
      <c r="G805">
        <v>727.18</v>
      </c>
      <c r="H805">
        <v>0.22</v>
      </c>
      <c r="I805" t="s">
        <v>1809</v>
      </c>
      <c r="J805">
        <v>1134.4007999999999</v>
      </c>
    </row>
    <row r="806" spans="1:10" x14ac:dyDescent="0.3">
      <c r="A806" t="s">
        <v>2613</v>
      </c>
      <c r="B806" s="1">
        <v>45778</v>
      </c>
      <c r="C806" t="s">
        <v>956</v>
      </c>
      <c r="D806" t="s">
        <v>1538</v>
      </c>
      <c r="E806" t="s">
        <v>1772</v>
      </c>
      <c r="F806">
        <v>2</v>
      </c>
      <c r="G806">
        <v>516.02</v>
      </c>
      <c r="H806">
        <v>0.19</v>
      </c>
      <c r="I806" t="s">
        <v>1812</v>
      </c>
      <c r="J806">
        <v>835.95240000000001</v>
      </c>
    </row>
    <row r="807" spans="1:10" x14ac:dyDescent="0.3">
      <c r="A807" t="s">
        <v>2614</v>
      </c>
      <c r="B807" s="1">
        <v>45361</v>
      </c>
      <c r="C807" t="s">
        <v>923</v>
      </c>
      <c r="D807" t="s">
        <v>1615</v>
      </c>
      <c r="E807" t="s">
        <v>1775</v>
      </c>
      <c r="F807">
        <v>2</v>
      </c>
      <c r="G807">
        <v>705.61</v>
      </c>
      <c r="H807">
        <v>0.28000000000000003</v>
      </c>
      <c r="I807" t="s">
        <v>1807</v>
      </c>
      <c r="J807">
        <v>1016.0784</v>
      </c>
    </row>
    <row r="808" spans="1:10" x14ac:dyDescent="0.3">
      <c r="A808" t="s">
        <v>2615</v>
      </c>
      <c r="B808" s="1">
        <v>45414</v>
      </c>
      <c r="C808" t="s">
        <v>867</v>
      </c>
      <c r="D808" t="s">
        <v>1699</v>
      </c>
      <c r="E808" t="s">
        <v>1765</v>
      </c>
      <c r="F808">
        <v>3</v>
      </c>
      <c r="G808">
        <v>654.47</v>
      </c>
      <c r="H808">
        <v>0.18</v>
      </c>
      <c r="I808" t="s">
        <v>1812</v>
      </c>
      <c r="J808">
        <v>1609.9962</v>
      </c>
    </row>
    <row r="809" spans="1:10" x14ac:dyDescent="0.3">
      <c r="A809" t="s">
        <v>2616</v>
      </c>
      <c r="B809" s="1">
        <v>45734</v>
      </c>
      <c r="C809" t="s">
        <v>562</v>
      </c>
      <c r="D809" t="s">
        <v>1707</v>
      </c>
      <c r="E809" t="s">
        <v>1784</v>
      </c>
      <c r="F809">
        <v>2</v>
      </c>
      <c r="G809">
        <v>315.27</v>
      </c>
      <c r="H809">
        <v>0.23</v>
      </c>
      <c r="I809" t="s">
        <v>1807</v>
      </c>
      <c r="J809">
        <v>485.51580000000001</v>
      </c>
    </row>
    <row r="810" spans="1:10" x14ac:dyDescent="0.3">
      <c r="A810" t="s">
        <v>2617</v>
      </c>
      <c r="B810" s="1">
        <v>45623</v>
      </c>
      <c r="C810" t="s">
        <v>713</v>
      </c>
      <c r="D810" t="s">
        <v>1587</v>
      </c>
      <c r="E810" t="s">
        <v>1744</v>
      </c>
      <c r="F810">
        <v>1</v>
      </c>
      <c r="G810">
        <v>974.47</v>
      </c>
      <c r="H810">
        <v>0.05</v>
      </c>
      <c r="I810" t="s">
        <v>1807</v>
      </c>
      <c r="J810">
        <v>925.74649999999997</v>
      </c>
    </row>
    <row r="811" spans="1:10" x14ac:dyDescent="0.3">
      <c r="A811" t="s">
        <v>2618</v>
      </c>
      <c r="B811" s="1">
        <v>45340</v>
      </c>
      <c r="C811" t="s">
        <v>244</v>
      </c>
      <c r="D811" t="s">
        <v>1532</v>
      </c>
      <c r="E811" t="s">
        <v>1752</v>
      </c>
      <c r="F811">
        <v>2</v>
      </c>
      <c r="G811">
        <v>803.3</v>
      </c>
      <c r="H811">
        <v>0.17</v>
      </c>
      <c r="I811" t="s">
        <v>1807</v>
      </c>
      <c r="J811">
        <v>1333.4780000000001</v>
      </c>
    </row>
    <row r="812" spans="1:10" x14ac:dyDescent="0.3">
      <c r="A812" t="s">
        <v>2619</v>
      </c>
      <c r="B812" s="1">
        <v>45447</v>
      </c>
      <c r="C812" t="s">
        <v>63</v>
      </c>
      <c r="D812" t="s">
        <v>1532</v>
      </c>
      <c r="E812" t="s">
        <v>1772</v>
      </c>
      <c r="F812">
        <v>4</v>
      </c>
      <c r="G812">
        <v>863.87</v>
      </c>
      <c r="H812">
        <v>0.21</v>
      </c>
      <c r="I812" t="s">
        <v>1812</v>
      </c>
      <c r="J812">
        <v>2729.8292000000001</v>
      </c>
    </row>
    <row r="813" spans="1:10" x14ac:dyDescent="0.3">
      <c r="A813" t="s">
        <v>2620</v>
      </c>
      <c r="B813" s="1">
        <v>45513</v>
      </c>
      <c r="C813" t="s">
        <v>1430</v>
      </c>
      <c r="D813" t="s">
        <v>1691</v>
      </c>
      <c r="E813" t="s">
        <v>1793</v>
      </c>
      <c r="F813">
        <v>1</v>
      </c>
      <c r="G813">
        <v>450.11</v>
      </c>
      <c r="H813">
        <v>0.17</v>
      </c>
      <c r="I813" t="s">
        <v>1807</v>
      </c>
      <c r="J813">
        <v>373.59129999999999</v>
      </c>
    </row>
    <row r="814" spans="1:10" x14ac:dyDescent="0.3">
      <c r="A814" t="s">
        <v>2621</v>
      </c>
      <c r="B814" s="1">
        <v>45486</v>
      </c>
      <c r="C814" t="s">
        <v>734</v>
      </c>
      <c r="D814" t="s">
        <v>1667</v>
      </c>
      <c r="E814" t="s">
        <v>1780</v>
      </c>
      <c r="F814">
        <v>1</v>
      </c>
      <c r="G814">
        <v>289.82</v>
      </c>
      <c r="H814">
        <v>0.18</v>
      </c>
      <c r="I814" t="s">
        <v>1812</v>
      </c>
      <c r="J814">
        <v>237.6524</v>
      </c>
    </row>
    <row r="815" spans="1:10" x14ac:dyDescent="0.3">
      <c r="A815" t="s">
        <v>2622</v>
      </c>
      <c r="B815" s="1">
        <v>45890</v>
      </c>
      <c r="C815" t="s">
        <v>1039</v>
      </c>
      <c r="D815" t="s">
        <v>1639</v>
      </c>
      <c r="E815" t="s">
        <v>1772</v>
      </c>
      <c r="F815">
        <v>4</v>
      </c>
      <c r="G815">
        <v>250.64</v>
      </c>
      <c r="H815">
        <v>0.1</v>
      </c>
      <c r="I815" t="s">
        <v>1809</v>
      </c>
      <c r="J815">
        <v>902.30399999999997</v>
      </c>
    </row>
    <row r="816" spans="1:10" x14ac:dyDescent="0.3">
      <c r="A816" t="s">
        <v>2623</v>
      </c>
      <c r="B816" s="1">
        <v>45876</v>
      </c>
      <c r="C816" t="s">
        <v>903</v>
      </c>
      <c r="D816" t="s">
        <v>1669</v>
      </c>
      <c r="E816" t="s">
        <v>1796</v>
      </c>
      <c r="F816">
        <v>4</v>
      </c>
      <c r="G816">
        <v>373.49</v>
      </c>
      <c r="H816">
        <v>0.16</v>
      </c>
      <c r="I816" t="s">
        <v>1812</v>
      </c>
      <c r="J816">
        <v>1254.9264000000001</v>
      </c>
    </row>
    <row r="817" spans="1:10" x14ac:dyDescent="0.3">
      <c r="A817" t="s">
        <v>2624</v>
      </c>
      <c r="B817" s="1">
        <v>45398</v>
      </c>
      <c r="C817" t="s">
        <v>241</v>
      </c>
      <c r="D817" t="s">
        <v>1534</v>
      </c>
      <c r="E817" t="s">
        <v>1769</v>
      </c>
      <c r="F817">
        <v>4</v>
      </c>
      <c r="G817">
        <v>348.91</v>
      </c>
      <c r="H817">
        <v>0.18</v>
      </c>
      <c r="I817" t="s">
        <v>1809</v>
      </c>
      <c r="J817">
        <v>1144.4248</v>
      </c>
    </row>
    <row r="818" spans="1:10" x14ac:dyDescent="0.3">
      <c r="A818" t="s">
        <v>2625</v>
      </c>
      <c r="B818" s="1">
        <v>45390</v>
      </c>
      <c r="C818" t="s">
        <v>382</v>
      </c>
      <c r="D818" t="s">
        <v>1719</v>
      </c>
      <c r="E818" t="s">
        <v>1790</v>
      </c>
      <c r="F818">
        <v>4</v>
      </c>
      <c r="G818">
        <v>212.96</v>
      </c>
      <c r="H818">
        <v>0.17</v>
      </c>
      <c r="I818" t="s">
        <v>1807</v>
      </c>
      <c r="J818">
        <v>707.02719999999999</v>
      </c>
    </row>
    <row r="819" spans="1:10" x14ac:dyDescent="0.3">
      <c r="A819" t="s">
        <v>2626</v>
      </c>
      <c r="B819" s="1">
        <v>45406</v>
      </c>
      <c r="C819" t="s">
        <v>619</v>
      </c>
      <c r="D819" t="s">
        <v>1585</v>
      </c>
      <c r="E819" t="s">
        <v>1796</v>
      </c>
      <c r="F819">
        <v>3</v>
      </c>
      <c r="G819">
        <v>871.34</v>
      </c>
      <c r="H819">
        <v>0.11</v>
      </c>
      <c r="I819" t="s">
        <v>1812</v>
      </c>
      <c r="J819">
        <v>2326.4778000000001</v>
      </c>
    </row>
    <row r="820" spans="1:10" x14ac:dyDescent="0.3">
      <c r="A820" t="s">
        <v>2627</v>
      </c>
      <c r="B820" s="1">
        <v>45844</v>
      </c>
      <c r="C820" t="s">
        <v>351</v>
      </c>
      <c r="D820" t="s">
        <v>1719</v>
      </c>
      <c r="E820" t="s">
        <v>1735</v>
      </c>
      <c r="F820">
        <v>2</v>
      </c>
      <c r="G820">
        <v>698.94</v>
      </c>
      <c r="H820">
        <v>0.06</v>
      </c>
      <c r="I820" t="s">
        <v>1807</v>
      </c>
      <c r="J820">
        <v>1314.0072</v>
      </c>
    </row>
    <row r="821" spans="1:10" x14ac:dyDescent="0.3">
      <c r="A821" t="s">
        <v>2628</v>
      </c>
      <c r="B821" s="1">
        <v>45697</v>
      </c>
      <c r="C821" t="s">
        <v>986</v>
      </c>
      <c r="D821" t="s">
        <v>1679</v>
      </c>
      <c r="E821" t="s">
        <v>1735</v>
      </c>
      <c r="F821">
        <v>1</v>
      </c>
      <c r="G821">
        <v>719.94</v>
      </c>
      <c r="H821">
        <v>0.23</v>
      </c>
      <c r="I821" t="s">
        <v>1812</v>
      </c>
      <c r="J821">
        <v>554.35380000000009</v>
      </c>
    </row>
    <row r="822" spans="1:10" x14ac:dyDescent="0.3">
      <c r="A822" t="s">
        <v>2629</v>
      </c>
      <c r="B822" s="1">
        <v>45607</v>
      </c>
      <c r="C822" t="s">
        <v>36</v>
      </c>
      <c r="D822" t="s">
        <v>1587</v>
      </c>
      <c r="E822" t="s">
        <v>1752</v>
      </c>
      <c r="F822">
        <v>2</v>
      </c>
      <c r="G822">
        <v>278.16000000000003</v>
      </c>
      <c r="H822">
        <v>0.22</v>
      </c>
      <c r="I822" t="s">
        <v>1809</v>
      </c>
      <c r="J822">
        <v>433.92960000000011</v>
      </c>
    </row>
    <row r="823" spans="1:10" x14ac:dyDescent="0.3">
      <c r="A823" t="s">
        <v>2630</v>
      </c>
      <c r="B823" s="1">
        <v>45307</v>
      </c>
      <c r="C823" t="s">
        <v>199</v>
      </c>
      <c r="D823" t="s">
        <v>1629</v>
      </c>
      <c r="E823" t="s">
        <v>1756</v>
      </c>
      <c r="F823">
        <v>1</v>
      </c>
      <c r="G823">
        <v>678.9</v>
      </c>
      <c r="H823">
        <v>0.17</v>
      </c>
      <c r="I823" t="s">
        <v>1807</v>
      </c>
      <c r="J823">
        <v>563.48699999999997</v>
      </c>
    </row>
    <row r="824" spans="1:10" x14ac:dyDescent="0.3">
      <c r="A824" t="s">
        <v>2631</v>
      </c>
      <c r="B824" s="1">
        <v>45520</v>
      </c>
      <c r="C824" t="s">
        <v>71</v>
      </c>
      <c r="D824" t="s">
        <v>1581</v>
      </c>
      <c r="E824" t="s">
        <v>1784</v>
      </c>
      <c r="F824">
        <v>4</v>
      </c>
      <c r="G824">
        <v>94.13</v>
      </c>
      <c r="H824">
        <v>0.15</v>
      </c>
      <c r="I824" t="s">
        <v>1807</v>
      </c>
      <c r="J824">
        <v>320.04199999999997</v>
      </c>
    </row>
    <row r="825" spans="1:10" x14ac:dyDescent="0.3">
      <c r="A825" t="s">
        <v>2632</v>
      </c>
      <c r="B825" s="1">
        <v>45933</v>
      </c>
      <c r="C825" t="s">
        <v>1349</v>
      </c>
      <c r="D825" t="s">
        <v>1619</v>
      </c>
      <c r="E825" t="s">
        <v>1740</v>
      </c>
      <c r="F825">
        <v>4</v>
      </c>
      <c r="G825">
        <v>415.02</v>
      </c>
      <c r="H825">
        <v>0.01</v>
      </c>
      <c r="I825" t="s">
        <v>1809</v>
      </c>
      <c r="J825">
        <v>1643.4792</v>
      </c>
    </row>
    <row r="826" spans="1:10" x14ac:dyDescent="0.3">
      <c r="A826" t="s">
        <v>2633</v>
      </c>
      <c r="B826" s="1">
        <v>45841</v>
      </c>
      <c r="C826" t="s">
        <v>192</v>
      </c>
      <c r="D826" t="s">
        <v>1553</v>
      </c>
      <c r="E826" t="s">
        <v>1752</v>
      </c>
      <c r="F826">
        <v>4</v>
      </c>
      <c r="G826">
        <v>780.07</v>
      </c>
      <c r="H826">
        <v>0.03</v>
      </c>
      <c r="I826" t="s">
        <v>1807</v>
      </c>
      <c r="J826">
        <v>3026.6716000000001</v>
      </c>
    </row>
    <row r="827" spans="1:10" x14ac:dyDescent="0.3">
      <c r="A827" t="s">
        <v>2634</v>
      </c>
      <c r="B827" s="1">
        <v>45877</v>
      </c>
      <c r="C827" t="s">
        <v>1312</v>
      </c>
      <c r="D827" t="s">
        <v>1605</v>
      </c>
      <c r="E827" t="s">
        <v>1784</v>
      </c>
      <c r="F827">
        <v>4</v>
      </c>
      <c r="G827">
        <v>184.57</v>
      </c>
      <c r="H827">
        <v>0.28000000000000003</v>
      </c>
      <c r="I827" t="s">
        <v>1807</v>
      </c>
      <c r="J827">
        <v>531.5616</v>
      </c>
    </row>
    <row r="828" spans="1:10" x14ac:dyDescent="0.3">
      <c r="A828" t="s">
        <v>2635</v>
      </c>
      <c r="B828" s="1">
        <v>45532</v>
      </c>
      <c r="C828" t="s">
        <v>903</v>
      </c>
      <c r="D828" t="s">
        <v>1661</v>
      </c>
      <c r="E828" t="s">
        <v>1752</v>
      </c>
      <c r="F828">
        <v>4</v>
      </c>
      <c r="G828">
        <v>277.58</v>
      </c>
      <c r="H828">
        <v>0.22</v>
      </c>
      <c r="I828" t="s">
        <v>1809</v>
      </c>
      <c r="J828">
        <v>866.04959999999994</v>
      </c>
    </row>
    <row r="829" spans="1:10" x14ac:dyDescent="0.3">
      <c r="A829" t="s">
        <v>2636</v>
      </c>
      <c r="B829" s="1">
        <v>45734</v>
      </c>
      <c r="C829" t="s">
        <v>364</v>
      </c>
      <c r="D829" t="s">
        <v>1593</v>
      </c>
      <c r="E829" t="s">
        <v>1749</v>
      </c>
      <c r="F829">
        <v>1</v>
      </c>
      <c r="G829">
        <v>36.799999999999997</v>
      </c>
      <c r="H829">
        <v>0.18</v>
      </c>
      <c r="I829" t="s">
        <v>1807</v>
      </c>
      <c r="J829">
        <v>30.175999999999998</v>
      </c>
    </row>
    <row r="830" spans="1:10" x14ac:dyDescent="0.3">
      <c r="A830" t="s">
        <v>2637</v>
      </c>
      <c r="B830" s="1">
        <v>45809</v>
      </c>
      <c r="C830" t="s">
        <v>1103</v>
      </c>
      <c r="D830" t="s">
        <v>1707</v>
      </c>
      <c r="E830" t="s">
        <v>1759</v>
      </c>
      <c r="F830">
        <v>1</v>
      </c>
      <c r="G830">
        <v>539.37</v>
      </c>
      <c r="H830">
        <v>0.14000000000000001</v>
      </c>
      <c r="I830" t="s">
        <v>1807</v>
      </c>
      <c r="J830">
        <v>463.85820000000001</v>
      </c>
    </row>
    <row r="831" spans="1:10" x14ac:dyDescent="0.3">
      <c r="A831" t="s">
        <v>2638</v>
      </c>
      <c r="B831" s="1">
        <v>45760</v>
      </c>
      <c r="C831" t="s">
        <v>316</v>
      </c>
      <c r="D831" t="s">
        <v>1571</v>
      </c>
      <c r="E831" t="s">
        <v>1793</v>
      </c>
      <c r="F831">
        <v>1</v>
      </c>
      <c r="G831">
        <v>27.83</v>
      </c>
      <c r="H831">
        <v>0.3</v>
      </c>
      <c r="I831" t="s">
        <v>1809</v>
      </c>
      <c r="J831">
        <v>19.481000000000002</v>
      </c>
    </row>
    <row r="832" spans="1:10" x14ac:dyDescent="0.3">
      <c r="A832" t="s">
        <v>2639</v>
      </c>
      <c r="B832" s="1">
        <v>45456</v>
      </c>
      <c r="C832" t="s">
        <v>891</v>
      </c>
      <c r="D832" t="s">
        <v>1671</v>
      </c>
      <c r="E832" t="s">
        <v>1752</v>
      </c>
      <c r="F832">
        <v>3</v>
      </c>
      <c r="G832">
        <v>698.72</v>
      </c>
      <c r="H832">
        <v>0.28000000000000003</v>
      </c>
      <c r="I832" t="s">
        <v>1812</v>
      </c>
      <c r="J832">
        <v>1509.2352000000001</v>
      </c>
    </row>
    <row r="833" spans="1:10" x14ac:dyDescent="0.3">
      <c r="A833" t="s">
        <v>2640</v>
      </c>
      <c r="B833" s="1">
        <v>45698</v>
      </c>
      <c r="C833" t="s">
        <v>59</v>
      </c>
      <c r="D833" t="s">
        <v>1683</v>
      </c>
      <c r="E833" t="s">
        <v>1780</v>
      </c>
      <c r="F833">
        <v>4</v>
      </c>
      <c r="G833">
        <v>528.23</v>
      </c>
      <c r="H833">
        <v>0.15</v>
      </c>
      <c r="I833" t="s">
        <v>1812</v>
      </c>
      <c r="J833">
        <v>1795.982</v>
      </c>
    </row>
    <row r="834" spans="1:10" x14ac:dyDescent="0.3">
      <c r="A834" t="s">
        <v>2641</v>
      </c>
      <c r="B834" s="1">
        <v>45548</v>
      </c>
      <c r="C834" t="s">
        <v>1496</v>
      </c>
      <c r="D834" t="s">
        <v>1623</v>
      </c>
      <c r="E834" t="s">
        <v>1787</v>
      </c>
      <c r="F834">
        <v>2</v>
      </c>
      <c r="G834">
        <v>780.9</v>
      </c>
      <c r="H834">
        <v>0.24</v>
      </c>
      <c r="I834" t="s">
        <v>1809</v>
      </c>
      <c r="J834">
        <v>1186.9680000000001</v>
      </c>
    </row>
    <row r="835" spans="1:10" x14ac:dyDescent="0.3">
      <c r="A835" t="s">
        <v>2642</v>
      </c>
      <c r="B835" s="1">
        <v>45236</v>
      </c>
      <c r="C835" t="s">
        <v>589</v>
      </c>
      <c r="D835" t="s">
        <v>1573</v>
      </c>
      <c r="E835" t="s">
        <v>1782</v>
      </c>
      <c r="F835">
        <v>1</v>
      </c>
      <c r="G835">
        <v>977.97</v>
      </c>
      <c r="H835">
        <v>0.06</v>
      </c>
      <c r="I835" t="s">
        <v>1812</v>
      </c>
      <c r="J835">
        <v>919.29179999999997</v>
      </c>
    </row>
    <row r="836" spans="1:10" x14ac:dyDescent="0.3">
      <c r="A836" t="s">
        <v>2643</v>
      </c>
      <c r="B836" s="1">
        <v>45310</v>
      </c>
      <c r="C836" t="s">
        <v>1141</v>
      </c>
      <c r="D836" t="s">
        <v>1697</v>
      </c>
      <c r="E836" t="s">
        <v>1777</v>
      </c>
      <c r="F836">
        <v>4</v>
      </c>
      <c r="G836">
        <v>354.65</v>
      </c>
      <c r="H836">
        <v>0.19</v>
      </c>
      <c r="I836" t="s">
        <v>1807</v>
      </c>
      <c r="J836">
        <v>1149.066</v>
      </c>
    </row>
    <row r="837" spans="1:10" x14ac:dyDescent="0.3">
      <c r="A837" t="s">
        <v>2644</v>
      </c>
      <c r="B837" s="1">
        <v>45376</v>
      </c>
      <c r="C837" t="s">
        <v>891</v>
      </c>
      <c r="D837" t="s">
        <v>1667</v>
      </c>
      <c r="E837" t="s">
        <v>1796</v>
      </c>
      <c r="F837">
        <v>1</v>
      </c>
      <c r="G837">
        <v>671.62</v>
      </c>
      <c r="H837">
        <v>0.09</v>
      </c>
      <c r="I837" t="s">
        <v>1812</v>
      </c>
      <c r="J837">
        <v>611.17420000000004</v>
      </c>
    </row>
    <row r="838" spans="1:10" x14ac:dyDescent="0.3">
      <c r="A838" t="s">
        <v>2645</v>
      </c>
      <c r="B838" s="1">
        <v>45914</v>
      </c>
      <c r="C838" t="s">
        <v>989</v>
      </c>
      <c r="D838" t="s">
        <v>1695</v>
      </c>
      <c r="E838" t="s">
        <v>1749</v>
      </c>
      <c r="F838">
        <v>1</v>
      </c>
      <c r="G838">
        <v>867.32</v>
      </c>
      <c r="H838">
        <v>0.28999999999999998</v>
      </c>
      <c r="I838" t="s">
        <v>1809</v>
      </c>
      <c r="J838">
        <v>615.79719999999998</v>
      </c>
    </row>
    <row r="839" spans="1:10" x14ac:dyDescent="0.3">
      <c r="A839" t="s">
        <v>2646</v>
      </c>
      <c r="B839" s="1">
        <v>45336</v>
      </c>
      <c r="C839" t="s">
        <v>292</v>
      </c>
      <c r="D839" t="s">
        <v>1551</v>
      </c>
      <c r="E839" t="s">
        <v>1777</v>
      </c>
      <c r="F839">
        <v>3</v>
      </c>
      <c r="G839">
        <v>240.27</v>
      </c>
      <c r="H839">
        <v>0.15</v>
      </c>
      <c r="I839" t="s">
        <v>1809</v>
      </c>
      <c r="J839">
        <v>612.68850000000009</v>
      </c>
    </row>
    <row r="840" spans="1:10" x14ac:dyDescent="0.3">
      <c r="A840" t="s">
        <v>2647</v>
      </c>
      <c r="B840" s="1">
        <v>45728</v>
      </c>
      <c r="C840" t="s">
        <v>272</v>
      </c>
      <c r="D840" t="s">
        <v>1587</v>
      </c>
      <c r="E840" t="s">
        <v>1787</v>
      </c>
      <c r="F840">
        <v>2</v>
      </c>
      <c r="G840">
        <v>619.12</v>
      </c>
      <c r="H840">
        <v>0.28000000000000003</v>
      </c>
      <c r="I840" t="s">
        <v>1812</v>
      </c>
      <c r="J840">
        <v>891.53279999999995</v>
      </c>
    </row>
    <row r="841" spans="1:10" x14ac:dyDescent="0.3">
      <c r="A841" t="s">
        <v>2648</v>
      </c>
      <c r="B841" s="1">
        <v>45755</v>
      </c>
      <c r="C841" t="s">
        <v>687</v>
      </c>
      <c r="D841" t="s">
        <v>1705</v>
      </c>
      <c r="E841" t="s">
        <v>1735</v>
      </c>
      <c r="F841">
        <v>3</v>
      </c>
      <c r="G841">
        <v>693.42</v>
      </c>
      <c r="H841">
        <v>0.08</v>
      </c>
      <c r="I841" t="s">
        <v>1809</v>
      </c>
      <c r="J841">
        <v>1913.8391999999999</v>
      </c>
    </row>
    <row r="842" spans="1:10" x14ac:dyDescent="0.3">
      <c r="A842" t="s">
        <v>2649</v>
      </c>
      <c r="B842" s="1">
        <v>45695</v>
      </c>
      <c r="C842" t="s">
        <v>376</v>
      </c>
      <c r="D842" t="s">
        <v>1627</v>
      </c>
      <c r="E842" t="s">
        <v>1772</v>
      </c>
      <c r="F842">
        <v>4</v>
      </c>
      <c r="G842">
        <v>751.63</v>
      </c>
      <c r="H842">
        <v>0.28000000000000003</v>
      </c>
      <c r="I842" t="s">
        <v>1812</v>
      </c>
      <c r="J842">
        <v>2164.6943999999999</v>
      </c>
    </row>
    <row r="843" spans="1:10" x14ac:dyDescent="0.3">
      <c r="A843" t="s">
        <v>2650</v>
      </c>
      <c r="B843" s="1">
        <v>45380</v>
      </c>
      <c r="C843" t="s">
        <v>382</v>
      </c>
      <c r="D843" t="s">
        <v>1593</v>
      </c>
      <c r="E843" t="s">
        <v>1784</v>
      </c>
      <c r="F843">
        <v>3</v>
      </c>
      <c r="G843">
        <v>108.14</v>
      </c>
      <c r="H843">
        <v>0.19</v>
      </c>
      <c r="I843" t="s">
        <v>1812</v>
      </c>
      <c r="J843">
        <v>262.78019999999998</v>
      </c>
    </row>
    <row r="844" spans="1:10" x14ac:dyDescent="0.3">
      <c r="A844" t="s">
        <v>2651</v>
      </c>
      <c r="B844" s="1">
        <v>45446</v>
      </c>
      <c r="C844" t="s">
        <v>811</v>
      </c>
      <c r="D844" t="s">
        <v>1585</v>
      </c>
      <c r="E844" t="s">
        <v>1752</v>
      </c>
      <c r="F844">
        <v>1</v>
      </c>
      <c r="G844">
        <v>964.11</v>
      </c>
      <c r="H844">
        <v>0.17</v>
      </c>
      <c r="I844" t="s">
        <v>1812</v>
      </c>
      <c r="J844">
        <v>800.21129999999994</v>
      </c>
    </row>
    <row r="845" spans="1:10" x14ac:dyDescent="0.3">
      <c r="A845" t="s">
        <v>2652</v>
      </c>
      <c r="B845" s="1">
        <v>45525</v>
      </c>
      <c r="C845" t="s">
        <v>444</v>
      </c>
      <c r="D845" t="s">
        <v>1569</v>
      </c>
      <c r="E845" t="s">
        <v>1735</v>
      </c>
      <c r="F845">
        <v>1</v>
      </c>
      <c r="G845">
        <v>346.2</v>
      </c>
      <c r="H845">
        <v>0.28999999999999998</v>
      </c>
      <c r="I845" t="s">
        <v>1807</v>
      </c>
      <c r="J845">
        <v>245.80199999999999</v>
      </c>
    </row>
    <row r="846" spans="1:10" x14ac:dyDescent="0.3">
      <c r="A846" t="s">
        <v>2653</v>
      </c>
      <c r="B846" s="1">
        <v>45527</v>
      </c>
      <c r="C846" t="s">
        <v>1395</v>
      </c>
      <c r="D846" t="s">
        <v>1617</v>
      </c>
      <c r="E846" t="s">
        <v>1784</v>
      </c>
      <c r="F846">
        <v>3</v>
      </c>
      <c r="G846">
        <v>791.75</v>
      </c>
      <c r="H846">
        <v>0.28999999999999998</v>
      </c>
      <c r="I846" t="s">
        <v>1807</v>
      </c>
      <c r="J846">
        <v>1686.4275</v>
      </c>
    </row>
    <row r="847" spans="1:10" x14ac:dyDescent="0.3">
      <c r="A847" t="s">
        <v>2654</v>
      </c>
      <c r="B847" s="1">
        <v>45265</v>
      </c>
      <c r="C847" t="s">
        <v>995</v>
      </c>
      <c r="D847" t="s">
        <v>1609</v>
      </c>
      <c r="E847" t="s">
        <v>1780</v>
      </c>
      <c r="F847">
        <v>1</v>
      </c>
      <c r="G847">
        <v>529.84</v>
      </c>
      <c r="H847">
        <v>0.13</v>
      </c>
      <c r="I847" t="s">
        <v>1809</v>
      </c>
      <c r="J847">
        <v>460.96080000000001</v>
      </c>
    </row>
    <row r="848" spans="1:10" x14ac:dyDescent="0.3">
      <c r="A848" t="s">
        <v>2655</v>
      </c>
      <c r="B848" s="1">
        <v>45936</v>
      </c>
      <c r="C848" t="s">
        <v>1436</v>
      </c>
      <c r="D848" t="s">
        <v>1639</v>
      </c>
      <c r="E848" t="s">
        <v>1749</v>
      </c>
      <c r="F848">
        <v>3</v>
      </c>
      <c r="G848">
        <v>582.57000000000005</v>
      </c>
      <c r="H848">
        <v>0.11</v>
      </c>
      <c r="I848" t="s">
        <v>1809</v>
      </c>
      <c r="J848">
        <v>1555.4619</v>
      </c>
    </row>
    <row r="849" spans="1:10" x14ac:dyDescent="0.3">
      <c r="A849" t="s">
        <v>2656</v>
      </c>
      <c r="B849" s="1">
        <v>45242</v>
      </c>
      <c r="C849" t="s">
        <v>681</v>
      </c>
      <c r="D849" t="s">
        <v>1721</v>
      </c>
      <c r="E849" t="s">
        <v>1790</v>
      </c>
      <c r="F849">
        <v>1</v>
      </c>
      <c r="G849">
        <v>219.81</v>
      </c>
      <c r="H849">
        <v>0.22</v>
      </c>
      <c r="I849" t="s">
        <v>1812</v>
      </c>
      <c r="J849">
        <v>171.45179999999999</v>
      </c>
    </row>
    <row r="850" spans="1:10" x14ac:dyDescent="0.3">
      <c r="A850" t="s">
        <v>2657</v>
      </c>
      <c r="B850" s="1">
        <v>45437</v>
      </c>
      <c r="C850" t="s">
        <v>1510</v>
      </c>
      <c r="D850" t="s">
        <v>1671</v>
      </c>
      <c r="E850" t="s">
        <v>1793</v>
      </c>
      <c r="F850">
        <v>4</v>
      </c>
      <c r="G850">
        <v>883.31</v>
      </c>
      <c r="H850">
        <v>0.27</v>
      </c>
      <c r="I850" t="s">
        <v>1807</v>
      </c>
      <c r="J850">
        <v>2579.2651999999998</v>
      </c>
    </row>
    <row r="851" spans="1:10" x14ac:dyDescent="0.3">
      <c r="A851" t="s">
        <v>2658</v>
      </c>
      <c r="B851" s="1">
        <v>45627</v>
      </c>
      <c r="C851" t="s">
        <v>746</v>
      </c>
      <c r="D851" t="s">
        <v>1565</v>
      </c>
      <c r="E851" t="s">
        <v>1782</v>
      </c>
      <c r="F851">
        <v>4</v>
      </c>
      <c r="G851">
        <v>329.06</v>
      </c>
      <c r="H851">
        <v>0.04</v>
      </c>
      <c r="I851" t="s">
        <v>1812</v>
      </c>
      <c r="J851">
        <v>1263.5904</v>
      </c>
    </row>
    <row r="852" spans="1:10" x14ac:dyDescent="0.3">
      <c r="A852" t="s">
        <v>2659</v>
      </c>
      <c r="B852" s="1">
        <v>45678</v>
      </c>
      <c r="C852" t="s">
        <v>367</v>
      </c>
      <c r="D852" t="s">
        <v>1667</v>
      </c>
      <c r="E852" t="s">
        <v>1775</v>
      </c>
      <c r="F852">
        <v>1</v>
      </c>
      <c r="G852">
        <v>935.78</v>
      </c>
      <c r="H852">
        <v>0.03</v>
      </c>
      <c r="I852" t="s">
        <v>1809</v>
      </c>
      <c r="J852">
        <v>907.70659999999998</v>
      </c>
    </row>
    <row r="853" spans="1:10" x14ac:dyDescent="0.3">
      <c r="A853" t="s">
        <v>2660</v>
      </c>
      <c r="B853" s="1">
        <v>45484</v>
      </c>
      <c r="C853" t="s">
        <v>998</v>
      </c>
      <c r="D853" t="s">
        <v>1651</v>
      </c>
      <c r="E853" t="s">
        <v>1772</v>
      </c>
      <c r="F853">
        <v>4</v>
      </c>
      <c r="G853">
        <v>597.79999999999995</v>
      </c>
      <c r="H853">
        <v>0.2</v>
      </c>
      <c r="I853" t="s">
        <v>1807</v>
      </c>
      <c r="J853">
        <v>1912.96</v>
      </c>
    </row>
    <row r="854" spans="1:10" x14ac:dyDescent="0.3">
      <c r="A854" t="s">
        <v>2661</v>
      </c>
      <c r="B854" s="1">
        <v>45700</v>
      </c>
      <c r="C854" t="s">
        <v>820</v>
      </c>
      <c r="D854" t="s">
        <v>1557</v>
      </c>
      <c r="E854" t="s">
        <v>1793</v>
      </c>
      <c r="F854">
        <v>4</v>
      </c>
      <c r="G854">
        <v>266.98</v>
      </c>
      <c r="H854">
        <v>0.16</v>
      </c>
      <c r="I854" t="s">
        <v>1807</v>
      </c>
      <c r="J854">
        <v>897.05280000000005</v>
      </c>
    </row>
    <row r="855" spans="1:10" x14ac:dyDescent="0.3">
      <c r="A855" t="s">
        <v>2662</v>
      </c>
      <c r="B855" s="1">
        <v>45873</v>
      </c>
      <c r="C855" t="s">
        <v>1252</v>
      </c>
      <c r="D855" t="s">
        <v>1671</v>
      </c>
      <c r="E855" t="s">
        <v>1784</v>
      </c>
      <c r="F855">
        <v>3</v>
      </c>
      <c r="G855">
        <v>360.18</v>
      </c>
      <c r="H855">
        <v>0.03</v>
      </c>
      <c r="I855" t="s">
        <v>1807</v>
      </c>
      <c r="J855">
        <v>1048.1238000000001</v>
      </c>
    </row>
    <row r="856" spans="1:10" x14ac:dyDescent="0.3">
      <c r="A856" t="s">
        <v>2663</v>
      </c>
      <c r="B856" s="1">
        <v>45860</v>
      </c>
      <c r="C856" t="s">
        <v>1123</v>
      </c>
      <c r="D856" t="s">
        <v>1643</v>
      </c>
      <c r="E856" t="s">
        <v>1735</v>
      </c>
      <c r="F856">
        <v>3</v>
      </c>
      <c r="G856">
        <v>247.41</v>
      </c>
      <c r="H856">
        <v>0.05</v>
      </c>
      <c r="I856" t="s">
        <v>1812</v>
      </c>
      <c r="J856">
        <v>705.11850000000004</v>
      </c>
    </row>
    <row r="857" spans="1:10" x14ac:dyDescent="0.3">
      <c r="A857" t="s">
        <v>2664</v>
      </c>
      <c r="B857" s="1">
        <v>45235</v>
      </c>
      <c r="C857" t="s">
        <v>281</v>
      </c>
      <c r="D857" t="s">
        <v>1621</v>
      </c>
      <c r="E857" t="s">
        <v>1784</v>
      </c>
      <c r="F857">
        <v>3</v>
      </c>
      <c r="G857">
        <v>674.66</v>
      </c>
      <c r="H857">
        <v>0.23</v>
      </c>
      <c r="I857" t="s">
        <v>1807</v>
      </c>
      <c r="J857">
        <v>1558.4646</v>
      </c>
    </row>
    <row r="858" spans="1:10" x14ac:dyDescent="0.3">
      <c r="A858" t="s">
        <v>2665</v>
      </c>
      <c r="B858" s="1">
        <v>45874</v>
      </c>
      <c r="C858" t="s">
        <v>1275</v>
      </c>
      <c r="D858" t="s">
        <v>1615</v>
      </c>
      <c r="E858" t="s">
        <v>1752</v>
      </c>
      <c r="F858">
        <v>1</v>
      </c>
      <c r="G858">
        <v>913.98</v>
      </c>
      <c r="H858">
        <v>0.27</v>
      </c>
      <c r="I858" t="s">
        <v>1809</v>
      </c>
      <c r="J858">
        <v>667.20539999999994</v>
      </c>
    </row>
    <row r="859" spans="1:10" x14ac:dyDescent="0.3">
      <c r="A859" t="s">
        <v>2666</v>
      </c>
      <c r="B859" s="1">
        <v>45769</v>
      </c>
      <c r="C859" t="s">
        <v>980</v>
      </c>
      <c r="D859" t="s">
        <v>1717</v>
      </c>
      <c r="E859" t="s">
        <v>1772</v>
      </c>
      <c r="F859">
        <v>4</v>
      </c>
      <c r="G859">
        <v>370.5</v>
      </c>
      <c r="H859">
        <v>0.13</v>
      </c>
      <c r="I859" t="s">
        <v>1809</v>
      </c>
      <c r="J859">
        <v>1289.3399999999999</v>
      </c>
    </row>
    <row r="860" spans="1:10" x14ac:dyDescent="0.3">
      <c r="A860" t="s">
        <v>2667</v>
      </c>
      <c r="B860" s="1">
        <v>45619</v>
      </c>
      <c r="C860" t="s">
        <v>1109</v>
      </c>
      <c r="D860" t="s">
        <v>1675</v>
      </c>
      <c r="E860" t="s">
        <v>1780</v>
      </c>
      <c r="F860">
        <v>1</v>
      </c>
      <c r="G860">
        <v>735.1</v>
      </c>
      <c r="H860">
        <v>0.1</v>
      </c>
      <c r="I860" t="s">
        <v>1809</v>
      </c>
      <c r="J860">
        <v>661.59</v>
      </c>
    </row>
    <row r="861" spans="1:10" x14ac:dyDescent="0.3">
      <c r="A861" t="s">
        <v>2668</v>
      </c>
      <c r="B861" s="1">
        <v>45614</v>
      </c>
      <c r="C861" t="s">
        <v>456</v>
      </c>
      <c r="D861" t="s">
        <v>1689</v>
      </c>
      <c r="E861" t="s">
        <v>1744</v>
      </c>
      <c r="F861">
        <v>3</v>
      </c>
      <c r="G861">
        <v>448.55</v>
      </c>
      <c r="H861">
        <v>0.05</v>
      </c>
      <c r="I861" t="s">
        <v>1807</v>
      </c>
      <c r="J861">
        <v>1278.3675000000001</v>
      </c>
    </row>
    <row r="862" spans="1:10" x14ac:dyDescent="0.3">
      <c r="A862" t="s">
        <v>2669</v>
      </c>
      <c r="B862" s="1">
        <v>45691</v>
      </c>
      <c r="C862" t="s">
        <v>218</v>
      </c>
      <c r="D862" t="s">
        <v>1699</v>
      </c>
      <c r="E862" t="s">
        <v>1780</v>
      </c>
      <c r="F862">
        <v>3</v>
      </c>
      <c r="G862">
        <v>904.96</v>
      </c>
      <c r="H862">
        <v>7.0000000000000007E-2</v>
      </c>
      <c r="I862" t="s">
        <v>1812</v>
      </c>
      <c r="J862">
        <v>2524.8384000000001</v>
      </c>
    </row>
    <row r="863" spans="1:10" x14ac:dyDescent="0.3">
      <c r="A863" t="s">
        <v>2670</v>
      </c>
      <c r="B863" s="1">
        <v>45608</v>
      </c>
      <c r="C863" t="s">
        <v>1174</v>
      </c>
      <c r="D863" t="s">
        <v>1667</v>
      </c>
      <c r="E863" t="s">
        <v>1780</v>
      </c>
      <c r="F863">
        <v>4</v>
      </c>
      <c r="G863">
        <v>408.72</v>
      </c>
      <c r="H863">
        <v>0.16</v>
      </c>
      <c r="I863" t="s">
        <v>1812</v>
      </c>
      <c r="J863">
        <v>1373.2991999999999</v>
      </c>
    </row>
    <row r="864" spans="1:10" x14ac:dyDescent="0.3">
      <c r="A864" t="s">
        <v>2671</v>
      </c>
      <c r="B864" s="1">
        <v>45412</v>
      </c>
      <c r="C864" t="s">
        <v>888</v>
      </c>
      <c r="D864" t="s">
        <v>1673</v>
      </c>
      <c r="E864" t="s">
        <v>1749</v>
      </c>
      <c r="F864">
        <v>4</v>
      </c>
      <c r="G864">
        <v>770.65</v>
      </c>
      <c r="H864">
        <v>0.27</v>
      </c>
      <c r="I864" t="s">
        <v>1807</v>
      </c>
      <c r="J864">
        <v>2250.2979999999998</v>
      </c>
    </row>
    <row r="865" spans="1:10" x14ac:dyDescent="0.3">
      <c r="A865" t="s">
        <v>2672</v>
      </c>
      <c r="B865" s="1">
        <v>45767</v>
      </c>
      <c r="C865" t="s">
        <v>657</v>
      </c>
      <c r="D865" t="s">
        <v>1591</v>
      </c>
      <c r="E865" t="s">
        <v>1759</v>
      </c>
      <c r="F865">
        <v>1</v>
      </c>
      <c r="G865">
        <v>649.22</v>
      </c>
      <c r="H865">
        <v>0.03</v>
      </c>
      <c r="I865" t="s">
        <v>1812</v>
      </c>
      <c r="J865">
        <v>629.74340000000007</v>
      </c>
    </row>
    <row r="866" spans="1:10" x14ac:dyDescent="0.3">
      <c r="A866" t="s">
        <v>2673</v>
      </c>
      <c r="B866" s="1">
        <v>45428</v>
      </c>
      <c r="C866" t="s">
        <v>1080</v>
      </c>
      <c r="D866" t="s">
        <v>1597</v>
      </c>
      <c r="E866" t="s">
        <v>1772</v>
      </c>
      <c r="F866">
        <v>2</v>
      </c>
      <c r="G866">
        <v>379.78</v>
      </c>
      <c r="H866">
        <v>0.2</v>
      </c>
      <c r="I866" t="s">
        <v>1807</v>
      </c>
      <c r="J866">
        <v>607.64800000000002</v>
      </c>
    </row>
    <row r="867" spans="1:10" x14ac:dyDescent="0.3">
      <c r="A867" t="s">
        <v>2674</v>
      </c>
      <c r="B867" s="1">
        <v>45770</v>
      </c>
      <c r="C867" t="s">
        <v>788</v>
      </c>
      <c r="D867" t="s">
        <v>1617</v>
      </c>
      <c r="E867" t="s">
        <v>1765</v>
      </c>
      <c r="F867">
        <v>3</v>
      </c>
      <c r="G867">
        <v>924.15</v>
      </c>
      <c r="H867">
        <v>0.1</v>
      </c>
      <c r="I867" t="s">
        <v>1809</v>
      </c>
      <c r="J867">
        <v>2495.2049999999999</v>
      </c>
    </row>
    <row r="868" spans="1:10" x14ac:dyDescent="0.3">
      <c r="A868" t="s">
        <v>2675</v>
      </c>
      <c r="B868" s="1">
        <v>45571</v>
      </c>
      <c r="C868" t="s">
        <v>1430</v>
      </c>
      <c r="D868" t="s">
        <v>1621</v>
      </c>
      <c r="E868" t="s">
        <v>1790</v>
      </c>
      <c r="F868">
        <v>3</v>
      </c>
      <c r="G868">
        <v>144.66999999999999</v>
      </c>
      <c r="H868">
        <v>0.28999999999999998</v>
      </c>
      <c r="I868" t="s">
        <v>1812</v>
      </c>
      <c r="J868">
        <v>308.14710000000002</v>
      </c>
    </row>
    <row r="869" spans="1:10" x14ac:dyDescent="0.3">
      <c r="A869" t="s">
        <v>2676</v>
      </c>
      <c r="B869" s="1">
        <v>45700</v>
      </c>
      <c r="C869" t="s">
        <v>414</v>
      </c>
      <c r="D869" t="s">
        <v>1597</v>
      </c>
      <c r="E869" t="s">
        <v>1784</v>
      </c>
      <c r="F869">
        <v>2</v>
      </c>
      <c r="G869">
        <v>667.17</v>
      </c>
      <c r="H869">
        <v>0.1</v>
      </c>
      <c r="I869" t="s">
        <v>1809</v>
      </c>
      <c r="J869">
        <v>1200.9059999999999</v>
      </c>
    </row>
    <row r="870" spans="1:10" x14ac:dyDescent="0.3">
      <c r="A870" t="s">
        <v>2677</v>
      </c>
      <c r="B870" s="1">
        <v>45382</v>
      </c>
      <c r="C870" t="s">
        <v>1238</v>
      </c>
      <c r="D870" t="s">
        <v>1663</v>
      </c>
      <c r="E870" t="s">
        <v>1749</v>
      </c>
      <c r="F870">
        <v>1</v>
      </c>
      <c r="G870">
        <v>984.6</v>
      </c>
      <c r="H870">
        <v>0.22</v>
      </c>
      <c r="I870" t="s">
        <v>1807</v>
      </c>
      <c r="J870">
        <v>767.98800000000006</v>
      </c>
    </row>
    <row r="871" spans="1:10" x14ac:dyDescent="0.3">
      <c r="A871" t="s">
        <v>2678</v>
      </c>
      <c r="B871" s="1">
        <v>45260</v>
      </c>
      <c r="C871" t="s">
        <v>879</v>
      </c>
      <c r="D871" t="s">
        <v>1557</v>
      </c>
      <c r="E871" t="s">
        <v>1765</v>
      </c>
      <c r="F871">
        <v>1</v>
      </c>
      <c r="G871">
        <v>139.29</v>
      </c>
      <c r="H871">
        <v>0</v>
      </c>
      <c r="I871" t="s">
        <v>1807</v>
      </c>
      <c r="J871">
        <v>139.29</v>
      </c>
    </row>
    <row r="872" spans="1:10" x14ac:dyDescent="0.3">
      <c r="A872" t="s">
        <v>2679</v>
      </c>
      <c r="B872" s="1">
        <v>45702</v>
      </c>
      <c r="C872" t="s">
        <v>134</v>
      </c>
      <c r="D872" t="s">
        <v>1563</v>
      </c>
      <c r="E872" t="s">
        <v>1765</v>
      </c>
      <c r="F872">
        <v>3</v>
      </c>
      <c r="G872">
        <v>459.57</v>
      </c>
      <c r="H872">
        <v>0.1</v>
      </c>
      <c r="I872" t="s">
        <v>1812</v>
      </c>
      <c r="J872">
        <v>1240.8389999999999</v>
      </c>
    </row>
    <row r="873" spans="1:10" x14ac:dyDescent="0.3">
      <c r="A873" t="s">
        <v>2680</v>
      </c>
      <c r="B873" s="1">
        <v>45302</v>
      </c>
      <c r="C873" t="s">
        <v>241</v>
      </c>
      <c r="D873" t="s">
        <v>1611</v>
      </c>
      <c r="E873" t="s">
        <v>1784</v>
      </c>
      <c r="F873">
        <v>1</v>
      </c>
      <c r="G873">
        <v>517.82000000000005</v>
      </c>
      <c r="H873">
        <v>0.28999999999999998</v>
      </c>
      <c r="I873" t="s">
        <v>1807</v>
      </c>
      <c r="J873">
        <v>367.65219999999999</v>
      </c>
    </row>
    <row r="874" spans="1:10" x14ac:dyDescent="0.3">
      <c r="A874" t="s">
        <v>2681</v>
      </c>
      <c r="B874" s="1">
        <v>45653</v>
      </c>
      <c r="C874" t="s">
        <v>1171</v>
      </c>
      <c r="D874" t="s">
        <v>1683</v>
      </c>
      <c r="E874" t="s">
        <v>1759</v>
      </c>
      <c r="F874">
        <v>4</v>
      </c>
      <c r="G874">
        <v>282.45</v>
      </c>
      <c r="H874">
        <v>0.28999999999999998</v>
      </c>
      <c r="I874" t="s">
        <v>1812</v>
      </c>
      <c r="J874">
        <v>802.1579999999999</v>
      </c>
    </row>
    <row r="875" spans="1:10" x14ac:dyDescent="0.3">
      <c r="A875" t="s">
        <v>2682</v>
      </c>
      <c r="B875" s="1">
        <v>45250</v>
      </c>
      <c r="C875" t="s">
        <v>1389</v>
      </c>
      <c r="D875" t="s">
        <v>1705</v>
      </c>
      <c r="E875" t="s">
        <v>1762</v>
      </c>
      <c r="F875">
        <v>2</v>
      </c>
      <c r="G875">
        <v>386.46</v>
      </c>
      <c r="H875">
        <v>0.23</v>
      </c>
      <c r="I875" t="s">
        <v>1812</v>
      </c>
      <c r="J875">
        <v>595.14840000000004</v>
      </c>
    </row>
    <row r="876" spans="1:10" x14ac:dyDescent="0.3">
      <c r="A876" t="s">
        <v>2683</v>
      </c>
      <c r="B876" s="1">
        <v>45661</v>
      </c>
      <c r="C876" t="s">
        <v>634</v>
      </c>
      <c r="D876" t="s">
        <v>1569</v>
      </c>
      <c r="E876" t="s">
        <v>1749</v>
      </c>
      <c r="F876">
        <v>1</v>
      </c>
      <c r="G876">
        <v>270.45</v>
      </c>
      <c r="H876">
        <v>0.15</v>
      </c>
      <c r="I876" t="s">
        <v>1812</v>
      </c>
      <c r="J876">
        <v>229.88249999999999</v>
      </c>
    </row>
    <row r="877" spans="1:10" x14ac:dyDescent="0.3">
      <c r="A877" t="s">
        <v>2684</v>
      </c>
      <c r="B877" s="1">
        <v>45493</v>
      </c>
      <c r="C877" t="s">
        <v>159</v>
      </c>
      <c r="D877" t="s">
        <v>1683</v>
      </c>
      <c r="E877" t="s">
        <v>1772</v>
      </c>
      <c r="F877">
        <v>4</v>
      </c>
      <c r="G877">
        <v>762.94</v>
      </c>
      <c r="H877">
        <v>0.09</v>
      </c>
      <c r="I877" t="s">
        <v>1812</v>
      </c>
      <c r="J877">
        <v>2777.1016</v>
      </c>
    </row>
    <row r="878" spans="1:10" x14ac:dyDescent="0.3">
      <c r="A878" t="s">
        <v>2685</v>
      </c>
      <c r="B878" s="1">
        <v>45242</v>
      </c>
      <c r="C878" t="s">
        <v>1501</v>
      </c>
      <c r="D878" t="s">
        <v>1613</v>
      </c>
      <c r="E878" t="s">
        <v>1780</v>
      </c>
      <c r="F878">
        <v>1</v>
      </c>
      <c r="G878">
        <v>409.03</v>
      </c>
      <c r="H878">
        <v>0.25</v>
      </c>
      <c r="I878" t="s">
        <v>1812</v>
      </c>
      <c r="J878">
        <v>306.77249999999998</v>
      </c>
    </row>
    <row r="879" spans="1:10" x14ac:dyDescent="0.3">
      <c r="A879" t="s">
        <v>2686</v>
      </c>
      <c r="B879" s="1">
        <v>45411</v>
      </c>
      <c r="C879" t="s">
        <v>705</v>
      </c>
      <c r="D879" t="s">
        <v>1723</v>
      </c>
      <c r="E879" t="s">
        <v>1793</v>
      </c>
      <c r="F879">
        <v>2</v>
      </c>
      <c r="G879">
        <v>891.13</v>
      </c>
      <c r="H879">
        <v>0.13</v>
      </c>
      <c r="I879" t="s">
        <v>1807</v>
      </c>
      <c r="J879">
        <v>1550.5662</v>
      </c>
    </row>
    <row r="880" spans="1:10" x14ac:dyDescent="0.3">
      <c r="A880" t="s">
        <v>2687</v>
      </c>
      <c r="B880" s="1">
        <v>45593</v>
      </c>
      <c r="C880" t="s">
        <v>130</v>
      </c>
      <c r="D880" t="s">
        <v>1715</v>
      </c>
      <c r="E880" t="s">
        <v>1787</v>
      </c>
      <c r="F880">
        <v>1</v>
      </c>
      <c r="G880">
        <v>553.38</v>
      </c>
      <c r="H880">
        <v>0.21</v>
      </c>
      <c r="I880" t="s">
        <v>1809</v>
      </c>
      <c r="J880">
        <v>437.17020000000002</v>
      </c>
    </row>
    <row r="881" spans="1:10" x14ac:dyDescent="0.3">
      <c r="A881" t="s">
        <v>2688</v>
      </c>
      <c r="B881" s="1">
        <v>45281</v>
      </c>
      <c r="C881" t="s">
        <v>530</v>
      </c>
      <c r="D881" t="s">
        <v>1701</v>
      </c>
      <c r="E881" t="s">
        <v>1780</v>
      </c>
      <c r="F881">
        <v>2</v>
      </c>
      <c r="G881">
        <v>652.29999999999995</v>
      </c>
      <c r="H881">
        <v>0.16</v>
      </c>
      <c r="I881" t="s">
        <v>1812</v>
      </c>
      <c r="J881">
        <v>1095.864</v>
      </c>
    </row>
    <row r="882" spans="1:10" x14ac:dyDescent="0.3">
      <c r="A882" t="s">
        <v>2689</v>
      </c>
      <c r="B882" s="1">
        <v>45575</v>
      </c>
      <c r="C882" t="s">
        <v>417</v>
      </c>
      <c r="D882" t="s">
        <v>1615</v>
      </c>
      <c r="E882" t="s">
        <v>1769</v>
      </c>
      <c r="F882">
        <v>4</v>
      </c>
      <c r="G882">
        <v>194.36</v>
      </c>
      <c r="H882">
        <v>0.18</v>
      </c>
      <c r="I882" t="s">
        <v>1812</v>
      </c>
      <c r="J882">
        <v>637.50080000000014</v>
      </c>
    </row>
    <row r="883" spans="1:10" x14ac:dyDescent="0.3">
      <c r="A883" t="s">
        <v>2690</v>
      </c>
      <c r="B883" s="1">
        <v>45660</v>
      </c>
      <c r="C883" t="s">
        <v>509</v>
      </c>
      <c r="D883" t="s">
        <v>1715</v>
      </c>
      <c r="E883" t="s">
        <v>1740</v>
      </c>
      <c r="F883">
        <v>3</v>
      </c>
      <c r="G883">
        <v>476.37</v>
      </c>
      <c r="H883">
        <v>0.21</v>
      </c>
      <c r="I883" t="s">
        <v>1812</v>
      </c>
      <c r="J883">
        <v>1128.9969000000001</v>
      </c>
    </row>
    <row r="884" spans="1:10" x14ac:dyDescent="0.3">
      <c r="A884" t="s">
        <v>2691</v>
      </c>
      <c r="B884" s="1">
        <v>45360</v>
      </c>
      <c r="C884" t="s">
        <v>1129</v>
      </c>
      <c r="D884" t="s">
        <v>1611</v>
      </c>
      <c r="E884" t="s">
        <v>1756</v>
      </c>
      <c r="F884">
        <v>3</v>
      </c>
      <c r="G884">
        <v>174.57</v>
      </c>
      <c r="H884">
        <v>0</v>
      </c>
      <c r="I884" t="s">
        <v>1809</v>
      </c>
      <c r="J884">
        <v>523.71</v>
      </c>
    </row>
    <row r="885" spans="1:10" x14ac:dyDescent="0.3">
      <c r="A885" t="s">
        <v>2692</v>
      </c>
      <c r="B885" s="1">
        <v>45526</v>
      </c>
      <c r="C885" t="s">
        <v>409</v>
      </c>
      <c r="D885" t="s">
        <v>1701</v>
      </c>
      <c r="E885" t="s">
        <v>1735</v>
      </c>
      <c r="F885">
        <v>3</v>
      </c>
      <c r="G885">
        <v>762</v>
      </c>
      <c r="H885">
        <v>0.02</v>
      </c>
      <c r="I885" t="s">
        <v>1809</v>
      </c>
      <c r="J885">
        <v>2240.2800000000002</v>
      </c>
    </row>
    <row r="886" spans="1:10" x14ac:dyDescent="0.3">
      <c r="A886" t="s">
        <v>2693</v>
      </c>
      <c r="B886" s="1">
        <v>45395</v>
      </c>
      <c r="C886" t="s">
        <v>1303</v>
      </c>
      <c r="D886" t="s">
        <v>1675</v>
      </c>
      <c r="E886" t="s">
        <v>1796</v>
      </c>
      <c r="F886">
        <v>1</v>
      </c>
      <c r="G886">
        <v>44.08</v>
      </c>
      <c r="H886">
        <v>0.05</v>
      </c>
      <c r="I886" t="s">
        <v>1807</v>
      </c>
      <c r="J886">
        <v>41.875999999999998</v>
      </c>
    </row>
    <row r="887" spans="1:10" x14ac:dyDescent="0.3">
      <c r="A887" t="s">
        <v>2694</v>
      </c>
      <c r="B887" s="1">
        <v>45466</v>
      </c>
      <c r="C887" t="s">
        <v>1504</v>
      </c>
      <c r="D887" t="s">
        <v>1649</v>
      </c>
      <c r="E887" t="s">
        <v>1780</v>
      </c>
      <c r="F887">
        <v>1</v>
      </c>
      <c r="G887">
        <v>992.37</v>
      </c>
      <c r="H887">
        <v>0.24</v>
      </c>
      <c r="I887" t="s">
        <v>1812</v>
      </c>
      <c r="J887">
        <v>754.20119999999997</v>
      </c>
    </row>
    <row r="888" spans="1:10" x14ac:dyDescent="0.3">
      <c r="A888" t="s">
        <v>2695</v>
      </c>
      <c r="B888" s="1">
        <v>45876</v>
      </c>
      <c r="C888" t="s">
        <v>651</v>
      </c>
      <c r="D888" t="s">
        <v>1593</v>
      </c>
      <c r="E888" t="s">
        <v>1772</v>
      </c>
      <c r="F888">
        <v>3</v>
      </c>
      <c r="G888">
        <v>465.4</v>
      </c>
      <c r="H888">
        <v>0.28999999999999998</v>
      </c>
      <c r="I888" t="s">
        <v>1812</v>
      </c>
      <c r="J888">
        <v>991.30199999999979</v>
      </c>
    </row>
    <row r="889" spans="1:10" x14ac:dyDescent="0.3">
      <c r="A889" t="s">
        <v>2696</v>
      </c>
      <c r="B889" s="1">
        <v>45724</v>
      </c>
      <c r="C889" t="s">
        <v>1048</v>
      </c>
      <c r="D889" t="s">
        <v>1563</v>
      </c>
      <c r="E889" t="s">
        <v>1772</v>
      </c>
      <c r="F889">
        <v>2</v>
      </c>
      <c r="G889">
        <v>693.61</v>
      </c>
      <c r="H889">
        <v>0.15</v>
      </c>
      <c r="I889" t="s">
        <v>1809</v>
      </c>
      <c r="J889">
        <v>1179.1369999999999</v>
      </c>
    </row>
    <row r="890" spans="1:10" x14ac:dyDescent="0.3">
      <c r="A890" t="s">
        <v>2697</v>
      </c>
      <c r="B890" s="1">
        <v>45801</v>
      </c>
      <c r="C890" t="s">
        <v>1418</v>
      </c>
      <c r="D890" t="s">
        <v>1665</v>
      </c>
      <c r="E890" t="s">
        <v>1765</v>
      </c>
      <c r="F890">
        <v>2</v>
      </c>
      <c r="G890">
        <v>995.11</v>
      </c>
      <c r="H890">
        <v>0.13</v>
      </c>
      <c r="I890" t="s">
        <v>1809</v>
      </c>
      <c r="J890">
        <v>1731.4914000000001</v>
      </c>
    </row>
    <row r="891" spans="1:10" x14ac:dyDescent="0.3">
      <c r="A891" t="s">
        <v>2698</v>
      </c>
      <c r="B891" s="1">
        <v>45749</v>
      </c>
      <c r="C891" t="s">
        <v>1177</v>
      </c>
      <c r="D891" t="s">
        <v>1577</v>
      </c>
      <c r="E891" t="s">
        <v>1752</v>
      </c>
      <c r="F891">
        <v>3</v>
      </c>
      <c r="G891">
        <v>70.97</v>
      </c>
      <c r="H891">
        <v>0.06</v>
      </c>
      <c r="I891" t="s">
        <v>1812</v>
      </c>
      <c r="J891">
        <v>200.1354</v>
      </c>
    </row>
    <row r="892" spans="1:10" x14ac:dyDescent="0.3">
      <c r="A892" t="s">
        <v>2699</v>
      </c>
      <c r="B892" s="1">
        <v>45325</v>
      </c>
      <c r="C892" t="s">
        <v>391</v>
      </c>
      <c r="D892" t="s">
        <v>1697</v>
      </c>
      <c r="E892" t="s">
        <v>1769</v>
      </c>
      <c r="F892">
        <v>3</v>
      </c>
      <c r="G892">
        <v>470.42</v>
      </c>
      <c r="H892">
        <v>0.16</v>
      </c>
      <c r="I892" t="s">
        <v>1807</v>
      </c>
      <c r="J892">
        <v>1185.4584</v>
      </c>
    </row>
    <row r="893" spans="1:10" x14ac:dyDescent="0.3">
      <c r="A893" t="s">
        <v>2700</v>
      </c>
      <c r="B893" s="1">
        <v>45932</v>
      </c>
      <c r="C893" t="s">
        <v>980</v>
      </c>
      <c r="D893" t="s">
        <v>1703</v>
      </c>
      <c r="E893" t="s">
        <v>1787</v>
      </c>
      <c r="F893">
        <v>2</v>
      </c>
      <c r="G893">
        <v>215.59</v>
      </c>
      <c r="H893">
        <v>0.18</v>
      </c>
      <c r="I893" t="s">
        <v>1807</v>
      </c>
      <c r="J893">
        <v>353.56760000000003</v>
      </c>
    </row>
    <row r="894" spans="1:10" x14ac:dyDescent="0.3">
      <c r="A894" t="s">
        <v>2701</v>
      </c>
      <c r="B894" s="1">
        <v>45895</v>
      </c>
      <c r="C894" t="s">
        <v>761</v>
      </c>
      <c r="D894" t="s">
        <v>1715</v>
      </c>
      <c r="E894" t="s">
        <v>1735</v>
      </c>
      <c r="F894">
        <v>1</v>
      </c>
      <c r="G894">
        <v>533.79999999999995</v>
      </c>
      <c r="H894">
        <v>0.27</v>
      </c>
      <c r="I894" t="s">
        <v>1812</v>
      </c>
      <c r="J894">
        <v>389.67399999999998</v>
      </c>
    </row>
    <row r="895" spans="1:10" x14ac:dyDescent="0.3">
      <c r="A895" t="s">
        <v>2702</v>
      </c>
      <c r="B895" s="1">
        <v>45614</v>
      </c>
      <c r="C895" t="s">
        <v>330</v>
      </c>
      <c r="D895" t="s">
        <v>1595</v>
      </c>
      <c r="E895" t="s">
        <v>1749</v>
      </c>
      <c r="F895">
        <v>2</v>
      </c>
      <c r="G895">
        <v>732.67</v>
      </c>
      <c r="H895">
        <v>0.24</v>
      </c>
      <c r="I895" t="s">
        <v>1809</v>
      </c>
      <c r="J895">
        <v>1113.6584</v>
      </c>
    </row>
    <row r="896" spans="1:10" x14ac:dyDescent="0.3">
      <c r="A896" t="s">
        <v>2703</v>
      </c>
      <c r="B896" s="1">
        <v>45247</v>
      </c>
      <c r="C896" t="s">
        <v>1487</v>
      </c>
      <c r="D896" t="s">
        <v>1651</v>
      </c>
      <c r="E896" t="s">
        <v>1780</v>
      </c>
      <c r="F896">
        <v>4</v>
      </c>
      <c r="G896">
        <v>106.48</v>
      </c>
      <c r="H896">
        <v>0.1</v>
      </c>
      <c r="I896" t="s">
        <v>1812</v>
      </c>
      <c r="J896">
        <v>383.32799999999997</v>
      </c>
    </row>
    <row r="897" spans="1:10" x14ac:dyDescent="0.3">
      <c r="A897" t="s">
        <v>2704</v>
      </c>
      <c r="B897" s="1">
        <v>45696</v>
      </c>
      <c r="C897" t="s">
        <v>367</v>
      </c>
      <c r="D897" t="s">
        <v>1645</v>
      </c>
      <c r="E897" t="s">
        <v>1749</v>
      </c>
      <c r="F897">
        <v>1</v>
      </c>
      <c r="G897">
        <v>38.950000000000003</v>
      </c>
      <c r="H897">
        <v>0.28000000000000003</v>
      </c>
      <c r="I897" t="s">
        <v>1807</v>
      </c>
      <c r="J897">
        <v>28.044</v>
      </c>
    </row>
    <row r="898" spans="1:10" x14ac:dyDescent="0.3">
      <c r="A898" t="s">
        <v>2705</v>
      </c>
      <c r="B898" s="1">
        <v>45294</v>
      </c>
      <c r="C898" t="s">
        <v>1321</v>
      </c>
      <c r="D898" t="s">
        <v>1723</v>
      </c>
      <c r="E898" t="s">
        <v>1787</v>
      </c>
      <c r="F898">
        <v>1</v>
      </c>
      <c r="G898">
        <v>835.17</v>
      </c>
      <c r="H898">
        <v>0.02</v>
      </c>
      <c r="I898" t="s">
        <v>1812</v>
      </c>
      <c r="J898">
        <v>818.46659999999997</v>
      </c>
    </row>
    <row r="899" spans="1:10" x14ac:dyDescent="0.3">
      <c r="A899" t="s">
        <v>2706</v>
      </c>
      <c r="B899" s="1">
        <v>45389</v>
      </c>
      <c r="C899" t="s">
        <v>453</v>
      </c>
      <c r="D899" t="s">
        <v>1697</v>
      </c>
      <c r="E899" t="s">
        <v>1749</v>
      </c>
      <c r="F899">
        <v>1</v>
      </c>
      <c r="G899">
        <v>113.07</v>
      </c>
      <c r="H899">
        <v>0.24</v>
      </c>
      <c r="I899" t="s">
        <v>1807</v>
      </c>
      <c r="J899">
        <v>85.933199999999999</v>
      </c>
    </row>
    <row r="900" spans="1:10" x14ac:dyDescent="0.3">
      <c r="A900" t="s">
        <v>2707</v>
      </c>
      <c r="B900" s="1">
        <v>45930</v>
      </c>
      <c r="C900" t="s">
        <v>1421</v>
      </c>
      <c r="D900" t="s">
        <v>1719</v>
      </c>
      <c r="E900" t="s">
        <v>1777</v>
      </c>
      <c r="F900">
        <v>2</v>
      </c>
      <c r="G900">
        <v>451.33</v>
      </c>
      <c r="H900">
        <v>0.23</v>
      </c>
      <c r="I900" t="s">
        <v>1812</v>
      </c>
      <c r="J900">
        <v>695.04819999999995</v>
      </c>
    </row>
    <row r="901" spans="1:10" x14ac:dyDescent="0.3">
      <c r="A901" t="s">
        <v>2708</v>
      </c>
      <c r="B901" s="1">
        <v>45456</v>
      </c>
      <c r="C901" t="s">
        <v>1150</v>
      </c>
      <c r="D901" t="s">
        <v>1703</v>
      </c>
      <c r="E901" t="s">
        <v>1759</v>
      </c>
      <c r="F901">
        <v>3</v>
      </c>
      <c r="G901">
        <v>619.80999999999995</v>
      </c>
      <c r="H901">
        <v>0.16</v>
      </c>
      <c r="I901" t="s">
        <v>1812</v>
      </c>
      <c r="J901">
        <v>1561.9212</v>
      </c>
    </row>
    <row r="902" spans="1:10" x14ac:dyDescent="0.3">
      <c r="A902" t="s">
        <v>2709</v>
      </c>
      <c r="B902" s="1">
        <v>45713</v>
      </c>
      <c r="C902" t="s">
        <v>376</v>
      </c>
      <c r="D902" t="s">
        <v>1655</v>
      </c>
      <c r="E902" t="s">
        <v>1762</v>
      </c>
      <c r="F902">
        <v>4</v>
      </c>
      <c r="G902">
        <v>46.97</v>
      </c>
      <c r="H902">
        <v>0.26</v>
      </c>
      <c r="I902" t="s">
        <v>1809</v>
      </c>
      <c r="J902">
        <v>139.03120000000001</v>
      </c>
    </row>
    <row r="903" spans="1:10" x14ac:dyDescent="0.3">
      <c r="A903" t="s">
        <v>2710</v>
      </c>
      <c r="B903" s="1">
        <v>45784</v>
      </c>
      <c r="C903" t="s">
        <v>601</v>
      </c>
      <c r="D903" t="s">
        <v>1623</v>
      </c>
      <c r="E903" t="s">
        <v>1744</v>
      </c>
      <c r="F903">
        <v>2</v>
      </c>
      <c r="G903">
        <v>71.48</v>
      </c>
      <c r="H903">
        <v>0.14000000000000001</v>
      </c>
      <c r="I903" t="s">
        <v>1812</v>
      </c>
      <c r="J903">
        <v>122.9456</v>
      </c>
    </row>
    <row r="904" spans="1:10" x14ac:dyDescent="0.3">
      <c r="A904" t="s">
        <v>2711</v>
      </c>
      <c r="B904" s="1">
        <v>45812</v>
      </c>
      <c r="C904" t="s">
        <v>8</v>
      </c>
      <c r="D904" t="s">
        <v>1643</v>
      </c>
      <c r="E904" t="s">
        <v>1796</v>
      </c>
      <c r="F904">
        <v>2</v>
      </c>
      <c r="G904">
        <v>404.08</v>
      </c>
      <c r="H904">
        <v>7.0000000000000007E-2</v>
      </c>
      <c r="I904" t="s">
        <v>1807</v>
      </c>
      <c r="J904">
        <v>751.58879999999988</v>
      </c>
    </row>
    <row r="905" spans="1:10" x14ac:dyDescent="0.3">
      <c r="A905" t="s">
        <v>2712</v>
      </c>
      <c r="B905" s="1">
        <v>45653</v>
      </c>
      <c r="C905" t="s">
        <v>835</v>
      </c>
      <c r="D905" t="s">
        <v>1565</v>
      </c>
      <c r="E905" t="s">
        <v>1787</v>
      </c>
      <c r="F905">
        <v>1</v>
      </c>
      <c r="G905">
        <v>519.91</v>
      </c>
      <c r="H905">
        <v>0.05</v>
      </c>
      <c r="I905" t="s">
        <v>1812</v>
      </c>
      <c r="J905">
        <v>493.91449999999992</v>
      </c>
    </row>
    <row r="906" spans="1:10" x14ac:dyDescent="0.3">
      <c r="A906" t="s">
        <v>2713</v>
      </c>
      <c r="B906" s="1">
        <v>45672</v>
      </c>
      <c r="C906" t="s">
        <v>485</v>
      </c>
      <c r="D906" t="s">
        <v>1627</v>
      </c>
      <c r="E906" t="s">
        <v>1780</v>
      </c>
      <c r="F906">
        <v>3</v>
      </c>
      <c r="G906">
        <v>566.16</v>
      </c>
      <c r="H906">
        <v>0.05</v>
      </c>
      <c r="I906" t="s">
        <v>1809</v>
      </c>
      <c r="J906">
        <v>1613.556</v>
      </c>
    </row>
    <row r="907" spans="1:10" x14ac:dyDescent="0.3">
      <c r="A907" t="s">
        <v>2714</v>
      </c>
      <c r="B907" s="1">
        <v>45799</v>
      </c>
      <c r="C907" t="s">
        <v>1210</v>
      </c>
      <c r="D907" t="s">
        <v>1635</v>
      </c>
      <c r="E907" t="s">
        <v>1772</v>
      </c>
      <c r="F907">
        <v>2</v>
      </c>
      <c r="G907">
        <v>295.12</v>
      </c>
      <c r="H907">
        <v>0.09</v>
      </c>
      <c r="I907" t="s">
        <v>1812</v>
      </c>
      <c r="J907">
        <v>537.11840000000007</v>
      </c>
    </row>
    <row r="908" spans="1:10" x14ac:dyDescent="0.3">
      <c r="A908" t="s">
        <v>2715</v>
      </c>
      <c r="B908" s="1">
        <v>45848</v>
      </c>
      <c r="C908" t="s">
        <v>379</v>
      </c>
      <c r="D908" t="s">
        <v>1599</v>
      </c>
      <c r="E908" t="s">
        <v>1775</v>
      </c>
      <c r="F908">
        <v>2</v>
      </c>
      <c r="G908">
        <v>414.18</v>
      </c>
      <c r="H908">
        <v>0.25</v>
      </c>
      <c r="I908" t="s">
        <v>1809</v>
      </c>
      <c r="J908">
        <v>621.27</v>
      </c>
    </row>
    <row r="909" spans="1:10" x14ac:dyDescent="0.3">
      <c r="A909" t="s">
        <v>2716</v>
      </c>
      <c r="B909" s="1">
        <v>45918</v>
      </c>
      <c r="C909" t="s">
        <v>847</v>
      </c>
      <c r="D909" t="s">
        <v>1647</v>
      </c>
      <c r="E909" t="s">
        <v>1765</v>
      </c>
      <c r="F909">
        <v>2</v>
      </c>
      <c r="G909">
        <v>433.75</v>
      </c>
      <c r="H909">
        <v>0</v>
      </c>
      <c r="I909" t="s">
        <v>1807</v>
      </c>
      <c r="J909">
        <v>867.5</v>
      </c>
    </row>
    <row r="910" spans="1:10" x14ac:dyDescent="0.3">
      <c r="A910" t="s">
        <v>2717</v>
      </c>
      <c r="B910" s="1">
        <v>45288</v>
      </c>
      <c r="C910" t="s">
        <v>885</v>
      </c>
      <c r="D910" t="s">
        <v>1701</v>
      </c>
      <c r="E910" t="s">
        <v>1796</v>
      </c>
      <c r="F910">
        <v>3</v>
      </c>
      <c r="G910">
        <v>104.33</v>
      </c>
      <c r="H910">
        <v>0.13</v>
      </c>
      <c r="I910" t="s">
        <v>1812</v>
      </c>
      <c r="J910">
        <v>272.30130000000003</v>
      </c>
    </row>
    <row r="911" spans="1:10" x14ac:dyDescent="0.3">
      <c r="A911" t="s">
        <v>2718</v>
      </c>
      <c r="B911" s="1">
        <v>45477</v>
      </c>
      <c r="C911" t="s">
        <v>1415</v>
      </c>
      <c r="D911" t="s">
        <v>1536</v>
      </c>
      <c r="E911" t="s">
        <v>1777</v>
      </c>
      <c r="F911">
        <v>1</v>
      </c>
      <c r="G911">
        <v>221.7</v>
      </c>
      <c r="H911">
        <v>0.04</v>
      </c>
      <c r="I911" t="s">
        <v>1807</v>
      </c>
      <c r="J911">
        <v>212.83199999999999</v>
      </c>
    </row>
    <row r="912" spans="1:10" x14ac:dyDescent="0.3">
      <c r="A912" t="s">
        <v>2719</v>
      </c>
      <c r="B912" s="1">
        <v>45796</v>
      </c>
      <c r="C912" t="s">
        <v>681</v>
      </c>
      <c r="D912" t="s">
        <v>1665</v>
      </c>
      <c r="E912" t="s">
        <v>1756</v>
      </c>
      <c r="F912">
        <v>2</v>
      </c>
      <c r="G912">
        <v>491.26</v>
      </c>
      <c r="H912">
        <v>0.14000000000000001</v>
      </c>
      <c r="I912" t="s">
        <v>1812</v>
      </c>
      <c r="J912">
        <v>844.96719999999993</v>
      </c>
    </row>
    <row r="913" spans="1:10" x14ac:dyDescent="0.3">
      <c r="A913" t="s">
        <v>2720</v>
      </c>
      <c r="B913" s="1">
        <v>45630</v>
      </c>
      <c r="C913" t="s">
        <v>592</v>
      </c>
      <c r="D913" t="s">
        <v>1605</v>
      </c>
      <c r="E913" t="s">
        <v>1765</v>
      </c>
      <c r="F913">
        <v>4</v>
      </c>
      <c r="G913">
        <v>923.14</v>
      </c>
      <c r="H913">
        <v>0.15</v>
      </c>
      <c r="I913" t="s">
        <v>1807</v>
      </c>
      <c r="J913">
        <v>3138.6759999999999</v>
      </c>
    </row>
    <row r="914" spans="1:10" x14ac:dyDescent="0.3">
      <c r="A914" t="s">
        <v>2721</v>
      </c>
      <c r="B914" s="1">
        <v>45625</v>
      </c>
      <c r="C914" t="s">
        <v>628</v>
      </c>
      <c r="D914" t="s">
        <v>1659</v>
      </c>
      <c r="E914" t="s">
        <v>1762</v>
      </c>
      <c r="F914">
        <v>2</v>
      </c>
      <c r="G914">
        <v>747.65</v>
      </c>
      <c r="H914">
        <v>0.08</v>
      </c>
      <c r="I914" t="s">
        <v>1807</v>
      </c>
      <c r="J914">
        <v>1375.6759999999999</v>
      </c>
    </row>
    <row r="915" spans="1:10" x14ac:dyDescent="0.3">
      <c r="A915" t="s">
        <v>2722</v>
      </c>
      <c r="B915" s="1">
        <v>45773</v>
      </c>
      <c r="C915" t="s">
        <v>379</v>
      </c>
      <c r="D915" t="s">
        <v>1615</v>
      </c>
      <c r="E915" t="s">
        <v>1762</v>
      </c>
      <c r="F915">
        <v>3</v>
      </c>
      <c r="G915">
        <v>94.55</v>
      </c>
      <c r="H915">
        <v>0.13</v>
      </c>
      <c r="I915" t="s">
        <v>1812</v>
      </c>
      <c r="J915">
        <v>246.77549999999999</v>
      </c>
    </row>
    <row r="916" spans="1:10" x14ac:dyDescent="0.3">
      <c r="A916" t="s">
        <v>2723</v>
      </c>
      <c r="B916" s="1">
        <v>45308</v>
      </c>
      <c r="C916" t="s">
        <v>152</v>
      </c>
      <c r="D916" t="s">
        <v>1561</v>
      </c>
      <c r="E916" t="s">
        <v>1796</v>
      </c>
      <c r="F916">
        <v>3</v>
      </c>
      <c r="G916">
        <v>620.12</v>
      </c>
      <c r="H916">
        <v>0.06</v>
      </c>
      <c r="I916" t="s">
        <v>1807</v>
      </c>
      <c r="J916">
        <v>1748.7384</v>
      </c>
    </row>
    <row r="917" spans="1:10" x14ac:dyDescent="0.3">
      <c r="A917" t="s">
        <v>2724</v>
      </c>
      <c r="B917" s="1">
        <v>45869</v>
      </c>
      <c r="C917" t="s">
        <v>1478</v>
      </c>
      <c r="D917" t="s">
        <v>1669</v>
      </c>
      <c r="E917" t="s">
        <v>1759</v>
      </c>
      <c r="F917">
        <v>2</v>
      </c>
      <c r="G917">
        <v>354.09</v>
      </c>
      <c r="H917">
        <v>0.12</v>
      </c>
      <c r="I917" t="s">
        <v>1812</v>
      </c>
      <c r="J917">
        <v>623.19839999999999</v>
      </c>
    </row>
    <row r="918" spans="1:10" x14ac:dyDescent="0.3">
      <c r="A918" t="s">
        <v>2725</v>
      </c>
      <c r="B918" s="1">
        <v>45621</v>
      </c>
      <c r="C918" t="s">
        <v>442</v>
      </c>
      <c r="D918" t="s">
        <v>1637</v>
      </c>
      <c r="E918" t="s">
        <v>1756</v>
      </c>
      <c r="F918">
        <v>3</v>
      </c>
      <c r="G918">
        <v>214.94</v>
      </c>
      <c r="H918">
        <v>0.22</v>
      </c>
      <c r="I918" t="s">
        <v>1812</v>
      </c>
      <c r="J918">
        <v>502.95960000000002</v>
      </c>
    </row>
    <row r="919" spans="1:10" x14ac:dyDescent="0.3">
      <c r="A919" t="s">
        <v>2726</v>
      </c>
      <c r="B919" s="1">
        <v>45428</v>
      </c>
      <c r="C919" t="s">
        <v>645</v>
      </c>
      <c r="D919" t="s">
        <v>1548</v>
      </c>
      <c r="E919" t="s">
        <v>1777</v>
      </c>
      <c r="F919">
        <v>2</v>
      </c>
      <c r="G919">
        <v>309.77999999999997</v>
      </c>
      <c r="H919">
        <v>0.16</v>
      </c>
      <c r="I919" t="s">
        <v>1807</v>
      </c>
      <c r="J919">
        <v>520.43039999999996</v>
      </c>
    </row>
    <row r="920" spans="1:10" x14ac:dyDescent="0.3">
      <c r="A920" t="s">
        <v>2727</v>
      </c>
      <c r="B920" s="1">
        <v>45807</v>
      </c>
      <c r="C920" t="s">
        <v>252</v>
      </c>
      <c r="D920" t="s">
        <v>1557</v>
      </c>
      <c r="E920" t="s">
        <v>1749</v>
      </c>
      <c r="F920">
        <v>2</v>
      </c>
      <c r="G920">
        <v>183.85</v>
      </c>
      <c r="H920">
        <v>0.14000000000000001</v>
      </c>
      <c r="I920" t="s">
        <v>1809</v>
      </c>
      <c r="J920">
        <v>316.22199999999998</v>
      </c>
    </row>
    <row r="921" spans="1:10" x14ac:dyDescent="0.3">
      <c r="A921" t="s">
        <v>2728</v>
      </c>
      <c r="B921" s="1">
        <v>45238</v>
      </c>
      <c r="C921" t="s">
        <v>1258</v>
      </c>
      <c r="D921" t="s">
        <v>1671</v>
      </c>
      <c r="E921" t="s">
        <v>1735</v>
      </c>
      <c r="F921">
        <v>1</v>
      </c>
      <c r="G921">
        <v>550.05999999999995</v>
      </c>
      <c r="H921">
        <v>0.01</v>
      </c>
      <c r="I921" t="s">
        <v>1807</v>
      </c>
      <c r="J921">
        <v>544.55939999999998</v>
      </c>
    </row>
    <row r="922" spans="1:10" x14ac:dyDescent="0.3">
      <c r="A922" t="s">
        <v>2729</v>
      </c>
      <c r="B922" s="1">
        <v>45253</v>
      </c>
      <c r="C922" t="s">
        <v>121</v>
      </c>
      <c r="D922" t="s">
        <v>1689</v>
      </c>
      <c r="E922" t="s">
        <v>1752</v>
      </c>
      <c r="F922">
        <v>2</v>
      </c>
      <c r="G922">
        <v>32.19</v>
      </c>
      <c r="H922">
        <v>0.13</v>
      </c>
      <c r="I922" t="s">
        <v>1812</v>
      </c>
      <c r="J922">
        <v>56.010599999999997</v>
      </c>
    </row>
    <row r="923" spans="1:10" x14ac:dyDescent="0.3">
      <c r="A923" t="s">
        <v>2730</v>
      </c>
      <c r="B923" s="1">
        <v>45460</v>
      </c>
      <c r="C923" t="s">
        <v>465</v>
      </c>
      <c r="D923" t="s">
        <v>1597</v>
      </c>
      <c r="E923" t="s">
        <v>1796</v>
      </c>
      <c r="F923">
        <v>2</v>
      </c>
      <c r="G923">
        <v>892.06</v>
      </c>
      <c r="H923">
        <v>0.08</v>
      </c>
      <c r="I923" t="s">
        <v>1807</v>
      </c>
      <c r="J923">
        <v>1641.3904</v>
      </c>
    </row>
    <row r="924" spans="1:10" x14ac:dyDescent="0.3">
      <c r="A924" t="s">
        <v>2731</v>
      </c>
      <c r="B924" s="1">
        <v>45628</v>
      </c>
      <c r="C924" t="s">
        <v>1439</v>
      </c>
      <c r="D924" t="s">
        <v>1647</v>
      </c>
      <c r="E924" t="s">
        <v>1759</v>
      </c>
      <c r="F924">
        <v>1</v>
      </c>
      <c r="G924">
        <v>127.47</v>
      </c>
      <c r="H924">
        <v>0.16</v>
      </c>
      <c r="I924" t="s">
        <v>1812</v>
      </c>
      <c r="J924">
        <v>107.0748</v>
      </c>
    </row>
    <row r="925" spans="1:10" x14ac:dyDescent="0.3">
      <c r="A925" t="s">
        <v>2732</v>
      </c>
      <c r="B925" s="1">
        <v>45778</v>
      </c>
      <c r="C925" t="s">
        <v>1198</v>
      </c>
      <c r="D925" t="s">
        <v>1685</v>
      </c>
      <c r="E925" t="s">
        <v>1782</v>
      </c>
      <c r="F925">
        <v>3</v>
      </c>
      <c r="G925">
        <v>212.87</v>
      </c>
      <c r="H925">
        <v>0.18</v>
      </c>
      <c r="I925" t="s">
        <v>1807</v>
      </c>
      <c r="J925">
        <v>523.66020000000003</v>
      </c>
    </row>
    <row r="926" spans="1:10" x14ac:dyDescent="0.3">
      <c r="A926" t="s">
        <v>2733</v>
      </c>
      <c r="B926" s="1">
        <v>45471</v>
      </c>
      <c r="C926" t="s">
        <v>592</v>
      </c>
      <c r="D926" t="s">
        <v>1693</v>
      </c>
      <c r="E926" t="s">
        <v>1762</v>
      </c>
      <c r="F926">
        <v>1</v>
      </c>
      <c r="G926">
        <v>26.37</v>
      </c>
      <c r="H926">
        <v>0.3</v>
      </c>
      <c r="I926" t="s">
        <v>1812</v>
      </c>
      <c r="J926">
        <v>18.459</v>
      </c>
    </row>
    <row r="927" spans="1:10" x14ac:dyDescent="0.3">
      <c r="A927" t="s">
        <v>2734</v>
      </c>
      <c r="B927" s="1">
        <v>45770</v>
      </c>
      <c r="C927" t="s">
        <v>1421</v>
      </c>
      <c r="D927" t="s">
        <v>1599</v>
      </c>
      <c r="E927" t="s">
        <v>1793</v>
      </c>
      <c r="F927">
        <v>4</v>
      </c>
      <c r="G927">
        <v>953.98</v>
      </c>
      <c r="H927">
        <v>0.16</v>
      </c>
      <c r="I927" t="s">
        <v>1807</v>
      </c>
      <c r="J927">
        <v>3205.3728000000001</v>
      </c>
    </row>
    <row r="928" spans="1:10" x14ac:dyDescent="0.3">
      <c r="A928" t="s">
        <v>2735</v>
      </c>
      <c r="B928" s="1">
        <v>45369</v>
      </c>
      <c r="C928" t="s">
        <v>693</v>
      </c>
      <c r="D928" t="s">
        <v>1665</v>
      </c>
      <c r="E928" t="s">
        <v>1796</v>
      </c>
      <c r="F928">
        <v>3</v>
      </c>
      <c r="G928">
        <v>968.88</v>
      </c>
      <c r="H928">
        <v>0.15</v>
      </c>
      <c r="I928" t="s">
        <v>1807</v>
      </c>
      <c r="J928">
        <v>2470.6439999999998</v>
      </c>
    </row>
    <row r="929" spans="1:10" x14ac:dyDescent="0.3">
      <c r="A929" t="s">
        <v>2736</v>
      </c>
      <c r="B929" s="1">
        <v>45910</v>
      </c>
      <c r="C929" t="s">
        <v>610</v>
      </c>
      <c r="D929" t="s">
        <v>1683</v>
      </c>
      <c r="E929" t="s">
        <v>1793</v>
      </c>
      <c r="F929">
        <v>1</v>
      </c>
      <c r="G929">
        <v>533.04999999999995</v>
      </c>
      <c r="H929">
        <v>0.11</v>
      </c>
      <c r="I929" t="s">
        <v>1809</v>
      </c>
      <c r="J929">
        <v>474.41449999999998</v>
      </c>
    </row>
    <row r="930" spans="1:10" x14ac:dyDescent="0.3">
      <c r="A930" t="s">
        <v>2737</v>
      </c>
      <c r="B930" s="1">
        <v>45637</v>
      </c>
      <c r="C930" t="s">
        <v>1177</v>
      </c>
      <c r="D930" t="s">
        <v>1693</v>
      </c>
      <c r="E930" t="s">
        <v>1740</v>
      </c>
      <c r="F930">
        <v>3</v>
      </c>
      <c r="G930">
        <v>138.86000000000001</v>
      </c>
      <c r="H930">
        <v>0.11</v>
      </c>
      <c r="I930" t="s">
        <v>1809</v>
      </c>
      <c r="J930">
        <v>370.75619999999998</v>
      </c>
    </row>
    <row r="931" spans="1:10" x14ac:dyDescent="0.3">
      <c r="A931" t="s">
        <v>2738</v>
      </c>
      <c r="B931" s="1">
        <v>45706</v>
      </c>
      <c r="C931" t="s">
        <v>527</v>
      </c>
      <c r="D931" t="s">
        <v>1575</v>
      </c>
      <c r="E931" t="s">
        <v>1735</v>
      </c>
      <c r="F931">
        <v>1</v>
      </c>
      <c r="G931">
        <v>588.92999999999995</v>
      </c>
      <c r="H931">
        <v>0.03</v>
      </c>
      <c r="I931" t="s">
        <v>1812</v>
      </c>
      <c r="J931">
        <v>571.26209999999992</v>
      </c>
    </row>
    <row r="932" spans="1:10" x14ac:dyDescent="0.3">
      <c r="A932" t="s">
        <v>2739</v>
      </c>
      <c r="B932" s="1">
        <v>45557</v>
      </c>
      <c r="C932" t="s">
        <v>1240</v>
      </c>
      <c r="D932" t="s">
        <v>1635</v>
      </c>
      <c r="E932" t="s">
        <v>1756</v>
      </c>
      <c r="F932">
        <v>2</v>
      </c>
      <c r="G932">
        <v>576.83000000000004</v>
      </c>
      <c r="H932">
        <v>0.19</v>
      </c>
      <c r="I932" t="s">
        <v>1809</v>
      </c>
      <c r="J932">
        <v>934.46460000000013</v>
      </c>
    </row>
    <row r="933" spans="1:10" x14ac:dyDescent="0.3">
      <c r="A933" t="s">
        <v>2740</v>
      </c>
      <c r="B933" s="1">
        <v>45338</v>
      </c>
      <c r="C933" t="s">
        <v>1007</v>
      </c>
      <c r="D933" t="s">
        <v>1661</v>
      </c>
      <c r="E933" t="s">
        <v>1777</v>
      </c>
      <c r="F933">
        <v>1</v>
      </c>
      <c r="G933">
        <v>681.3</v>
      </c>
      <c r="H933">
        <v>0.05</v>
      </c>
      <c r="I933" t="s">
        <v>1807</v>
      </c>
      <c r="J933">
        <v>647.2349999999999</v>
      </c>
    </row>
    <row r="934" spans="1:10" x14ac:dyDescent="0.3">
      <c r="A934" t="s">
        <v>2741</v>
      </c>
      <c r="B934" s="1">
        <v>45441</v>
      </c>
      <c r="C934" t="s">
        <v>1395</v>
      </c>
      <c r="D934" t="s">
        <v>1581</v>
      </c>
      <c r="E934" t="s">
        <v>1784</v>
      </c>
      <c r="F934">
        <v>3</v>
      </c>
      <c r="G934">
        <v>504.97</v>
      </c>
      <c r="H934">
        <v>0.3</v>
      </c>
      <c r="I934" t="s">
        <v>1807</v>
      </c>
      <c r="J934">
        <v>1060.4369999999999</v>
      </c>
    </row>
    <row r="935" spans="1:10" x14ac:dyDescent="0.3">
      <c r="A935" t="s">
        <v>2742</v>
      </c>
      <c r="B935" s="1">
        <v>45396</v>
      </c>
      <c r="C935" t="s">
        <v>221</v>
      </c>
      <c r="D935" t="s">
        <v>1607</v>
      </c>
      <c r="E935" t="s">
        <v>1775</v>
      </c>
      <c r="F935">
        <v>3</v>
      </c>
      <c r="G935">
        <v>649.78</v>
      </c>
      <c r="H935">
        <v>0.1</v>
      </c>
      <c r="I935" t="s">
        <v>1809</v>
      </c>
      <c r="J935">
        <v>1754.4059999999999</v>
      </c>
    </row>
    <row r="936" spans="1:10" x14ac:dyDescent="0.3">
      <c r="A936" t="s">
        <v>2743</v>
      </c>
      <c r="B936" s="1">
        <v>45317</v>
      </c>
      <c r="C936" t="s">
        <v>779</v>
      </c>
      <c r="D936" t="s">
        <v>1609</v>
      </c>
      <c r="E936" t="s">
        <v>1769</v>
      </c>
      <c r="F936">
        <v>2</v>
      </c>
      <c r="G936">
        <v>986.73</v>
      </c>
      <c r="H936">
        <v>0.05</v>
      </c>
      <c r="I936" t="s">
        <v>1809</v>
      </c>
      <c r="J936">
        <v>1874.787</v>
      </c>
    </row>
    <row r="937" spans="1:10" x14ac:dyDescent="0.3">
      <c r="A937" t="s">
        <v>2744</v>
      </c>
      <c r="B937" s="1">
        <v>45235</v>
      </c>
      <c r="C937" t="s">
        <v>409</v>
      </c>
      <c r="D937" t="s">
        <v>1557</v>
      </c>
      <c r="E937" t="s">
        <v>1784</v>
      </c>
      <c r="F937">
        <v>2</v>
      </c>
      <c r="G937">
        <v>65.44</v>
      </c>
      <c r="H937">
        <v>0.05</v>
      </c>
      <c r="I937" t="s">
        <v>1809</v>
      </c>
      <c r="J937">
        <v>124.336</v>
      </c>
    </row>
    <row r="938" spans="1:10" x14ac:dyDescent="0.3">
      <c r="A938" t="s">
        <v>2745</v>
      </c>
      <c r="B938" s="1">
        <v>45824</v>
      </c>
      <c r="C938" t="s">
        <v>1183</v>
      </c>
      <c r="D938" t="s">
        <v>1657</v>
      </c>
      <c r="E938" t="s">
        <v>1780</v>
      </c>
      <c r="F938">
        <v>3</v>
      </c>
      <c r="G938">
        <v>953.74</v>
      </c>
      <c r="H938">
        <v>0.04</v>
      </c>
      <c r="I938" t="s">
        <v>1807</v>
      </c>
      <c r="J938">
        <v>2746.7712000000001</v>
      </c>
    </row>
    <row r="939" spans="1:10" x14ac:dyDescent="0.3">
      <c r="A939" t="s">
        <v>2746</v>
      </c>
      <c r="B939" s="1">
        <v>45543</v>
      </c>
      <c r="C939" t="s">
        <v>244</v>
      </c>
      <c r="D939" t="s">
        <v>1683</v>
      </c>
      <c r="E939" t="s">
        <v>1772</v>
      </c>
      <c r="F939">
        <v>3</v>
      </c>
      <c r="G939">
        <v>904.48</v>
      </c>
      <c r="H939">
        <v>0.21</v>
      </c>
      <c r="I939" t="s">
        <v>1809</v>
      </c>
      <c r="J939">
        <v>2143.6176</v>
      </c>
    </row>
    <row r="940" spans="1:10" x14ac:dyDescent="0.3">
      <c r="A940" t="s">
        <v>2747</v>
      </c>
      <c r="B940" s="1">
        <v>45595</v>
      </c>
      <c r="C940" t="s">
        <v>1496</v>
      </c>
      <c r="D940" t="s">
        <v>1655</v>
      </c>
      <c r="E940" t="s">
        <v>1784</v>
      </c>
      <c r="F940">
        <v>3</v>
      </c>
      <c r="G940">
        <v>920.82</v>
      </c>
      <c r="H940">
        <v>0.1</v>
      </c>
      <c r="I940" t="s">
        <v>1809</v>
      </c>
      <c r="J940">
        <v>2486.2139999999999</v>
      </c>
    </row>
    <row r="941" spans="1:10" x14ac:dyDescent="0.3">
      <c r="A941" t="s">
        <v>2748</v>
      </c>
      <c r="B941" s="1">
        <v>45803</v>
      </c>
      <c r="C941" t="s">
        <v>953</v>
      </c>
      <c r="D941" t="s">
        <v>1587</v>
      </c>
      <c r="E941" t="s">
        <v>1740</v>
      </c>
      <c r="F941">
        <v>1</v>
      </c>
      <c r="G941">
        <v>182.28</v>
      </c>
      <c r="H941">
        <v>0.15</v>
      </c>
      <c r="I941" t="s">
        <v>1812</v>
      </c>
      <c r="J941">
        <v>154.93799999999999</v>
      </c>
    </row>
    <row r="942" spans="1:10" x14ac:dyDescent="0.3">
      <c r="A942" t="s">
        <v>2749</v>
      </c>
      <c r="B942" s="1">
        <v>45880</v>
      </c>
      <c r="C942" t="s">
        <v>1361</v>
      </c>
      <c r="D942" t="s">
        <v>1593</v>
      </c>
      <c r="E942" t="s">
        <v>1787</v>
      </c>
      <c r="F942">
        <v>3</v>
      </c>
      <c r="G942">
        <v>938.68</v>
      </c>
      <c r="H942">
        <v>0.14000000000000001</v>
      </c>
      <c r="I942" t="s">
        <v>1807</v>
      </c>
      <c r="J942">
        <v>2421.7944000000002</v>
      </c>
    </row>
    <row r="943" spans="1:10" x14ac:dyDescent="0.3">
      <c r="A943" t="s">
        <v>2750</v>
      </c>
      <c r="B943" s="1">
        <v>45690</v>
      </c>
      <c r="C943" t="s">
        <v>292</v>
      </c>
      <c r="D943" t="s">
        <v>1713</v>
      </c>
      <c r="E943" t="s">
        <v>1756</v>
      </c>
      <c r="F943">
        <v>3</v>
      </c>
      <c r="G943">
        <v>219.96</v>
      </c>
      <c r="H943">
        <v>0.18</v>
      </c>
      <c r="I943" t="s">
        <v>1809</v>
      </c>
      <c r="J943">
        <v>541.10160000000008</v>
      </c>
    </row>
    <row r="944" spans="1:10" x14ac:dyDescent="0.3">
      <c r="A944" t="s">
        <v>2751</v>
      </c>
      <c r="B944" s="1">
        <v>45841</v>
      </c>
      <c r="C944" t="s">
        <v>1442</v>
      </c>
      <c r="D944" t="s">
        <v>1673</v>
      </c>
      <c r="E944" t="s">
        <v>1793</v>
      </c>
      <c r="F944">
        <v>3</v>
      </c>
      <c r="G944">
        <v>385.74</v>
      </c>
      <c r="H944">
        <v>0.27</v>
      </c>
      <c r="I944" t="s">
        <v>1807</v>
      </c>
      <c r="J944">
        <v>844.77059999999994</v>
      </c>
    </row>
    <row r="945" spans="1:10" x14ac:dyDescent="0.3">
      <c r="A945" t="s">
        <v>2752</v>
      </c>
      <c r="B945" s="1">
        <v>45380</v>
      </c>
      <c r="C945" t="s">
        <v>1384</v>
      </c>
      <c r="D945" t="s">
        <v>1693</v>
      </c>
      <c r="E945" t="s">
        <v>1793</v>
      </c>
      <c r="F945">
        <v>2</v>
      </c>
      <c r="G945">
        <v>830.94</v>
      </c>
      <c r="H945">
        <v>0.28000000000000003</v>
      </c>
      <c r="I945" t="s">
        <v>1809</v>
      </c>
      <c r="J945">
        <v>1196.5536</v>
      </c>
    </row>
    <row r="946" spans="1:10" x14ac:dyDescent="0.3">
      <c r="A946" t="s">
        <v>2753</v>
      </c>
      <c r="B946" s="1">
        <v>45503</v>
      </c>
      <c r="C946" t="s">
        <v>1183</v>
      </c>
      <c r="D946" t="s">
        <v>1534</v>
      </c>
      <c r="E946" t="s">
        <v>1769</v>
      </c>
      <c r="F946">
        <v>3</v>
      </c>
      <c r="G946">
        <v>462.75</v>
      </c>
      <c r="H946">
        <v>0.22</v>
      </c>
      <c r="I946" t="s">
        <v>1809</v>
      </c>
      <c r="J946">
        <v>1082.835</v>
      </c>
    </row>
    <row r="947" spans="1:10" x14ac:dyDescent="0.3">
      <c r="A947" t="s">
        <v>2754</v>
      </c>
      <c r="B947" s="1">
        <v>45567</v>
      </c>
      <c r="C947" t="s">
        <v>244</v>
      </c>
      <c r="D947" t="s">
        <v>1559</v>
      </c>
      <c r="E947" t="s">
        <v>1784</v>
      </c>
      <c r="F947">
        <v>4</v>
      </c>
      <c r="G947">
        <v>973.9</v>
      </c>
      <c r="H947">
        <v>0.02</v>
      </c>
      <c r="I947" t="s">
        <v>1812</v>
      </c>
      <c r="J947">
        <v>3817.6880000000001</v>
      </c>
    </row>
    <row r="948" spans="1:10" x14ac:dyDescent="0.3">
      <c r="A948" t="s">
        <v>2755</v>
      </c>
      <c r="B948" s="1">
        <v>45600</v>
      </c>
      <c r="C948" t="s">
        <v>470</v>
      </c>
      <c r="D948" t="s">
        <v>1601</v>
      </c>
      <c r="E948" t="s">
        <v>1740</v>
      </c>
      <c r="F948">
        <v>2</v>
      </c>
      <c r="G948">
        <v>157.18</v>
      </c>
      <c r="H948">
        <v>0.15</v>
      </c>
      <c r="I948" t="s">
        <v>1807</v>
      </c>
      <c r="J948">
        <v>267.20600000000002</v>
      </c>
    </row>
    <row r="949" spans="1:10" x14ac:dyDescent="0.3">
      <c r="A949" t="s">
        <v>2756</v>
      </c>
      <c r="B949" s="1">
        <v>45415</v>
      </c>
      <c r="C949" t="s">
        <v>63</v>
      </c>
      <c r="D949" t="s">
        <v>1677</v>
      </c>
      <c r="E949" t="s">
        <v>1780</v>
      </c>
      <c r="F949">
        <v>3</v>
      </c>
      <c r="G949">
        <v>239.57</v>
      </c>
      <c r="H949">
        <v>0.16</v>
      </c>
      <c r="I949" t="s">
        <v>1807</v>
      </c>
      <c r="J949">
        <v>603.71640000000002</v>
      </c>
    </row>
    <row r="950" spans="1:10" x14ac:dyDescent="0.3">
      <c r="A950" t="s">
        <v>2757</v>
      </c>
      <c r="B950" s="1">
        <v>45343</v>
      </c>
      <c r="C950" t="s">
        <v>1018</v>
      </c>
      <c r="D950" t="s">
        <v>1548</v>
      </c>
      <c r="E950" t="s">
        <v>1787</v>
      </c>
      <c r="F950">
        <v>4</v>
      </c>
      <c r="G950">
        <v>583.21</v>
      </c>
      <c r="H950">
        <v>0.2</v>
      </c>
      <c r="I950" t="s">
        <v>1807</v>
      </c>
      <c r="J950">
        <v>1866.2719999999999</v>
      </c>
    </row>
    <row r="951" spans="1:10" x14ac:dyDescent="0.3">
      <c r="A951" t="s">
        <v>2758</v>
      </c>
      <c r="B951" s="1">
        <v>45399</v>
      </c>
      <c r="C951" t="s">
        <v>1269</v>
      </c>
      <c r="D951" t="s">
        <v>1693</v>
      </c>
      <c r="E951" t="s">
        <v>1765</v>
      </c>
      <c r="F951">
        <v>3</v>
      </c>
      <c r="G951">
        <v>758.75</v>
      </c>
      <c r="H951">
        <v>0.27</v>
      </c>
      <c r="I951" t="s">
        <v>1809</v>
      </c>
      <c r="J951">
        <v>1661.6624999999999</v>
      </c>
    </row>
    <row r="952" spans="1:10" x14ac:dyDescent="0.3">
      <c r="A952" t="s">
        <v>2759</v>
      </c>
      <c r="B952" s="1">
        <v>45689</v>
      </c>
      <c r="C952" t="s">
        <v>965</v>
      </c>
      <c r="D952" t="s">
        <v>1653</v>
      </c>
      <c r="E952" t="s">
        <v>1756</v>
      </c>
      <c r="F952">
        <v>4</v>
      </c>
      <c r="G952">
        <v>372.42</v>
      </c>
      <c r="H952">
        <v>0.19</v>
      </c>
      <c r="I952" t="s">
        <v>1807</v>
      </c>
      <c r="J952">
        <v>1206.6407999999999</v>
      </c>
    </row>
    <row r="953" spans="1:10" x14ac:dyDescent="0.3">
      <c r="A953" t="s">
        <v>2760</v>
      </c>
      <c r="B953" s="1">
        <v>45699</v>
      </c>
      <c r="C953" t="s">
        <v>512</v>
      </c>
      <c r="D953" t="s">
        <v>1657</v>
      </c>
      <c r="E953" t="s">
        <v>1796</v>
      </c>
      <c r="F953">
        <v>4</v>
      </c>
      <c r="G953">
        <v>286.27999999999997</v>
      </c>
      <c r="H953">
        <v>0.28000000000000003</v>
      </c>
      <c r="I953" t="s">
        <v>1809</v>
      </c>
      <c r="J953">
        <v>824.48639999999989</v>
      </c>
    </row>
    <row r="954" spans="1:10" x14ac:dyDescent="0.3">
      <c r="A954" t="s">
        <v>2761</v>
      </c>
      <c r="B954" s="1">
        <v>45663</v>
      </c>
      <c r="C954" t="s">
        <v>879</v>
      </c>
      <c r="D954" t="s">
        <v>1677</v>
      </c>
      <c r="E954" t="s">
        <v>1775</v>
      </c>
      <c r="F954">
        <v>3</v>
      </c>
      <c r="G954">
        <v>488.37</v>
      </c>
      <c r="H954">
        <v>0.27</v>
      </c>
      <c r="I954" t="s">
        <v>1812</v>
      </c>
      <c r="J954">
        <v>1069.5302999999999</v>
      </c>
    </row>
    <row r="955" spans="1:10" x14ac:dyDescent="0.3">
      <c r="A955" t="s">
        <v>2762</v>
      </c>
      <c r="B955" s="1">
        <v>45377</v>
      </c>
      <c r="C955" t="s">
        <v>1430</v>
      </c>
      <c r="D955" t="s">
        <v>1705</v>
      </c>
      <c r="E955" t="s">
        <v>1765</v>
      </c>
      <c r="F955">
        <v>3</v>
      </c>
      <c r="G955">
        <v>662.82</v>
      </c>
      <c r="H955">
        <v>0.01</v>
      </c>
      <c r="I955" t="s">
        <v>1812</v>
      </c>
      <c r="J955">
        <v>1968.5753999999999</v>
      </c>
    </row>
    <row r="956" spans="1:10" x14ac:dyDescent="0.3">
      <c r="A956" t="s">
        <v>2763</v>
      </c>
      <c r="B956" s="1">
        <v>45412</v>
      </c>
      <c r="C956" t="s">
        <v>1510</v>
      </c>
      <c r="D956" t="s">
        <v>1540</v>
      </c>
      <c r="E956" t="s">
        <v>1787</v>
      </c>
      <c r="F956">
        <v>2</v>
      </c>
      <c r="G956">
        <v>824.34</v>
      </c>
      <c r="H956">
        <v>0.1</v>
      </c>
      <c r="I956" t="s">
        <v>1812</v>
      </c>
      <c r="J956">
        <v>1483.8119999999999</v>
      </c>
    </row>
    <row r="957" spans="1:10" x14ac:dyDescent="0.3">
      <c r="A957" t="s">
        <v>2764</v>
      </c>
      <c r="B957" s="1">
        <v>45349</v>
      </c>
      <c r="C957" t="s">
        <v>391</v>
      </c>
      <c r="D957" t="s">
        <v>1649</v>
      </c>
      <c r="E957" t="s">
        <v>1765</v>
      </c>
      <c r="F957">
        <v>1</v>
      </c>
      <c r="G957">
        <v>437.12</v>
      </c>
      <c r="H957">
        <v>0.21</v>
      </c>
      <c r="I957" t="s">
        <v>1807</v>
      </c>
      <c r="J957">
        <v>345.32479999999998</v>
      </c>
    </row>
    <row r="958" spans="1:10" x14ac:dyDescent="0.3">
      <c r="A958" t="s">
        <v>2765</v>
      </c>
      <c r="B958" s="1">
        <v>45486</v>
      </c>
      <c r="C958" t="s">
        <v>1106</v>
      </c>
      <c r="D958" t="s">
        <v>1707</v>
      </c>
      <c r="E958" t="s">
        <v>1759</v>
      </c>
      <c r="F958">
        <v>3</v>
      </c>
      <c r="G958">
        <v>23.37</v>
      </c>
      <c r="H958">
        <v>0.15</v>
      </c>
      <c r="I958" t="s">
        <v>1809</v>
      </c>
      <c r="J958">
        <v>59.593499999999999</v>
      </c>
    </row>
    <row r="959" spans="1:10" x14ac:dyDescent="0.3">
      <c r="A959" t="s">
        <v>2766</v>
      </c>
      <c r="B959" s="1">
        <v>45761</v>
      </c>
      <c r="C959" t="s">
        <v>610</v>
      </c>
      <c r="D959" t="s">
        <v>1603</v>
      </c>
      <c r="E959" t="s">
        <v>1765</v>
      </c>
      <c r="F959">
        <v>1</v>
      </c>
      <c r="G959">
        <v>579.69000000000005</v>
      </c>
      <c r="H959">
        <v>0.02</v>
      </c>
      <c r="I959" t="s">
        <v>1807</v>
      </c>
      <c r="J959">
        <v>568.09620000000007</v>
      </c>
    </row>
    <row r="960" spans="1:10" x14ac:dyDescent="0.3">
      <c r="A960" t="s">
        <v>2767</v>
      </c>
      <c r="B960" s="1">
        <v>45639</v>
      </c>
      <c r="C960" t="s">
        <v>1318</v>
      </c>
      <c r="D960" t="s">
        <v>1687</v>
      </c>
      <c r="E960" t="s">
        <v>1782</v>
      </c>
      <c r="F960">
        <v>3</v>
      </c>
      <c r="G960">
        <v>240.51</v>
      </c>
      <c r="H960">
        <v>7.0000000000000007E-2</v>
      </c>
      <c r="I960" t="s">
        <v>1807</v>
      </c>
      <c r="J960">
        <v>671.02289999999994</v>
      </c>
    </row>
    <row r="961" spans="1:10" x14ac:dyDescent="0.3">
      <c r="A961" t="s">
        <v>2768</v>
      </c>
      <c r="B961" s="1">
        <v>45893</v>
      </c>
      <c r="C961" t="s">
        <v>1180</v>
      </c>
      <c r="D961" t="s">
        <v>1581</v>
      </c>
      <c r="E961" t="s">
        <v>1782</v>
      </c>
      <c r="F961">
        <v>2</v>
      </c>
      <c r="G961">
        <v>855.4</v>
      </c>
      <c r="H961">
        <v>0.08</v>
      </c>
      <c r="I961" t="s">
        <v>1812</v>
      </c>
      <c r="J961">
        <v>1573.9359999999999</v>
      </c>
    </row>
    <row r="962" spans="1:10" x14ac:dyDescent="0.3">
      <c r="A962" t="s">
        <v>2769</v>
      </c>
      <c r="B962" s="1">
        <v>45227</v>
      </c>
      <c r="C962" t="s">
        <v>40</v>
      </c>
      <c r="D962" t="s">
        <v>1711</v>
      </c>
      <c r="E962" t="s">
        <v>1762</v>
      </c>
      <c r="F962">
        <v>1</v>
      </c>
      <c r="G962">
        <v>537.26</v>
      </c>
      <c r="H962">
        <v>0.09</v>
      </c>
      <c r="I962" t="s">
        <v>1807</v>
      </c>
      <c r="J962">
        <v>488.90660000000003</v>
      </c>
    </row>
    <row r="963" spans="1:10" x14ac:dyDescent="0.3">
      <c r="A963" t="s">
        <v>2770</v>
      </c>
      <c r="B963" s="1">
        <v>45637</v>
      </c>
      <c r="C963" t="s">
        <v>1186</v>
      </c>
      <c r="D963" t="s">
        <v>1633</v>
      </c>
      <c r="E963" t="s">
        <v>1772</v>
      </c>
      <c r="F963">
        <v>3</v>
      </c>
      <c r="G963">
        <v>918.26</v>
      </c>
      <c r="H963">
        <v>0.17</v>
      </c>
      <c r="I963" t="s">
        <v>1812</v>
      </c>
      <c r="J963">
        <v>2286.4674</v>
      </c>
    </row>
    <row r="964" spans="1:10" x14ac:dyDescent="0.3">
      <c r="A964" t="s">
        <v>2771</v>
      </c>
      <c r="B964" s="1">
        <v>45472</v>
      </c>
      <c r="C964" t="s">
        <v>336</v>
      </c>
      <c r="D964" t="s">
        <v>1540</v>
      </c>
      <c r="E964" t="s">
        <v>1769</v>
      </c>
      <c r="F964">
        <v>4</v>
      </c>
      <c r="G964">
        <v>579.70000000000005</v>
      </c>
      <c r="H964">
        <v>0.18</v>
      </c>
      <c r="I964" t="s">
        <v>1809</v>
      </c>
      <c r="J964">
        <v>1901.4159999999999</v>
      </c>
    </row>
    <row r="965" spans="1:10" x14ac:dyDescent="0.3">
      <c r="A965" t="s">
        <v>2772</v>
      </c>
      <c r="B965" s="1">
        <v>45710</v>
      </c>
      <c r="C965" t="s">
        <v>485</v>
      </c>
      <c r="D965" t="s">
        <v>1617</v>
      </c>
      <c r="E965" t="s">
        <v>1759</v>
      </c>
      <c r="F965">
        <v>1</v>
      </c>
      <c r="G965">
        <v>824.32</v>
      </c>
      <c r="H965">
        <v>0.18</v>
      </c>
      <c r="I965" t="s">
        <v>1807</v>
      </c>
      <c r="J965">
        <v>675.94240000000013</v>
      </c>
    </row>
    <row r="966" spans="1:10" x14ac:dyDescent="0.3">
      <c r="A966" t="s">
        <v>2773</v>
      </c>
      <c r="B966" s="1">
        <v>45682</v>
      </c>
      <c r="C966" t="s">
        <v>379</v>
      </c>
      <c r="D966" t="s">
        <v>1623</v>
      </c>
      <c r="E966" t="s">
        <v>1784</v>
      </c>
      <c r="F966">
        <v>4</v>
      </c>
      <c r="G966">
        <v>614.99</v>
      </c>
      <c r="H966">
        <v>0.16</v>
      </c>
      <c r="I966" t="s">
        <v>1809</v>
      </c>
      <c r="J966">
        <v>2066.3663999999999</v>
      </c>
    </row>
    <row r="967" spans="1:10" x14ac:dyDescent="0.3">
      <c r="A967" t="s">
        <v>2774</v>
      </c>
      <c r="B967" s="1">
        <v>45730</v>
      </c>
      <c r="C967" t="s">
        <v>436</v>
      </c>
      <c r="D967" t="s">
        <v>1655</v>
      </c>
      <c r="E967" t="s">
        <v>1735</v>
      </c>
      <c r="F967">
        <v>4</v>
      </c>
      <c r="G967">
        <v>189.21</v>
      </c>
      <c r="H967">
        <v>0.06</v>
      </c>
      <c r="I967" t="s">
        <v>1812</v>
      </c>
      <c r="J967">
        <v>711.42959999999994</v>
      </c>
    </row>
    <row r="968" spans="1:10" x14ac:dyDescent="0.3">
      <c r="A968" t="s">
        <v>2775</v>
      </c>
      <c r="B968" s="1">
        <v>45629</v>
      </c>
      <c r="C968" t="s">
        <v>512</v>
      </c>
      <c r="D968" t="s">
        <v>1655</v>
      </c>
      <c r="E968" t="s">
        <v>1782</v>
      </c>
      <c r="F968">
        <v>2</v>
      </c>
      <c r="G968">
        <v>233.33</v>
      </c>
      <c r="H968">
        <v>0.05</v>
      </c>
      <c r="I968" t="s">
        <v>1807</v>
      </c>
      <c r="J968">
        <v>443.327</v>
      </c>
    </row>
    <row r="969" spans="1:10" x14ac:dyDescent="0.3">
      <c r="A969" t="s">
        <v>2776</v>
      </c>
      <c r="B969" s="1">
        <v>45783</v>
      </c>
      <c r="C969" t="s">
        <v>788</v>
      </c>
      <c r="D969" t="s">
        <v>1609</v>
      </c>
      <c r="E969" t="s">
        <v>1793</v>
      </c>
      <c r="F969">
        <v>3</v>
      </c>
      <c r="G969">
        <v>529.89</v>
      </c>
      <c r="H969">
        <v>0.21</v>
      </c>
      <c r="I969" t="s">
        <v>1807</v>
      </c>
      <c r="J969">
        <v>1255.8393000000001</v>
      </c>
    </row>
    <row r="970" spans="1:10" x14ac:dyDescent="0.3">
      <c r="A970" t="s">
        <v>2777</v>
      </c>
      <c r="B970" s="1">
        <v>45518</v>
      </c>
      <c r="C970" t="s">
        <v>1487</v>
      </c>
      <c r="D970" t="s">
        <v>1715</v>
      </c>
      <c r="E970" t="s">
        <v>1740</v>
      </c>
      <c r="F970">
        <v>2</v>
      </c>
      <c r="G970">
        <v>954.1</v>
      </c>
      <c r="H970">
        <v>0.17</v>
      </c>
      <c r="I970" t="s">
        <v>1809</v>
      </c>
      <c r="J970">
        <v>1583.806</v>
      </c>
    </row>
    <row r="971" spans="1:10" x14ac:dyDescent="0.3">
      <c r="A971" t="s">
        <v>2778</v>
      </c>
      <c r="B971" s="1">
        <v>45274</v>
      </c>
      <c r="C971" t="s">
        <v>1007</v>
      </c>
      <c r="D971" t="s">
        <v>1661</v>
      </c>
      <c r="E971" t="s">
        <v>1762</v>
      </c>
      <c r="F971">
        <v>1</v>
      </c>
      <c r="G971">
        <v>370.04</v>
      </c>
      <c r="H971">
        <v>0.04</v>
      </c>
      <c r="I971" t="s">
        <v>1812</v>
      </c>
      <c r="J971">
        <v>355.23840000000001</v>
      </c>
    </row>
    <row r="972" spans="1:10" x14ac:dyDescent="0.3">
      <c r="A972" t="s">
        <v>2779</v>
      </c>
      <c r="B972" s="1">
        <v>45297</v>
      </c>
      <c r="C972" t="s">
        <v>224</v>
      </c>
      <c r="D972" t="s">
        <v>1723</v>
      </c>
      <c r="E972" t="s">
        <v>1796</v>
      </c>
      <c r="F972">
        <v>4</v>
      </c>
      <c r="G972">
        <v>492.71</v>
      </c>
      <c r="H972">
        <v>0.08</v>
      </c>
      <c r="I972" t="s">
        <v>1807</v>
      </c>
      <c r="J972">
        <v>1813.1728000000001</v>
      </c>
    </row>
    <row r="973" spans="1:10" x14ac:dyDescent="0.3">
      <c r="A973" t="s">
        <v>2780</v>
      </c>
      <c r="B973" s="1">
        <v>45530</v>
      </c>
      <c r="C973" t="s">
        <v>882</v>
      </c>
      <c r="D973" t="s">
        <v>1713</v>
      </c>
      <c r="E973" t="s">
        <v>1780</v>
      </c>
      <c r="F973">
        <v>4</v>
      </c>
      <c r="G973">
        <v>853.26</v>
      </c>
      <c r="H973">
        <v>0.24</v>
      </c>
      <c r="I973" t="s">
        <v>1812</v>
      </c>
      <c r="J973">
        <v>2593.9104000000002</v>
      </c>
    </row>
    <row r="974" spans="1:10" x14ac:dyDescent="0.3">
      <c r="A974" t="s">
        <v>2781</v>
      </c>
      <c r="B974" s="1">
        <v>45740</v>
      </c>
      <c r="C974" t="s">
        <v>1249</v>
      </c>
      <c r="D974" t="s">
        <v>1534</v>
      </c>
      <c r="E974" t="s">
        <v>1787</v>
      </c>
      <c r="F974">
        <v>1</v>
      </c>
      <c r="G974">
        <v>402.47</v>
      </c>
      <c r="H974">
        <v>0.19</v>
      </c>
      <c r="I974" t="s">
        <v>1809</v>
      </c>
      <c r="J974">
        <v>326.00070000000011</v>
      </c>
    </row>
    <row r="975" spans="1:10" x14ac:dyDescent="0.3">
      <c r="A975" t="s">
        <v>2782</v>
      </c>
      <c r="B975" s="1">
        <v>45311</v>
      </c>
      <c r="C975" t="s">
        <v>1238</v>
      </c>
      <c r="D975" t="s">
        <v>1639</v>
      </c>
      <c r="E975" t="s">
        <v>1793</v>
      </c>
      <c r="F975">
        <v>2</v>
      </c>
      <c r="G975">
        <v>528.29999999999995</v>
      </c>
      <c r="H975">
        <v>0.24</v>
      </c>
      <c r="I975" t="s">
        <v>1807</v>
      </c>
      <c r="J975">
        <v>803.01599999999996</v>
      </c>
    </row>
    <row r="976" spans="1:10" x14ac:dyDescent="0.3">
      <c r="A976" t="s">
        <v>2783</v>
      </c>
      <c r="B976" s="1">
        <v>45667</v>
      </c>
      <c r="C976" t="s">
        <v>1358</v>
      </c>
      <c r="D976" t="s">
        <v>1551</v>
      </c>
      <c r="E976" t="s">
        <v>1759</v>
      </c>
      <c r="F976">
        <v>4</v>
      </c>
      <c r="G976">
        <v>599.85</v>
      </c>
      <c r="H976">
        <v>0.25</v>
      </c>
      <c r="I976" t="s">
        <v>1807</v>
      </c>
      <c r="J976">
        <v>1799.55</v>
      </c>
    </row>
    <row r="977" spans="1:10" x14ac:dyDescent="0.3">
      <c r="A977" t="s">
        <v>2784</v>
      </c>
      <c r="B977" s="1">
        <v>45281</v>
      </c>
      <c r="C977" t="s">
        <v>948</v>
      </c>
      <c r="D977" t="s">
        <v>1563</v>
      </c>
      <c r="E977" t="s">
        <v>1769</v>
      </c>
      <c r="F977">
        <v>2</v>
      </c>
      <c r="G977">
        <v>61.42</v>
      </c>
      <c r="H977">
        <v>0.08</v>
      </c>
      <c r="I977" t="s">
        <v>1809</v>
      </c>
      <c r="J977">
        <v>113.0128</v>
      </c>
    </row>
    <row r="978" spans="1:10" x14ac:dyDescent="0.3">
      <c r="A978" t="s">
        <v>2785</v>
      </c>
      <c r="B978" s="1">
        <v>45693</v>
      </c>
      <c r="C978" t="s">
        <v>791</v>
      </c>
      <c r="D978" t="s">
        <v>1569</v>
      </c>
      <c r="E978" t="s">
        <v>1772</v>
      </c>
      <c r="F978">
        <v>2</v>
      </c>
      <c r="G978">
        <v>466.42</v>
      </c>
      <c r="H978">
        <v>0.12</v>
      </c>
      <c r="I978" t="s">
        <v>1809</v>
      </c>
      <c r="J978">
        <v>820.89920000000006</v>
      </c>
    </row>
    <row r="979" spans="1:10" x14ac:dyDescent="0.3">
      <c r="A979" t="s">
        <v>2786</v>
      </c>
      <c r="B979" s="1">
        <v>45857</v>
      </c>
      <c r="C979" t="s">
        <v>348</v>
      </c>
      <c r="D979" t="s">
        <v>1593</v>
      </c>
      <c r="E979" t="s">
        <v>1756</v>
      </c>
      <c r="F979">
        <v>4</v>
      </c>
      <c r="G979">
        <v>540.69000000000005</v>
      </c>
      <c r="H979">
        <v>0.09</v>
      </c>
      <c r="I979" t="s">
        <v>1812</v>
      </c>
      <c r="J979">
        <v>1968.1116</v>
      </c>
    </row>
    <row r="980" spans="1:10" x14ac:dyDescent="0.3">
      <c r="A980" t="s">
        <v>2787</v>
      </c>
      <c r="B980" s="1">
        <v>45737</v>
      </c>
      <c r="C980" t="s">
        <v>933</v>
      </c>
      <c r="D980" t="s">
        <v>1569</v>
      </c>
      <c r="E980" t="s">
        <v>1780</v>
      </c>
      <c r="F980">
        <v>3</v>
      </c>
      <c r="G980">
        <v>677.46</v>
      </c>
      <c r="H980">
        <v>0.05</v>
      </c>
      <c r="I980" t="s">
        <v>1807</v>
      </c>
      <c r="J980">
        <v>1930.761</v>
      </c>
    </row>
    <row r="981" spans="1:10" x14ac:dyDescent="0.3">
      <c r="A981" t="s">
        <v>2788</v>
      </c>
      <c r="B981" s="1">
        <v>45771</v>
      </c>
      <c r="C981" t="s">
        <v>1021</v>
      </c>
      <c r="D981" t="s">
        <v>1573</v>
      </c>
      <c r="E981" t="s">
        <v>1740</v>
      </c>
      <c r="F981">
        <v>3</v>
      </c>
      <c r="G981">
        <v>614.63</v>
      </c>
      <c r="H981">
        <v>0.06</v>
      </c>
      <c r="I981" t="s">
        <v>1809</v>
      </c>
      <c r="J981">
        <v>1733.2565999999999</v>
      </c>
    </row>
    <row r="982" spans="1:10" x14ac:dyDescent="0.3">
      <c r="A982" t="s">
        <v>2789</v>
      </c>
      <c r="B982" s="1">
        <v>45272</v>
      </c>
      <c r="C982" t="s">
        <v>740</v>
      </c>
      <c r="D982" t="s">
        <v>1663</v>
      </c>
      <c r="E982" t="s">
        <v>1765</v>
      </c>
      <c r="F982">
        <v>4</v>
      </c>
      <c r="G982">
        <v>649.52</v>
      </c>
      <c r="H982">
        <v>0.11</v>
      </c>
      <c r="I982" t="s">
        <v>1807</v>
      </c>
      <c r="J982">
        <v>2312.2912000000001</v>
      </c>
    </row>
    <row r="983" spans="1:10" x14ac:dyDescent="0.3">
      <c r="A983" t="s">
        <v>2790</v>
      </c>
      <c r="B983" s="1">
        <v>45481</v>
      </c>
      <c r="C983" t="s">
        <v>1361</v>
      </c>
      <c r="D983" t="s">
        <v>1701</v>
      </c>
      <c r="E983" t="s">
        <v>1765</v>
      </c>
      <c r="F983">
        <v>2</v>
      </c>
      <c r="G983">
        <v>943.93</v>
      </c>
      <c r="H983">
        <v>0.22</v>
      </c>
      <c r="I983" t="s">
        <v>1809</v>
      </c>
      <c r="J983">
        <v>1472.5308</v>
      </c>
    </row>
    <row r="984" spans="1:10" x14ac:dyDescent="0.3">
      <c r="A984" t="s">
        <v>2791</v>
      </c>
      <c r="B984" s="1">
        <v>45228</v>
      </c>
      <c r="C984" t="s">
        <v>545</v>
      </c>
      <c r="D984" t="s">
        <v>1593</v>
      </c>
      <c r="E984" t="s">
        <v>1765</v>
      </c>
      <c r="F984">
        <v>4</v>
      </c>
      <c r="G984">
        <v>538.73</v>
      </c>
      <c r="H984">
        <v>0.03</v>
      </c>
      <c r="I984" t="s">
        <v>1807</v>
      </c>
      <c r="J984">
        <v>2090.2723999999998</v>
      </c>
    </row>
    <row r="985" spans="1:10" x14ac:dyDescent="0.3">
      <c r="A985" t="s">
        <v>2792</v>
      </c>
      <c r="B985" s="1">
        <v>45432</v>
      </c>
      <c r="C985" t="s">
        <v>313</v>
      </c>
      <c r="D985" t="s">
        <v>1663</v>
      </c>
      <c r="E985" t="s">
        <v>1765</v>
      </c>
      <c r="F985">
        <v>2</v>
      </c>
      <c r="G985">
        <v>853.93</v>
      </c>
      <c r="H985">
        <v>0.01</v>
      </c>
      <c r="I985" t="s">
        <v>1809</v>
      </c>
      <c r="J985">
        <v>1690.7814000000001</v>
      </c>
    </row>
    <row r="986" spans="1:10" x14ac:dyDescent="0.3">
      <c r="A986" t="s">
        <v>2793</v>
      </c>
      <c r="B986" s="1">
        <v>45914</v>
      </c>
      <c r="C986" t="s">
        <v>1493</v>
      </c>
      <c r="D986" t="s">
        <v>1589</v>
      </c>
      <c r="E986" t="s">
        <v>1752</v>
      </c>
      <c r="F986">
        <v>4</v>
      </c>
      <c r="G986">
        <v>465.42</v>
      </c>
      <c r="H986">
        <v>0.26</v>
      </c>
      <c r="I986" t="s">
        <v>1812</v>
      </c>
      <c r="J986">
        <v>1377.6432</v>
      </c>
    </row>
    <row r="987" spans="1:10" x14ac:dyDescent="0.3">
      <c r="A987" t="s">
        <v>2794</v>
      </c>
      <c r="B987" s="1">
        <v>45758</v>
      </c>
      <c r="C987" t="s">
        <v>205</v>
      </c>
      <c r="D987" t="s">
        <v>1529</v>
      </c>
      <c r="E987" t="s">
        <v>1775</v>
      </c>
      <c r="F987">
        <v>4</v>
      </c>
      <c r="G987">
        <v>880.26</v>
      </c>
      <c r="H987">
        <v>0.11</v>
      </c>
      <c r="I987" t="s">
        <v>1812</v>
      </c>
      <c r="J987">
        <v>3133.7256000000002</v>
      </c>
    </row>
    <row r="988" spans="1:10" x14ac:dyDescent="0.3">
      <c r="A988" t="s">
        <v>2795</v>
      </c>
      <c r="B988" s="1">
        <v>45429</v>
      </c>
      <c r="C988" t="s">
        <v>1470</v>
      </c>
      <c r="D988" t="s">
        <v>1633</v>
      </c>
      <c r="E988" t="s">
        <v>1775</v>
      </c>
      <c r="F988">
        <v>3</v>
      </c>
      <c r="G988">
        <v>461.02</v>
      </c>
      <c r="H988">
        <v>0.28999999999999998</v>
      </c>
      <c r="I988" t="s">
        <v>1809</v>
      </c>
      <c r="J988">
        <v>981.97259999999994</v>
      </c>
    </row>
    <row r="989" spans="1:10" x14ac:dyDescent="0.3">
      <c r="A989" t="s">
        <v>2796</v>
      </c>
      <c r="B989" s="1">
        <v>45578</v>
      </c>
      <c r="C989" t="s">
        <v>110</v>
      </c>
      <c r="D989" t="s">
        <v>1581</v>
      </c>
      <c r="E989" t="s">
        <v>1780</v>
      </c>
      <c r="F989">
        <v>1</v>
      </c>
      <c r="G989">
        <v>531.99</v>
      </c>
      <c r="H989">
        <v>0.17</v>
      </c>
      <c r="I989" t="s">
        <v>1809</v>
      </c>
      <c r="J989">
        <v>441.55169999999998</v>
      </c>
    </row>
    <row r="990" spans="1:10" x14ac:dyDescent="0.3">
      <c r="A990" t="s">
        <v>2797</v>
      </c>
      <c r="B990" s="1">
        <v>45486</v>
      </c>
      <c r="C990" t="s">
        <v>27</v>
      </c>
      <c r="D990" t="s">
        <v>1625</v>
      </c>
      <c r="E990" t="s">
        <v>1790</v>
      </c>
      <c r="F990">
        <v>2</v>
      </c>
      <c r="G990">
        <v>274.08999999999997</v>
      </c>
      <c r="H990">
        <v>0.13</v>
      </c>
      <c r="I990" t="s">
        <v>1809</v>
      </c>
      <c r="J990">
        <v>476.91660000000002</v>
      </c>
    </row>
    <row r="991" spans="1:10" x14ac:dyDescent="0.3">
      <c r="A991" t="s">
        <v>2798</v>
      </c>
      <c r="B991" s="1">
        <v>45694</v>
      </c>
      <c r="C991" t="s">
        <v>1355</v>
      </c>
      <c r="D991" t="s">
        <v>1707</v>
      </c>
      <c r="E991" t="s">
        <v>1772</v>
      </c>
      <c r="F991">
        <v>1</v>
      </c>
      <c r="G991">
        <v>66.14</v>
      </c>
      <c r="H991">
        <v>0.14000000000000001</v>
      </c>
      <c r="I991" t="s">
        <v>1812</v>
      </c>
      <c r="J991">
        <v>56.880400000000002</v>
      </c>
    </row>
    <row r="992" spans="1:10" x14ac:dyDescent="0.3">
      <c r="A992" t="s">
        <v>2799</v>
      </c>
      <c r="B992" s="1">
        <v>45875</v>
      </c>
      <c r="C992" t="s">
        <v>278</v>
      </c>
      <c r="D992" t="s">
        <v>1571</v>
      </c>
      <c r="E992" t="s">
        <v>1769</v>
      </c>
      <c r="F992">
        <v>3</v>
      </c>
      <c r="G992">
        <v>955.82</v>
      </c>
      <c r="H992">
        <v>0.16</v>
      </c>
      <c r="I992" t="s">
        <v>1812</v>
      </c>
      <c r="J992">
        <v>2408.6664000000001</v>
      </c>
    </row>
    <row r="993" spans="1:10" x14ac:dyDescent="0.3">
      <c r="A993" t="s">
        <v>2800</v>
      </c>
      <c r="B993" s="1">
        <v>45432</v>
      </c>
      <c r="C993" t="s">
        <v>995</v>
      </c>
      <c r="D993" t="s">
        <v>1575</v>
      </c>
      <c r="E993" t="s">
        <v>1777</v>
      </c>
      <c r="F993">
        <v>1</v>
      </c>
      <c r="G993">
        <v>904.92</v>
      </c>
      <c r="H993">
        <v>0.13</v>
      </c>
      <c r="I993" t="s">
        <v>1807</v>
      </c>
      <c r="J993">
        <v>787.28039999999999</v>
      </c>
    </row>
    <row r="994" spans="1:10" x14ac:dyDescent="0.3">
      <c r="A994" t="s">
        <v>2801</v>
      </c>
      <c r="B994" s="1">
        <v>45575</v>
      </c>
      <c r="C994" t="s">
        <v>8</v>
      </c>
      <c r="D994" t="s">
        <v>1611</v>
      </c>
      <c r="E994" t="s">
        <v>1762</v>
      </c>
      <c r="F994">
        <v>3</v>
      </c>
      <c r="G994">
        <v>490.02</v>
      </c>
      <c r="H994">
        <v>0.26</v>
      </c>
      <c r="I994" t="s">
        <v>1807</v>
      </c>
      <c r="J994">
        <v>1087.8444</v>
      </c>
    </row>
    <row r="995" spans="1:10" x14ac:dyDescent="0.3">
      <c r="A995" t="s">
        <v>2802</v>
      </c>
      <c r="B995" s="1">
        <v>45340</v>
      </c>
      <c r="C995" t="s">
        <v>1123</v>
      </c>
      <c r="D995" t="s">
        <v>1569</v>
      </c>
      <c r="E995" t="s">
        <v>1759</v>
      </c>
      <c r="F995">
        <v>2</v>
      </c>
      <c r="G995">
        <v>957.54</v>
      </c>
      <c r="H995">
        <v>0.1</v>
      </c>
      <c r="I995" t="s">
        <v>1812</v>
      </c>
      <c r="J995">
        <v>1723.5719999999999</v>
      </c>
    </row>
    <row r="996" spans="1:10" x14ac:dyDescent="0.3">
      <c r="A996" t="s">
        <v>2803</v>
      </c>
      <c r="B996" s="1">
        <v>45926</v>
      </c>
      <c r="C996" t="s">
        <v>1024</v>
      </c>
      <c r="D996" t="s">
        <v>1729</v>
      </c>
      <c r="E996" t="s">
        <v>1780</v>
      </c>
      <c r="F996">
        <v>2</v>
      </c>
      <c r="G996">
        <v>314.39999999999998</v>
      </c>
      <c r="H996">
        <v>7.0000000000000007E-2</v>
      </c>
      <c r="I996" t="s">
        <v>1809</v>
      </c>
      <c r="J996">
        <v>584.78399999999988</v>
      </c>
    </row>
    <row r="997" spans="1:10" x14ac:dyDescent="0.3">
      <c r="A997" t="s">
        <v>2804</v>
      </c>
      <c r="B997" s="1">
        <v>45373</v>
      </c>
      <c r="C997" t="s">
        <v>1216</v>
      </c>
      <c r="D997" t="s">
        <v>1579</v>
      </c>
      <c r="E997" t="s">
        <v>1759</v>
      </c>
      <c r="F997">
        <v>3</v>
      </c>
      <c r="G997">
        <v>480.11</v>
      </c>
      <c r="H997">
        <v>0.11</v>
      </c>
      <c r="I997" t="s">
        <v>1809</v>
      </c>
      <c r="J997">
        <v>1281.8937000000001</v>
      </c>
    </row>
    <row r="998" spans="1:10" x14ac:dyDescent="0.3">
      <c r="A998" t="s">
        <v>2805</v>
      </c>
      <c r="B998" s="1">
        <v>45579</v>
      </c>
      <c r="C998" t="s">
        <v>1198</v>
      </c>
      <c r="D998" t="s">
        <v>1627</v>
      </c>
      <c r="E998" t="s">
        <v>1759</v>
      </c>
      <c r="F998">
        <v>4</v>
      </c>
      <c r="G998">
        <v>826.55</v>
      </c>
      <c r="H998">
        <v>0.28000000000000003</v>
      </c>
      <c r="I998" t="s">
        <v>1807</v>
      </c>
      <c r="J998">
        <v>2380.4639999999999</v>
      </c>
    </row>
    <row r="999" spans="1:10" x14ac:dyDescent="0.3">
      <c r="A999" t="s">
        <v>2806</v>
      </c>
      <c r="B999" s="1">
        <v>45805</v>
      </c>
      <c r="C999" t="s">
        <v>619</v>
      </c>
      <c r="D999" t="s">
        <v>1585</v>
      </c>
      <c r="E999" t="s">
        <v>1749</v>
      </c>
      <c r="F999">
        <v>3</v>
      </c>
      <c r="G999">
        <v>530.16999999999996</v>
      </c>
      <c r="H999">
        <v>0.18</v>
      </c>
      <c r="I999" t="s">
        <v>1809</v>
      </c>
      <c r="J999">
        <v>1304.2182</v>
      </c>
    </row>
    <row r="1000" spans="1:10" x14ac:dyDescent="0.3">
      <c r="A1000" t="s">
        <v>2807</v>
      </c>
      <c r="B1000" s="1">
        <v>45522</v>
      </c>
      <c r="C1000" t="s">
        <v>1252</v>
      </c>
      <c r="D1000" t="s">
        <v>1599</v>
      </c>
      <c r="E1000" t="s">
        <v>1790</v>
      </c>
      <c r="F1000">
        <v>3</v>
      </c>
      <c r="G1000">
        <v>336.17</v>
      </c>
      <c r="H1000">
        <v>0.04</v>
      </c>
      <c r="I1000" t="s">
        <v>1812</v>
      </c>
      <c r="J1000">
        <v>968.16959999999995</v>
      </c>
    </row>
    <row r="1001" spans="1:10" x14ac:dyDescent="0.3">
      <c r="A1001" t="s">
        <v>2808</v>
      </c>
      <c r="B1001" s="1">
        <v>45304</v>
      </c>
      <c r="C1001" t="s">
        <v>1292</v>
      </c>
      <c r="D1001" t="s">
        <v>1693</v>
      </c>
      <c r="E1001" t="s">
        <v>1765</v>
      </c>
      <c r="F1001">
        <v>4</v>
      </c>
      <c r="G1001">
        <v>22.51</v>
      </c>
      <c r="H1001">
        <v>0.27</v>
      </c>
      <c r="I1001" t="s">
        <v>1809</v>
      </c>
      <c r="J1001">
        <v>65.729200000000006</v>
      </c>
    </row>
    <row r="1002" spans="1:10" x14ac:dyDescent="0.3">
      <c r="A1002" t="s">
        <v>2809</v>
      </c>
      <c r="B1002" s="1">
        <v>45456</v>
      </c>
      <c r="C1002" t="s">
        <v>619</v>
      </c>
      <c r="D1002" t="s">
        <v>1649</v>
      </c>
      <c r="E1002" t="s">
        <v>1744</v>
      </c>
      <c r="F1002">
        <v>2</v>
      </c>
      <c r="G1002">
        <v>909.51</v>
      </c>
      <c r="H1002">
        <v>0.27</v>
      </c>
      <c r="I1002" t="s">
        <v>1807</v>
      </c>
      <c r="J1002">
        <v>1327.8846000000001</v>
      </c>
    </row>
    <row r="1003" spans="1:10" x14ac:dyDescent="0.3">
      <c r="A1003" t="s">
        <v>2810</v>
      </c>
      <c r="B1003" s="1">
        <v>45776</v>
      </c>
      <c r="C1003" t="s">
        <v>195</v>
      </c>
      <c r="D1003" t="s">
        <v>1669</v>
      </c>
      <c r="E1003" t="s">
        <v>1782</v>
      </c>
      <c r="F1003">
        <v>4</v>
      </c>
      <c r="G1003">
        <v>593.84</v>
      </c>
      <c r="H1003">
        <v>0.24</v>
      </c>
      <c r="I1003" t="s">
        <v>1809</v>
      </c>
      <c r="J1003">
        <v>1805.2736</v>
      </c>
    </row>
    <row r="1004" spans="1:10" x14ac:dyDescent="0.3">
      <c r="A1004" t="s">
        <v>2811</v>
      </c>
      <c r="B1004" s="1">
        <v>45566</v>
      </c>
      <c r="C1004" t="s">
        <v>379</v>
      </c>
      <c r="D1004" t="s">
        <v>1677</v>
      </c>
      <c r="E1004" t="s">
        <v>1772</v>
      </c>
      <c r="F1004">
        <v>3</v>
      </c>
      <c r="G1004">
        <v>909.11</v>
      </c>
      <c r="H1004">
        <v>0.23</v>
      </c>
      <c r="I1004" t="s">
        <v>1812</v>
      </c>
      <c r="J1004">
        <v>2100.0441000000001</v>
      </c>
    </row>
    <row r="1005" spans="1:10" x14ac:dyDescent="0.3">
      <c r="A1005" t="s">
        <v>2812</v>
      </c>
      <c r="B1005" s="1">
        <v>45542</v>
      </c>
      <c r="C1005" t="s">
        <v>1229</v>
      </c>
      <c r="D1005" t="s">
        <v>1579</v>
      </c>
      <c r="E1005" t="s">
        <v>1740</v>
      </c>
      <c r="F1005">
        <v>4</v>
      </c>
      <c r="G1005">
        <v>996.85</v>
      </c>
      <c r="H1005">
        <v>0.24</v>
      </c>
      <c r="I1005" t="s">
        <v>1809</v>
      </c>
      <c r="J1005">
        <v>3030.424</v>
      </c>
    </row>
    <row r="1006" spans="1:10" x14ac:dyDescent="0.3">
      <c r="A1006" t="s">
        <v>2813</v>
      </c>
      <c r="B1006" s="1">
        <v>45834</v>
      </c>
      <c r="C1006" t="s">
        <v>939</v>
      </c>
      <c r="D1006" t="s">
        <v>1526</v>
      </c>
      <c r="E1006" t="s">
        <v>1790</v>
      </c>
      <c r="F1006">
        <v>1</v>
      </c>
      <c r="G1006">
        <v>522.69000000000005</v>
      </c>
      <c r="H1006">
        <v>0.06</v>
      </c>
      <c r="I1006" t="s">
        <v>1812</v>
      </c>
      <c r="J1006">
        <v>491.32860000000011</v>
      </c>
    </row>
    <row r="1007" spans="1:10" x14ac:dyDescent="0.3">
      <c r="A1007" t="s">
        <v>2814</v>
      </c>
      <c r="B1007" s="1">
        <v>45405</v>
      </c>
      <c r="C1007" t="s">
        <v>631</v>
      </c>
      <c r="D1007" t="s">
        <v>1639</v>
      </c>
      <c r="E1007" t="s">
        <v>1749</v>
      </c>
      <c r="F1007">
        <v>3</v>
      </c>
      <c r="G1007">
        <v>261.05</v>
      </c>
      <c r="H1007">
        <v>0.12</v>
      </c>
      <c r="I1007" t="s">
        <v>1809</v>
      </c>
      <c r="J1007">
        <v>689.17200000000014</v>
      </c>
    </row>
    <row r="1008" spans="1:10" x14ac:dyDescent="0.3">
      <c r="A1008" t="s">
        <v>2815</v>
      </c>
      <c r="B1008" s="1">
        <v>45918</v>
      </c>
      <c r="C1008" t="s">
        <v>310</v>
      </c>
      <c r="D1008" t="s">
        <v>1577</v>
      </c>
      <c r="E1008" t="s">
        <v>1790</v>
      </c>
      <c r="F1008">
        <v>3</v>
      </c>
      <c r="G1008">
        <v>644.73</v>
      </c>
      <c r="H1008">
        <v>0.01</v>
      </c>
      <c r="I1008" t="s">
        <v>1812</v>
      </c>
      <c r="J1008">
        <v>1914.8480999999999</v>
      </c>
    </row>
    <row r="1009" spans="1:10" x14ac:dyDescent="0.3">
      <c r="A1009" t="s">
        <v>2816</v>
      </c>
      <c r="B1009" s="1">
        <v>45217</v>
      </c>
      <c r="C1009" t="s">
        <v>642</v>
      </c>
      <c r="D1009" t="s">
        <v>1681</v>
      </c>
      <c r="E1009" t="s">
        <v>1744</v>
      </c>
      <c r="F1009">
        <v>2</v>
      </c>
      <c r="G1009">
        <v>541.52</v>
      </c>
      <c r="H1009">
        <v>0.26</v>
      </c>
      <c r="I1009" t="s">
        <v>1809</v>
      </c>
      <c r="J1009">
        <v>801.44959999999992</v>
      </c>
    </row>
    <row r="1010" spans="1:10" x14ac:dyDescent="0.3">
      <c r="A1010" t="s">
        <v>2817</v>
      </c>
      <c r="B1010" s="1">
        <v>45259</v>
      </c>
      <c r="C1010" t="s">
        <v>1306</v>
      </c>
      <c r="D1010" t="s">
        <v>1657</v>
      </c>
      <c r="E1010" t="s">
        <v>1772</v>
      </c>
      <c r="F1010">
        <v>1</v>
      </c>
      <c r="G1010">
        <v>395.18</v>
      </c>
      <c r="H1010">
        <v>0.09</v>
      </c>
      <c r="I1010" t="s">
        <v>1809</v>
      </c>
      <c r="J1010">
        <v>359.61380000000003</v>
      </c>
    </row>
    <row r="1011" spans="1:10" x14ac:dyDescent="0.3">
      <c r="A1011" t="s">
        <v>2818</v>
      </c>
      <c r="B1011" s="1">
        <v>45740</v>
      </c>
      <c r="C1011" t="s">
        <v>351</v>
      </c>
      <c r="D1011" t="s">
        <v>1545</v>
      </c>
      <c r="E1011" t="s">
        <v>1765</v>
      </c>
      <c r="F1011">
        <v>4</v>
      </c>
      <c r="G1011">
        <v>56.37</v>
      </c>
      <c r="H1011">
        <v>0.17</v>
      </c>
      <c r="I1011" t="s">
        <v>1807</v>
      </c>
      <c r="J1011">
        <v>187.14840000000001</v>
      </c>
    </row>
    <row r="1012" spans="1:10" x14ac:dyDescent="0.3">
      <c r="A1012" t="s">
        <v>2819</v>
      </c>
      <c r="B1012" s="1">
        <v>45908</v>
      </c>
      <c r="C1012" t="s">
        <v>675</v>
      </c>
      <c r="D1012" t="s">
        <v>1689</v>
      </c>
      <c r="E1012" t="s">
        <v>1769</v>
      </c>
      <c r="F1012">
        <v>4</v>
      </c>
      <c r="G1012">
        <v>202.59</v>
      </c>
      <c r="H1012">
        <v>0.06</v>
      </c>
      <c r="I1012" t="s">
        <v>1812</v>
      </c>
      <c r="J1012">
        <v>761.73839999999996</v>
      </c>
    </row>
    <row r="1013" spans="1:10" x14ac:dyDescent="0.3">
      <c r="A1013" t="s">
        <v>2820</v>
      </c>
      <c r="B1013" s="1">
        <v>45601</v>
      </c>
      <c r="C1013" t="s">
        <v>27</v>
      </c>
      <c r="D1013" t="s">
        <v>1693</v>
      </c>
      <c r="E1013" t="s">
        <v>1756</v>
      </c>
      <c r="F1013">
        <v>2</v>
      </c>
      <c r="G1013">
        <v>358.36</v>
      </c>
      <c r="H1013">
        <v>0.05</v>
      </c>
      <c r="I1013" t="s">
        <v>1809</v>
      </c>
      <c r="J1013">
        <v>680.88400000000001</v>
      </c>
    </row>
    <row r="1014" spans="1:10" x14ac:dyDescent="0.3">
      <c r="A1014" t="s">
        <v>2821</v>
      </c>
      <c r="B1014" s="1">
        <v>45535</v>
      </c>
      <c r="C1014" t="s">
        <v>261</v>
      </c>
      <c r="D1014" t="s">
        <v>1605</v>
      </c>
      <c r="E1014" t="s">
        <v>1793</v>
      </c>
      <c r="F1014">
        <v>4</v>
      </c>
      <c r="G1014">
        <v>85.62</v>
      </c>
      <c r="H1014">
        <v>0.28000000000000003</v>
      </c>
      <c r="I1014" t="s">
        <v>1812</v>
      </c>
      <c r="J1014">
        <v>246.5856</v>
      </c>
    </row>
    <row r="1015" spans="1:10" x14ac:dyDescent="0.3">
      <c r="A1015" t="s">
        <v>2822</v>
      </c>
      <c r="B1015" s="1">
        <v>45459</v>
      </c>
      <c r="C1015" t="s">
        <v>604</v>
      </c>
      <c r="D1015" t="s">
        <v>1543</v>
      </c>
      <c r="E1015" t="s">
        <v>1790</v>
      </c>
      <c r="F1015">
        <v>4</v>
      </c>
      <c r="G1015">
        <v>929.26</v>
      </c>
      <c r="H1015">
        <v>0.23</v>
      </c>
      <c r="I1015" t="s">
        <v>1809</v>
      </c>
      <c r="J1015">
        <v>2862.1208000000001</v>
      </c>
    </row>
    <row r="1016" spans="1:10" x14ac:dyDescent="0.3">
      <c r="A1016" t="s">
        <v>2823</v>
      </c>
      <c r="B1016" s="1">
        <v>45681</v>
      </c>
      <c r="C1016" t="s">
        <v>965</v>
      </c>
      <c r="D1016" t="s">
        <v>1651</v>
      </c>
      <c r="E1016" t="s">
        <v>1780</v>
      </c>
      <c r="F1016">
        <v>2</v>
      </c>
      <c r="G1016">
        <v>92.64</v>
      </c>
      <c r="H1016">
        <v>0.14000000000000001</v>
      </c>
      <c r="I1016" t="s">
        <v>1812</v>
      </c>
      <c r="J1016">
        <v>159.3408</v>
      </c>
    </row>
    <row r="1017" spans="1:10" x14ac:dyDescent="0.3">
      <c r="A1017" t="s">
        <v>2824</v>
      </c>
      <c r="B1017" s="1">
        <v>45725</v>
      </c>
      <c r="C1017" t="s">
        <v>788</v>
      </c>
      <c r="D1017" t="s">
        <v>1655</v>
      </c>
      <c r="E1017" t="s">
        <v>1752</v>
      </c>
      <c r="F1017">
        <v>4</v>
      </c>
      <c r="G1017">
        <v>139.05000000000001</v>
      </c>
      <c r="H1017">
        <v>0.28999999999999998</v>
      </c>
      <c r="I1017" t="s">
        <v>1812</v>
      </c>
      <c r="J1017">
        <v>394.90199999999999</v>
      </c>
    </row>
    <row r="1018" spans="1:10" x14ac:dyDescent="0.3">
      <c r="A1018" t="s">
        <v>2825</v>
      </c>
      <c r="B1018" s="1">
        <v>45461</v>
      </c>
      <c r="C1018" t="s">
        <v>470</v>
      </c>
      <c r="D1018" t="s">
        <v>1637</v>
      </c>
      <c r="E1018" t="s">
        <v>1752</v>
      </c>
      <c r="F1018">
        <v>3</v>
      </c>
      <c r="G1018">
        <v>155.87</v>
      </c>
      <c r="H1018">
        <v>0.03</v>
      </c>
      <c r="I1018" t="s">
        <v>1812</v>
      </c>
      <c r="J1018">
        <v>453.58170000000001</v>
      </c>
    </row>
    <row r="1019" spans="1:10" x14ac:dyDescent="0.3">
      <c r="A1019" t="s">
        <v>2826</v>
      </c>
      <c r="B1019" s="1">
        <v>45837</v>
      </c>
      <c r="C1019" t="s">
        <v>1352</v>
      </c>
      <c r="D1019" t="s">
        <v>1599</v>
      </c>
      <c r="E1019" t="s">
        <v>1787</v>
      </c>
      <c r="F1019">
        <v>4</v>
      </c>
      <c r="G1019">
        <v>115.42</v>
      </c>
      <c r="H1019">
        <v>0.03</v>
      </c>
      <c r="I1019" t="s">
        <v>1812</v>
      </c>
      <c r="J1019">
        <v>447.82960000000003</v>
      </c>
    </row>
    <row r="1020" spans="1:10" x14ac:dyDescent="0.3">
      <c r="A1020" t="s">
        <v>2827</v>
      </c>
      <c r="B1020" s="1">
        <v>45823</v>
      </c>
      <c r="C1020" t="s">
        <v>417</v>
      </c>
      <c r="D1020" t="s">
        <v>1635</v>
      </c>
      <c r="E1020" t="s">
        <v>1759</v>
      </c>
      <c r="F1020">
        <v>3</v>
      </c>
      <c r="G1020">
        <v>593.62</v>
      </c>
      <c r="H1020">
        <v>0.08</v>
      </c>
      <c r="I1020" t="s">
        <v>1807</v>
      </c>
      <c r="J1020">
        <v>1638.3912</v>
      </c>
    </row>
    <row r="1021" spans="1:10" x14ac:dyDescent="0.3">
      <c r="A1021" t="s">
        <v>2828</v>
      </c>
      <c r="B1021" s="1">
        <v>45733</v>
      </c>
      <c r="C1021" t="s">
        <v>1095</v>
      </c>
      <c r="D1021" t="s">
        <v>1621</v>
      </c>
      <c r="E1021" t="s">
        <v>1752</v>
      </c>
      <c r="F1021">
        <v>2</v>
      </c>
      <c r="G1021">
        <v>825.04</v>
      </c>
      <c r="H1021">
        <v>0.2</v>
      </c>
      <c r="I1021" t="s">
        <v>1807</v>
      </c>
      <c r="J1021">
        <v>1320.0640000000001</v>
      </c>
    </row>
    <row r="1022" spans="1:10" x14ac:dyDescent="0.3">
      <c r="A1022" t="s">
        <v>2829</v>
      </c>
      <c r="B1022" s="1">
        <v>45322</v>
      </c>
      <c r="C1022" t="s">
        <v>1415</v>
      </c>
      <c r="D1022" t="s">
        <v>1581</v>
      </c>
      <c r="E1022" t="s">
        <v>1780</v>
      </c>
      <c r="F1022">
        <v>1</v>
      </c>
      <c r="G1022">
        <v>963.76</v>
      </c>
      <c r="H1022">
        <v>0.14000000000000001</v>
      </c>
      <c r="I1022" t="s">
        <v>1809</v>
      </c>
      <c r="J1022">
        <v>828.83359999999993</v>
      </c>
    </row>
    <row r="1023" spans="1:10" x14ac:dyDescent="0.3">
      <c r="A1023" t="s">
        <v>2830</v>
      </c>
      <c r="B1023" s="1">
        <v>45415</v>
      </c>
      <c r="C1023" t="s">
        <v>917</v>
      </c>
      <c r="D1023" t="s">
        <v>1641</v>
      </c>
      <c r="E1023" t="s">
        <v>1759</v>
      </c>
      <c r="F1023">
        <v>1</v>
      </c>
      <c r="G1023">
        <v>238.24</v>
      </c>
      <c r="H1023">
        <v>0.12</v>
      </c>
      <c r="I1023" t="s">
        <v>1809</v>
      </c>
      <c r="J1023">
        <v>209.65119999999999</v>
      </c>
    </row>
    <row r="1024" spans="1:10" x14ac:dyDescent="0.3">
      <c r="A1024" t="s">
        <v>2831</v>
      </c>
      <c r="B1024" s="1">
        <v>45644</v>
      </c>
      <c r="C1024" t="s">
        <v>1395</v>
      </c>
      <c r="D1024" t="s">
        <v>1695</v>
      </c>
      <c r="E1024" t="s">
        <v>1787</v>
      </c>
      <c r="F1024">
        <v>1</v>
      </c>
      <c r="G1024">
        <v>756.63</v>
      </c>
      <c r="H1024">
        <v>0.04</v>
      </c>
      <c r="I1024" t="s">
        <v>1809</v>
      </c>
      <c r="J1024">
        <v>726.36479999999995</v>
      </c>
    </row>
    <row r="1025" spans="1:10" x14ac:dyDescent="0.3">
      <c r="A1025" t="s">
        <v>2832</v>
      </c>
      <c r="B1025" s="1">
        <v>45845</v>
      </c>
      <c r="C1025" t="s">
        <v>85</v>
      </c>
      <c r="D1025" t="s">
        <v>1717</v>
      </c>
      <c r="E1025" t="s">
        <v>1762</v>
      </c>
      <c r="F1025">
        <v>3</v>
      </c>
      <c r="G1025">
        <v>159.76</v>
      </c>
      <c r="H1025">
        <v>0.22</v>
      </c>
      <c r="I1025" t="s">
        <v>1807</v>
      </c>
      <c r="J1025">
        <v>373.83839999999998</v>
      </c>
    </row>
    <row r="1026" spans="1:10" x14ac:dyDescent="0.3">
      <c r="A1026" t="s">
        <v>2833</v>
      </c>
      <c r="B1026" s="1">
        <v>45354</v>
      </c>
      <c r="C1026" t="s">
        <v>1138</v>
      </c>
      <c r="D1026" t="s">
        <v>1721</v>
      </c>
      <c r="E1026" t="s">
        <v>1765</v>
      </c>
      <c r="F1026">
        <v>1</v>
      </c>
      <c r="G1026">
        <v>329.94</v>
      </c>
      <c r="H1026">
        <v>0.14000000000000001</v>
      </c>
      <c r="I1026" t="s">
        <v>1812</v>
      </c>
      <c r="J1026">
        <v>283.7484</v>
      </c>
    </row>
    <row r="1027" spans="1:10" x14ac:dyDescent="0.3">
      <c r="A1027" t="s">
        <v>2834</v>
      </c>
      <c r="B1027" s="1">
        <v>45720</v>
      </c>
      <c r="C1027" t="s">
        <v>221</v>
      </c>
      <c r="D1027" t="s">
        <v>1565</v>
      </c>
      <c r="E1027" t="s">
        <v>1765</v>
      </c>
      <c r="F1027">
        <v>1</v>
      </c>
      <c r="G1027">
        <v>234.06</v>
      </c>
      <c r="H1027">
        <v>0.11</v>
      </c>
      <c r="I1027" t="s">
        <v>1809</v>
      </c>
      <c r="J1027">
        <v>208.3134</v>
      </c>
    </row>
    <row r="1028" spans="1:10" x14ac:dyDescent="0.3">
      <c r="A1028" t="s">
        <v>2835</v>
      </c>
      <c r="B1028" s="1">
        <v>45278</v>
      </c>
      <c r="C1028" t="s">
        <v>989</v>
      </c>
      <c r="D1028" t="s">
        <v>1693</v>
      </c>
      <c r="E1028" t="s">
        <v>1735</v>
      </c>
      <c r="F1028">
        <v>2</v>
      </c>
      <c r="G1028">
        <v>773.75</v>
      </c>
      <c r="H1028">
        <v>0.16</v>
      </c>
      <c r="I1028" t="s">
        <v>1809</v>
      </c>
      <c r="J1028">
        <v>1299.9000000000001</v>
      </c>
    </row>
    <row r="1029" spans="1:10" x14ac:dyDescent="0.3">
      <c r="A1029" t="s">
        <v>2836</v>
      </c>
      <c r="B1029" s="1">
        <v>45422</v>
      </c>
      <c r="C1029" t="s">
        <v>1336</v>
      </c>
      <c r="D1029" t="s">
        <v>1635</v>
      </c>
      <c r="E1029" t="s">
        <v>1793</v>
      </c>
      <c r="F1029">
        <v>1</v>
      </c>
      <c r="G1029">
        <v>73.88</v>
      </c>
      <c r="H1029">
        <v>0.04</v>
      </c>
      <c r="I1029" t="s">
        <v>1807</v>
      </c>
      <c r="J1029">
        <v>70.924799999999991</v>
      </c>
    </row>
    <row r="1030" spans="1:10" x14ac:dyDescent="0.3">
      <c r="A1030" t="s">
        <v>2837</v>
      </c>
      <c r="B1030" s="1">
        <v>45337</v>
      </c>
      <c r="C1030" t="s">
        <v>32</v>
      </c>
      <c r="D1030" t="s">
        <v>1703</v>
      </c>
      <c r="E1030" t="s">
        <v>1793</v>
      </c>
      <c r="F1030">
        <v>1</v>
      </c>
      <c r="G1030">
        <v>859.3</v>
      </c>
      <c r="H1030">
        <v>0.16</v>
      </c>
      <c r="I1030" t="s">
        <v>1809</v>
      </c>
      <c r="J1030">
        <v>721.8119999999999</v>
      </c>
    </row>
    <row r="1031" spans="1:10" x14ac:dyDescent="0.3">
      <c r="A1031" t="s">
        <v>2838</v>
      </c>
      <c r="B1031" s="1">
        <v>45564</v>
      </c>
      <c r="C1031" t="s">
        <v>439</v>
      </c>
      <c r="D1031" t="s">
        <v>1693</v>
      </c>
      <c r="E1031" t="s">
        <v>1759</v>
      </c>
      <c r="F1031">
        <v>4</v>
      </c>
      <c r="G1031">
        <v>762.43</v>
      </c>
      <c r="H1031">
        <v>0.05</v>
      </c>
      <c r="I1031" t="s">
        <v>1807</v>
      </c>
      <c r="J1031">
        <v>2897.233999999999</v>
      </c>
    </row>
    <row r="1032" spans="1:10" x14ac:dyDescent="0.3">
      <c r="A1032" t="s">
        <v>2839</v>
      </c>
      <c r="B1032" s="1">
        <v>45424</v>
      </c>
      <c r="C1032" t="s">
        <v>423</v>
      </c>
      <c r="D1032" t="s">
        <v>1677</v>
      </c>
      <c r="E1032" t="s">
        <v>1735</v>
      </c>
      <c r="F1032">
        <v>1</v>
      </c>
      <c r="G1032">
        <v>328.51</v>
      </c>
      <c r="H1032">
        <v>0.2</v>
      </c>
      <c r="I1032" t="s">
        <v>1812</v>
      </c>
      <c r="J1032">
        <v>262.80799999999999</v>
      </c>
    </row>
    <row r="1033" spans="1:10" x14ac:dyDescent="0.3">
      <c r="A1033" t="s">
        <v>2840</v>
      </c>
      <c r="B1033" s="1">
        <v>45719</v>
      </c>
      <c r="C1033" t="s">
        <v>864</v>
      </c>
      <c r="D1033" t="s">
        <v>1619</v>
      </c>
      <c r="E1033" t="s">
        <v>1752</v>
      </c>
      <c r="F1033">
        <v>1</v>
      </c>
      <c r="G1033">
        <v>34.51</v>
      </c>
      <c r="H1033">
        <v>0.04</v>
      </c>
      <c r="I1033" t="s">
        <v>1812</v>
      </c>
      <c r="J1033">
        <v>33.129600000000003</v>
      </c>
    </row>
    <row r="1034" spans="1:10" x14ac:dyDescent="0.3">
      <c r="A1034" t="s">
        <v>2841</v>
      </c>
      <c r="B1034" s="1">
        <v>45250</v>
      </c>
      <c r="C1034" t="s">
        <v>367</v>
      </c>
      <c r="D1034" t="s">
        <v>1569</v>
      </c>
      <c r="E1034" t="s">
        <v>1775</v>
      </c>
      <c r="F1034">
        <v>3</v>
      </c>
      <c r="G1034">
        <v>663.73</v>
      </c>
      <c r="H1034">
        <v>0.06</v>
      </c>
      <c r="I1034" t="s">
        <v>1812</v>
      </c>
      <c r="J1034">
        <v>1871.7185999999999</v>
      </c>
    </row>
    <row r="1035" spans="1:10" x14ac:dyDescent="0.3">
      <c r="A1035" t="s">
        <v>2842</v>
      </c>
      <c r="B1035" s="1">
        <v>45479</v>
      </c>
      <c r="C1035" t="s">
        <v>782</v>
      </c>
      <c r="D1035" t="s">
        <v>1597</v>
      </c>
      <c r="E1035" t="s">
        <v>1769</v>
      </c>
      <c r="F1035">
        <v>1</v>
      </c>
      <c r="G1035">
        <v>409.41</v>
      </c>
      <c r="H1035">
        <v>0.13</v>
      </c>
      <c r="I1035" t="s">
        <v>1809</v>
      </c>
      <c r="J1035">
        <v>356.18669999999997</v>
      </c>
    </row>
    <row r="1036" spans="1:10" x14ac:dyDescent="0.3">
      <c r="A1036" t="s">
        <v>2843</v>
      </c>
      <c r="B1036" s="1">
        <v>45727</v>
      </c>
      <c r="C1036" t="s">
        <v>327</v>
      </c>
      <c r="D1036" t="s">
        <v>1687</v>
      </c>
      <c r="E1036" t="s">
        <v>1749</v>
      </c>
      <c r="F1036">
        <v>3</v>
      </c>
      <c r="G1036">
        <v>461.03</v>
      </c>
      <c r="H1036">
        <v>0.11</v>
      </c>
      <c r="I1036" t="s">
        <v>1809</v>
      </c>
      <c r="J1036">
        <v>1230.9501</v>
      </c>
    </row>
    <row r="1037" spans="1:10" x14ac:dyDescent="0.3">
      <c r="A1037" t="s">
        <v>2844</v>
      </c>
      <c r="B1037" s="1">
        <v>45394</v>
      </c>
      <c r="C1037" t="s">
        <v>1138</v>
      </c>
      <c r="D1037" t="s">
        <v>1569</v>
      </c>
      <c r="E1037" t="s">
        <v>1782</v>
      </c>
      <c r="F1037">
        <v>2</v>
      </c>
      <c r="G1037">
        <v>760.14</v>
      </c>
      <c r="H1037">
        <v>0.02</v>
      </c>
      <c r="I1037" t="s">
        <v>1812</v>
      </c>
      <c r="J1037">
        <v>1489.8743999999999</v>
      </c>
    </row>
    <row r="1038" spans="1:10" x14ac:dyDescent="0.3">
      <c r="A1038" t="s">
        <v>2845</v>
      </c>
      <c r="B1038" s="1">
        <v>45773</v>
      </c>
      <c r="C1038" t="s">
        <v>876</v>
      </c>
      <c r="D1038" t="s">
        <v>1577</v>
      </c>
      <c r="E1038" t="s">
        <v>1740</v>
      </c>
      <c r="F1038">
        <v>3</v>
      </c>
      <c r="G1038">
        <v>688.76</v>
      </c>
      <c r="H1038">
        <v>0.12</v>
      </c>
      <c r="I1038" t="s">
        <v>1809</v>
      </c>
      <c r="J1038">
        <v>1818.3263999999999</v>
      </c>
    </row>
    <row r="1039" spans="1:10" x14ac:dyDescent="0.3">
      <c r="A1039" t="s">
        <v>2846</v>
      </c>
      <c r="B1039" s="1">
        <v>45779</v>
      </c>
      <c r="C1039" t="s">
        <v>527</v>
      </c>
      <c r="D1039" t="s">
        <v>1617</v>
      </c>
      <c r="E1039" t="s">
        <v>1769</v>
      </c>
      <c r="F1039">
        <v>2</v>
      </c>
      <c r="G1039">
        <v>257.77999999999997</v>
      </c>
      <c r="H1039">
        <v>0.05</v>
      </c>
      <c r="I1039" t="s">
        <v>1807</v>
      </c>
      <c r="J1039">
        <v>489.78199999999993</v>
      </c>
    </row>
    <row r="1040" spans="1:10" x14ac:dyDescent="0.3">
      <c r="A1040" t="s">
        <v>2847</v>
      </c>
      <c r="B1040" s="1">
        <v>45400</v>
      </c>
      <c r="C1040" t="s">
        <v>195</v>
      </c>
      <c r="D1040" t="s">
        <v>1637</v>
      </c>
      <c r="E1040" t="s">
        <v>1762</v>
      </c>
      <c r="F1040">
        <v>2</v>
      </c>
      <c r="G1040">
        <v>314.29000000000002</v>
      </c>
      <c r="H1040">
        <v>0.19</v>
      </c>
      <c r="I1040" t="s">
        <v>1812</v>
      </c>
      <c r="J1040">
        <v>509.14980000000008</v>
      </c>
    </row>
    <row r="1041" spans="1:10" x14ac:dyDescent="0.3">
      <c r="A1041" t="s">
        <v>2848</v>
      </c>
      <c r="B1041" s="1">
        <v>45520</v>
      </c>
      <c r="C1041" t="s">
        <v>515</v>
      </c>
      <c r="D1041" t="s">
        <v>1675</v>
      </c>
      <c r="E1041" t="s">
        <v>1782</v>
      </c>
      <c r="F1041">
        <v>3</v>
      </c>
      <c r="G1041">
        <v>336.09</v>
      </c>
      <c r="H1041">
        <v>0.01</v>
      </c>
      <c r="I1041" t="s">
        <v>1809</v>
      </c>
      <c r="J1041">
        <v>998.18729999999994</v>
      </c>
    </row>
    <row r="1042" spans="1:10" x14ac:dyDescent="0.3">
      <c r="A1042" t="s">
        <v>2849</v>
      </c>
      <c r="B1042" s="1">
        <v>45861</v>
      </c>
      <c r="C1042" t="s">
        <v>20</v>
      </c>
      <c r="D1042" t="s">
        <v>1681</v>
      </c>
      <c r="E1042" t="s">
        <v>1790</v>
      </c>
      <c r="F1042">
        <v>3</v>
      </c>
      <c r="G1042">
        <v>202.07</v>
      </c>
      <c r="H1042">
        <v>0.23</v>
      </c>
      <c r="I1042" t="s">
        <v>1809</v>
      </c>
      <c r="J1042">
        <v>466.78170000000011</v>
      </c>
    </row>
    <row r="1043" spans="1:10" x14ac:dyDescent="0.3">
      <c r="A1043" t="s">
        <v>2850</v>
      </c>
      <c r="B1043" s="1">
        <v>45781</v>
      </c>
      <c r="C1043" t="s">
        <v>968</v>
      </c>
      <c r="D1043" t="s">
        <v>1565</v>
      </c>
      <c r="E1043" t="s">
        <v>1765</v>
      </c>
      <c r="F1043">
        <v>2</v>
      </c>
      <c r="G1043">
        <v>485.25</v>
      </c>
      <c r="H1043">
        <v>0.28000000000000003</v>
      </c>
      <c r="I1043" t="s">
        <v>1807</v>
      </c>
      <c r="J1043">
        <v>698.76</v>
      </c>
    </row>
    <row r="1044" spans="1:10" x14ac:dyDescent="0.3">
      <c r="A1044" t="s">
        <v>2851</v>
      </c>
      <c r="B1044" s="1">
        <v>45906</v>
      </c>
      <c r="C1044" t="s">
        <v>562</v>
      </c>
      <c r="D1044" t="s">
        <v>1681</v>
      </c>
      <c r="E1044" t="s">
        <v>1772</v>
      </c>
      <c r="F1044">
        <v>4</v>
      </c>
      <c r="G1044">
        <v>552.38</v>
      </c>
      <c r="H1044">
        <v>0.1</v>
      </c>
      <c r="I1044" t="s">
        <v>1809</v>
      </c>
      <c r="J1044">
        <v>1988.568</v>
      </c>
    </row>
    <row r="1045" spans="1:10" x14ac:dyDescent="0.3">
      <c r="A1045" t="s">
        <v>2852</v>
      </c>
      <c r="B1045" s="1">
        <v>45251</v>
      </c>
      <c r="C1045" t="s">
        <v>373</v>
      </c>
      <c r="D1045" t="s">
        <v>1647</v>
      </c>
      <c r="E1045" t="s">
        <v>1790</v>
      </c>
      <c r="F1045">
        <v>4</v>
      </c>
      <c r="G1045">
        <v>377.26</v>
      </c>
      <c r="H1045">
        <v>0.22</v>
      </c>
      <c r="I1045" t="s">
        <v>1812</v>
      </c>
      <c r="J1045">
        <v>1177.0512000000001</v>
      </c>
    </row>
    <row r="1046" spans="1:10" x14ac:dyDescent="0.3">
      <c r="A1046" t="s">
        <v>2853</v>
      </c>
      <c r="B1046" s="1">
        <v>45257</v>
      </c>
      <c r="C1046" t="s">
        <v>199</v>
      </c>
      <c r="D1046" t="s">
        <v>1625</v>
      </c>
      <c r="E1046" t="s">
        <v>1796</v>
      </c>
      <c r="F1046">
        <v>4</v>
      </c>
      <c r="G1046">
        <v>189.07</v>
      </c>
      <c r="H1046">
        <v>0.1</v>
      </c>
      <c r="I1046" t="s">
        <v>1812</v>
      </c>
      <c r="J1046">
        <v>680.65200000000004</v>
      </c>
    </row>
    <row r="1047" spans="1:10" x14ac:dyDescent="0.3">
      <c r="A1047" t="s">
        <v>2854</v>
      </c>
      <c r="B1047" s="1">
        <v>45818</v>
      </c>
      <c r="C1047" t="s">
        <v>1516</v>
      </c>
      <c r="D1047" t="s">
        <v>1591</v>
      </c>
      <c r="E1047" t="s">
        <v>1752</v>
      </c>
      <c r="F1047">
        <v>3</v>
      </c>
      <c r="G1047">
        <v>272.27</v>
      </c>
      <c r="H1047">
        <v>0.01</v>
      </c>
      <c r="I1047" t="s">
        <v>1807</v>
      </c>
      <c r="J1047">
        <v>808.64189999999996</v>
      </c>
    </row>
    <row r="1048" spans="1:10" x14ac:dyDescent="0.3">
      <c r="A1048" t="s">
        <v>2855</v>
      </c>
      <c r="B1048" s="1">
        <v>45806</v>
      </c>
      <c r="C1048" t="s">
        <v>835</v>
      </c>
      <c r="D1048" t="s">
        <v>1715</v>
      </c>
      <c r="E1048" t="s">
        <v>1775</v>
      </c>
      <c r="F1048">
        <v>1</v>
      </c>
      <c r="G1048">
        <v>209.39</v>
      </c>
      <c r="H1048">
        <v>0.28000000000000003</v>
      </c>
      <c r="I1048" t="s">
        <v>1809</v>
      </c>
      <c r="J1048">
        <v>150.76079999999999</v>
      </c>
    </row>
    <row r="1049" spans="1:10" x14ac:dyDescent="0.3">
      <c r="A1049" t="s">
        <v>2856</v>
      </c>
      <c r="B1049" s="1">
        <v>45288</v>
      </c>
      <c r="C1049" t="s">
        <v>199</v>
      </c>
      <c r="D1049" t="s">
        <v>1691</v>
      </c>
      <c r="E1049" t="s">
        <v>1769</v>
      </c>
      <c r="F1049">
        <v>1</v>
      </c>
      <c r="G1049">
        <v>813.87</v>
      </c>
      <c r="H1049">
        <v>0.23</v>
      </c>
      <c r="I1049" t="s">
        <v>1807</v>
      </c>
      <c r="J1049">
        <v>626.67989999999998</v>
      </c>
    </row>
    <row r="1050" spans="1:10" x14ac:dyDescent="0.3">
      <c r="A1050" t="s">
        <v>2857</v>
      </c>
      <c r="B1050" s="1">
        <v>45783</v>
      </c>
      <c r="C1050" t="s">
        <v>814</v>
      </c>
      <c r="D1050" t="s">
        <v>1587</v>
      </c>
      <c r="E1050" t="s">
        <v>1735</v>
      </c>
      <c r="F1050">
        <v>1</v>
      </c>
      <c r="G1050">
        <v>143.69999999999999</v>
      </c>
      <c r="H1050">
        <v>0.19</v>
      </c>
      <c r="I1050" t="s">
        <v>1809</v>
      </c>
      <c r="J1050">
        <v>116.39700000000001</v>
      </c>
    </row>
    <row r="1051" spans="1:10" x14ac:dyDescent="0.3">
      <c r="A1051" t="s">
        <v>2858</v>
      </c>
      <c r="B1051" s="1">
        <v>45385</v>
      </c>
      <c r="C1051" t="s">
        <v>1433</v>
      </c>
      <c r="D1051" t="s">
        <v>1623</v>
      </c>
      <c r="E1051" t="s">
        <v>1740</v>
      </c>
      <c r="F1051">
        <v>4</v>
      </c>
      <c r="G1051">
        <v>837.34</v>
      </c>
      <c r="H1051">
        <v>0.05</v>
      </c>
      <c r="I1051" t="s">
        <v>1809</v>
      </c>
      <c r="J1051">
        <v>3181.8919999999998</v>
      </c>
    </row>
    <row r="1052" spans="1:10" x14ac:dyDescent="0.3">
      <c r="A1052" t="s">
        <v>2859</v>
      </c>
      <c r="B1052" s="1">
        <v>45878</v>
      </c>
      <c r="C1052" t="s">
        <v>412</v>
      </c>
      <c r="D1052" t="s">
        <v>1561</v>
      </c>
      <c r="E1052" t="s">
        <v>1796</v>
      </c>
      <c r="F1052">
        <v>1</v>
      </c>
      <c r="G1052">
        <v>151.66</v>
      </c>
      <c r="H1052">
        <v>0.16</v>
      </c>
      <c r="I1052" t="s">
        <v>1812</v>
      </c>
      <c r="J1052">
        <v>127.3944</v>
      </c>
    </row>
    <row r="1053" spans="1:10" x14ac:dyDescent="0.3">
      <c r="A1053" t="s">
        <v>2860</v>
      </c>
      <c r="B1053" s="1">
        <v>45720</v>
      </c>
      <c r="C1053" t="s">
        <v>1516</v>
      </c>
      <c r="D1053" t="s">
        <v>1619</v>
      </c>
      <c r="E1053" t="s">
        <v>1765</v>
      </c>
      <c r="F1053">
        <v>3</v>
      </c>
      <c r="G1053">
        <v>961.4</v>
      </c>
      <c r="H1053">
        <v>0.02</v>
      </c>
      <c r="I1053" t="s">
        <v>1809</v>
      </c>
      <c r="J1053">
        <v>2826.5160000000001</v>
      </c>
    </row>
    <row r="1054" spans="1:10" x14ac:dyDescent="0.3">
      <c r="A1054" t="s">
        <v>2861</v>
      </c>
      <c r="B1054" s="1">
        <v>45503</v>
      </c>
      <c r="C1054" t="s">
        <v>1144</v>
      </c>
      <c r="D1054" t="s">
        <v>1679</v>
      </c>
      <c r="E1054" t="s">
        <v>1793</v>
      </c>
      <c r="F1054">
        <v>4</v>
      </c>
      <c r="G1054">
        <v>475.98</v>
      </c>
      <c r="H1054">
        <v>0.19</v>
      </c>
      <c r="I1054" t="s">
        <v>1809</v>
      </c>
      <c r="J1054">
        <v>1542.1751999999999</v>
      </c>
    </row>
    <row r="1055" spans="1:10" x14ac:dyDescent="0.3">
      <c r="A1055" t="s">
        <v>2862</v>
      </c>
      <c r="B1055" s="1">
        <v>45551</v>
      </c>
      <c r="C1055" t="s">
        <v>1174</v>
      </c>
      <c r="D1055" t="s">
        <v>1607</v>
      </c>
      <c r="E1055" t="s">
        <v>1784</v>
      </c>
      <c r="F1055">
        <v>4</v>
      </c>
      <c r="G1055">
        <v>132.88999999999999</v>
      </c>
      <c r="H1055">
        <v>0.12</v>
      </c>
      <c r="I1055" t="s">
        <v>1807</v>
      </c>
      <c r="J1055">
        <v>467.77280000000002</v>
      </c>
    </row>
    <row r="1056" spans="1:10" x14ac:dyDescent="0.3">
      <c r="A1056" t="s">
        <v>2863</v>
      </c>
      <c r="B1056" s="1">
        <v>45850</v>
      </c>
      <c r="C1056" t="s">
        <v>1339</v>
      </c>
      <c r="D1056" t="s">
        <v>1601</v>
      </c>
      <c r="E1056" t="s">
        <v>1777</v>
      </c>
      <c r="F1056">
        <v>3</v>
      </c>
      <c r="G1056">
        <v>471.31</v>
      </c>
      <c r="H1056">
        <v>0</v>
      </c>
      <c r="I1056" t="s">
        <v>1809</v>
      </c>
      <c r="J1056">
        <v>1413.93</v>
      </c>
    </row>
    <row r="1057" spans="1:10" x14ac:dyDescent="0.3">
      <c r="A1057" t="s">
        <v>2864</v>
      </c>
      <c r="B1057" s="1">
        <v>45441</v>
      </c>
      <c r="C1057" t="s">
        <v>1415</v>
      </c>
      <c r="D1057" t="s">
        <v>1683</v>
      </c>
      <c r="E1057" t="s">
        <v>1782</v>
      </c>
      <c r="F1057">
        <v>2</v>
      </c>
      <c r="G1057">
        <v>720.32</v>
      </c>
      <c r="H1057">
        <v>0.26</v>
      </c>
      <c r="I1057" t="s">
        <v>1807</v>
      </c>
      <c r="J1057">
        <v>1066.0735999999999</v>
      </c>
    </row>
    <row r="1058" spans="1:10" x14ac:dyDescent="0.3">
      <c r="A1058" t="s">
        <v>2865</v>
      </c>
      <c r="B1058" s="1">
        <v>45431</v>
      </c>
      <c r="C1058" t="s">
        <v>272</v>
      </c>
      <c r="D1058" t="s">
        <v>1663</v>
      </c>
      <c r="E1058" t="s">
        <v>1793</v>
      </c>
      <c r="F1058">
        <v>4</v>
      </c>
      <c r="G1058">
        <v>99.92</v>
      </c>
      <c r="H1058">
        <v>0.11</v>
      </c>
      <c r="I1058" t="s">
        <v>1812</v>
      </c>
      <c r="J1058">
        <v>355.71519999999998</v>
      </c>
    </row>
    <row r="1059" spans="1:10" x14ac:dyDescent="0.3">
      <c r="A1059" t="s">
        <v>2866</v>
      </c>
      <c r="B1059" s="1">
        <v>45873</v>
      </c>
      <c r="C1059" t="s">
        <v>244</v>
      </c>
      <c r="D1059" t="s">
        <v>1551</v>
      </c>
      <c r="E1059" t="s">
        <v>1749</v>
      </c>
      <c r="F1059">
        <v>3</v>
      </c>
      <c r="G1059">
        <v>900.63</v>
      </c>
      <c r="H1059">
        <v>0.11</v>
      </c>
      <c r="I1059" t="s">
        <v>1812</v>
      </c>
      <c r="J1059">
        <v>2404.6821</v>
      </c>
    </row>
    <row r="1060" spans="1:10" x14ac:dyDescent="0.3">
      <c r="A1060" t="s">
        <v>2867</v>
      </c>
      <c r="B1060" s="1">
        <v>45629</v>
      </c>
      <c r="C1060" t="s">
        <v>1352</v>
      </c>
      <c r="D1060" t="s">
        <v>1623</v>
      </c>
      <c r="E1060" t="s">
        <v>1765</v>
      </c>
      <c r="F1060">
        <v>1</v>
      </c>
      <c r="G1060">
        <v>681.72</v>
      </c>
      <c r="H1060">
        <v>0.11</v>
      </c>
      <c r="I1060" t="s">
        <v>1809</v>
      </c>
      <c r="J1060">
        <v>606.73080000000004</v>
      </c>
    </row>
    <row r="1061" spans="1:10" x14ac:dyDescent="0.3">
      <c r="A1061" t="s">
        <v>2868</v>
      </c>
      <c r="B1061" s="1">
        <v>45222</v>
      </c>
      <c r="C1061" t="s">
        <v>48</v>
      </c>
      <c r="D1061" t="s">
        <v>1687</v>
      </c>
      <c r="E1061" t="s">
        <v>1780</v>
      </c>
      <c r="F1061">
        <v>2</v>
      </c>
      <c r="G1061">
        <v>838.22</v>
      </c>
      <c r="H1061">
        <v>0.3</v>
      </c>
      <c r="I1061" t="s">
        <v>1807</v>
      </c>
      <c r="J1061">
        <v>1173.508</v>
      </c>
    </row>
    <row r="1062" spans="1:10" x14ac:dyDescent="0.3">
      <c r="A1062" t="s">
        <v>2869</v>
      </c>
      <c r="B1062" s="1">
        <v>45797</v>
      </c>
      <c r="C1062" t="s">
        <v>631</v>
      </c>
      <c r="D1062" t="s">
        <v>1705</v>
      </c>
      <c r="E1062" t="s">
        <v>1777</v>
      </c>
      <c r="F1062">
        <v>2</v>
      </c>
      <c r="G1062">
        <v>816.22</v>
      </c>
      <c r="H1062">
        <v>0.27</v>
      </c>
      <c r="I1062" t="s">
        <v>1807</v>
      </c>
      <c r="J1062">
        <v>1191.6812</v>
      </c>
    </row>
    <row r="1063" spans="1:10" x14ac:dyDescent="0.3">
      <c r="A1063" t="s">
        <v>2870</v>
      </c>
      <c r="B1063" s="1">
        <v>45554</v>
      </c>
      <c r="C1063" t="s">
        <v>1174</v>
      </c>
      <c r="D1063" t="s">
        <v>1653</v>
      </c>
      <c r="E1063" t="s">
        <v>1762</v>
      </c>
      <c r="F1063">
        <v>2</v>
      </c>
      <c r="G1063">
        <v>654.12</v>
      </c>
      <c r="H1063">
        <v>0.27</v>
      </c>
      <c r="I1063" t="s">
        <v>1809</v>
      </c>
      <c r="J1063">
        <v>955.01519999999994</v>
      </c>
    </row>
    <row r="1064" spans="1:10" x14ac:dyDescent="0.3">
      <c r="A1064" t="s">
        <v>2871</v>
      </c>
      <c r="B1064" s="1">
        <v>45385</v>
      </c>
      <c r="C1064" t="s">
        <v>367</v>
      </c>
      <c r="D1064" t="s">
        <v>1677</v>
      </c>
      <c r="E1064" t="s">
        <v>1780</v>
      </c>
      <c r="F1064">
        <v>4</v>
      </c>
      <c r="G1064">
        <v>528.22</v>
      </c>
      <c r="H1064">
        <v>0.2</v>
      </c>
      <c r="I1064" t="s">
        <v>1809</v>
      </c>
      <c r="J1064">
        <v>1690.3040000000001</v>
      </c>
    </row>
    <row r="1065" spans="1:10" x14ac:dyDescent="0.3">
      <c r="A1065" t="s">
        <v>2872</v>
      </c>
      <c r="B1065" s="1">
        <v>45704</v>
      </c>
      <c r="C1065" t="s">
        <v>710</v>
      </c>
      <c r="D1065" t="s">
        <v>1599</v>
      </c>
      <c r="E1065" t="s">
        <v>1762</v>
      </c>
      <c r="F1065">
        <v>4</v>
      </c>
      <c r="G1065">
        <v>36.72</v>
      </c>
      <c r="H1065">
        <v>7.0000000000000007E-2</v>
      </c>
      <c r="I1065" t="s">
        <v>1812</v>
      </c>
      <c r="J1065">
        <v>136.5984</v>
      </c>
    </row>
    <row r="1066" spans="1:10" x14ac:dyDescent="0.3">
      <c r="A1066" t="s">
        <v>2873</v>
      </c>
      <c r="B1066" s="1">
        <v>45545</v>
      </c>
      <c r="C1066" t="s">
        <v>1144</v>
      </c>
      <c r="D1066" t="s">
        <v>1687</v>
      </c>
      <c r="E1066" t="s">
        <v>1796</v>
      </c>
      <c r="F1066">
        <v>2</v>
      </c>
      <c r="G1066">
        <v>705.97</v>
      </c>
      <c r="H1066">
        <v>0.1</v>
      </c>
      <c r="I1066" t="s">
        <v>1809</v>
      </c>
      <c r="J1066">
        <v>1270.7460000000001</v>
      </c>
    </row>
    <row r="1067" spans="1:10" x14ac:dyDescent="0.3">
      <c r="A1067" t="s">
        <v>2874</v>
      </c>
      <c r="B1067" s="1">
        <v>45736</v>
      </c>
      <c r="C1067" t="s">
        <v>100</v>
      </c>
      <c r="D1067" t="s">
        <v>1611</v>
      </c>
      <c r="E1067" t="s">
        <v>1740</v>
      </c>
      <c r="F1067">
        <v>2</v>
      </c>
      <c r="G1067">
        <v>994.29</v>
      </c>
      <c r="H1067">
        <v>0.01</v>
      </c>
      <c r="I1067" t="s">
        <v>1809</v>
      </c>
      <c r="J1067">
        <v>1968.6941999999999</v>
      </c>
    </row>
    <row r="1068" spans="1:10" x14ac:dyDescent="0.3">
      <c r="A1068" t="s">
        <v>2875</v>
      </c>
      <c r="B1068" s="1">
        <v>45608</v>
      </c>
      <c r="C1068" t="s">
        <v>1292</v>
      </c>
      <c r="D1068" t="s">
        <v>1715</v>
      </c>
      <c r="E1068" t="s">
        <v>1793</v>
      </c>
      <c r="F1068">
        <v>1</v>
      </c>
      <c r="G1068">
        <v>909.04</v>
      </c>
      <c r="H1068">
        <v>0.11</v>
      </c>
      <c r="I1068" t="s">
        <v>1807</v>
      </c>
      <c r="J1068">
        <v>809.04560000000004</v>
      </c>
    </row>
    <row r="1069" spans="1:10" x14ac:dyDescent="0.3">
      <c r="A1069" t="s">
        <v>2876</v>
      </c>
      <c r="B1069" s="1">
        <v>45334</v>
      </c>
      <c r="C1069" t="s">
        <v>1083</v>
      </c>
      <c r="D1069" t="s">
        <v>1599</v>
      </c>
      <c r="E1069" t="s">
        <v>1775</v>
      </c>
      <c r="F1069">
        <v>1</v>
      </c>
      <c r="G1069">
        <v>164.73</v>
      </c>
      <c r="H1069">
        <v>0.12</v>
      </c>
      <c r="I1069" t="s">
        <v>1809</v>
      </c>
      <c r="J1069">
        <v>144.9624</v>
      </c>
    </row>
    <row r="1070" spans="1:10" x14ac:dyDescent="0.3">
      <c r="A1070" t="s">
        <v>2877</v>
      </c>
      <c r="B1070" s="1">
        <v>45690</v>
      </c>
      <c r="C1070" t="s">
        <v>227</v>
      </c>
      <c r="D1070" t="s">
        <v>1605</v>
      </c>
      <c r="E1070" t="s">
        <v>1762</v>
      </c>
      <c r="F1070">
        <v>2</v>
      </c>
      <c r="G1070">
        <v>606.35</v>
      </c>
      <c r="H1070">
        <v>0.16</v>
      </c>
      <c r="I1070" t="s">
        <v>1812</v>
      </c>
      <c r="J1070">
        <v>1018.668</v>
      </c>
    </row>
    <row r="1071" spans="1:10" x14ac:dyDescent="0.3">
      <c r="A1071" t="s">
        <v>2878</v>
      </c>
      <c r="B1071" s="1">
        <v>45481</v>
      </c>
      <c r="C1071" t="s">
        <v>539</v>
      </c>
      <c r="D1071" t="s">
        <v>1727</v>
      </c>
      <c r="E1071" t="s">
        <v>1752</v>
      </c>
      <c r="F1071">
        <v>3</v>
      </c>
      <c r="G1071">
        <v>904.19</v>
      </c>
      <c r="H1071">
        <v>0.09</v>
      </c>
      <c r="I1071" t="s">
        <v>1807</v>
      </c>
      <c r="J1071">
        <v>2468.4387000000002</v>
      </c>
    </row>
    <row r="1072" spans="1:10" x14ac:dyDescent="0.3">
      <c r="A1072" t="s">
        <v>2879</v>
      </c>
      <c r="B1072" s="1">
        <v>45576</v>
      </c>
      <c r="C1072" t="s">
        <v>503</v>
      </c>
      <c r="D1072" t="s">
        <v>1631</v>
      </c>
      <c r="E1072" t="s">
        <v>1744</v>
      </c>
      <c r="F1072">
        <v>4</v>
      </c>
      <c r="G1072">
        <v>694.61</v>
      </c>
      <c r="H1072">
        <v>0.18</v>
      </c>
      <c r="I1072" t="s">
        <v>1812</v>
      </c>
      <c r="J1072">
        <v>2278.3208</v>
      </c>
    </row>
    <row r="1073" spans="1:10" x14ac:dyDescent="0.3">
      <c r="A1073" t="s">
        <v>2880</v>
      </c>
      <c r="B1073" s="1">
        <v>45215</v>
      </c>
      <c r="C1073" t="s">
        <v>721</v>
      </c>
      <c r="D1073" t="s">
        <v>1709</v>
      </c>
      <c r="E1073" t="s">
        <v>1744</v>
      </c>
      <c r="F1073">
        <v>4</v>
      </c>
      <c r="G1073">
        <v>753.83</v>
      </c>
      <c r="H1073">
        <v>0.24</v>
      </c>
      <c r="I1073" t="s">
        <v>1807</v>
      </c>
      <c r="J1073">
        <v>2291.6432</v>
      </c>
    </row>
    <row r="1074" spans="1:10" x14ac:dyDescent="0.3">
      <c r="A1074" t="s">
        <v>2881</v>
      </c>
      <c r="B1074" s="1">
        <v>45653</v>
      </c>
      <c r="C1074" t="s">
        <v>640</v>
      </c>
      <c r="D1074" t="s">
        <v>1573</v>
      </c>
      <c r="E1074" t="s">
        <v>1765</v>
      </c>
      <c r="F1074">
        <v>1</v>
      </c>
      <c r="G1074">
        <v>66.22</v>
      </c>
      <c r="H1074">
        <v>0.02</v>
      </c>
      <c r="I1074" t="s">
        <v>1807</v>
      </c>
      <c r="J1074">
        <v>64.895600000000002</v>
      </c>
    </row>
    <row r="1075" spans="1:10" x14ac:dyDescent="0.3">
      <c r="A1075" t="s">
        <v>2882</v>
      </c>
      <c r="B1075" s="1">
        <v>45241</v>
      </c>
      <c r="C1075" t="s">
        <v>1048</v>
      </c>
      <c r="D1075" t="s">
        <v>1659</v>
      </c>
      <c r="E1075" t="s">
        <v>1782</v>
      </c>
      <c r="F1075">
        <v>2</v>
      </c>
      <c r="G1075">
        <v>891.8</v>
      </c>
      <c r="H1075">
        <v>0.28999999999999998</v>
      </c>
      <c r="I1075" t="s">
        <v>1812</v>
      </c>
      <c r="J1075">
        <v>1266.356</v>
      </c>
    </row>
    <row r="1076" spans="1:10" x14ac:dyDescent="0.3">
      <c r="A1076" t="s">
        <v>2883</v>
      </c>
      <c r="B1076" s="1">
        <v>45428</v>
      </c>
      <c r="C1076" t="s">
        <v>1123</v>
      </c>
      <c r="D1076" t="s">
        <v>1681</v>
      </c>
      <c r="E1076" t="s">
        <v>1769</v>
      </c>
      <c r="F1076">
        <v>4</v>
      </c>
      <c r="G1076">
        <v>255.48</v>
      </c>
      <c r="H1076">
        <v>0.03</v>
      </c>
      <c r="I1076" t="s">
        <v>1812</v>
      </c>
      <c r="J1076">
        <v>991.26239999999996</v>
      </c>
    </row>
    <row r="1077" spans="1:10" x14ac:dyDescent="0.3">
      <c r="A1077" t="s">
        <v>2884</v>
      </c>
      <c r="B1077" s="1">
        <v>45593</v>
      </c>
      <c r="C1077" t="s">
        <v>942</v>
      </c>
      <c r="D1077" t="s">
        <v>1699</v>
      </c>
      <c r="E1077" t="s">
        <v>1790</v>
      </c>
      <c r="F1077">
        <v>4</v>
      </c>
      <c r="G1077">
        <v>604.87</v>
      </c>
      <c r="H1077">
        <v>0.28000000000000003</v>
      </c>
      <c r="I1077" t="s">
        <v>1809</v>
      </c>
      <c r="J1077">
        <v>1742.0255999999999</v>
      </c>
    </row>
    <row r="1078" spans="1:10" x14ac:dyDescent="0.3">
      <c r="A1078" t="s">
        <v>2885</v>
      </c>
      <c r="B1078" s="1">
        <v>45370</v>
      </c>
      <c r="C1078" t="s">
        <v>174</v>
      </c>
      <c r="D1078" t="s">
        <v>1597</v>
      </c>
      <c r="E1078" t="s">
        <v>1790</v>
      </c>
      <c r="F1078">
        <v>3</v>
      </c>
      <c r="G1078">
        <v>623.82000000000005</v>
      </c>
      <c r="H1078">
        <v>0.13</v>
      </c>
      <c r="I1078" t="s">
        <v>1812</v>
      </c>
      <c r="J1078">
        <v>1628.1702</v>
      </c>
    </row>
    <row r="1079" spans="1:10" x14ac:dyDescent="0.3">
      <c r="A1079" t="s">
        <v>2886</v>
      </c>
      <c r="B1079" s="1">
        <v>45882</v>
      </c>
      <c r="C1079" t="s">
        <v>465</v>
      </c>
      <c r="D1079" t="s">
        <v>1673</v>
      </c>
      <c r="E1079" t="s">
        <v>1787</v>
      </c>
      <c r="F1079">
        <v>3</v>
      </c>
      <c r="G1079">
        <v>575.24</v>
      </c>
      <c r="H1079">
        <v>0.12</v>
      </c>
      <c r="I1079" t="s">
        <v>1812</v>
      </c>
      <c r="J1079">
        <v>1518.6335999999999</v>
      </c>
    </row>
    <row r="1080" spans="1:10" x14ac:dyDescent="0.3">
      <c r="A1080" t="s">
        <v>2887</v>
      </c>
      <c r="B1080" s="1">
        <v>45878</v>
      </c>
      <c r="C1080" t="s">
        <v>1272</v>
      </c>
      <c r="D1080" t="s">
        <v>1536</v>
      </c>
      <c r="E1080" t="s">
        <v>1775</v>
      </c>
      <c r="F1080">
        <v>1</v>
      </c>
      <c r="G1080">
        <v>769.4</v>
      </c>
      <c r="H1080">
        <v>0.16</v>
      </c>
      <c r="I1080" t="s">
        <v>1807</v>
      </c>
      <c r="J1080">
        <v>646.29599999999994</v>
      </c>
    </row>
    <row r="1081" spans="1:10" x14ac:dyDescent="0.3">
      <c r="A1081" t="s">
        <v>2888</v>
      </c>
      <c r="B1081" s="1">
        <v>45420</v>
      </c>
      <c r="C1081" t="s">
        <v>1024</v>
      </c>
      <c r="D1081" t="s">
        <v>1536</v>
      </c>
      <c r="E1081" t="s">
        <v>1790</v>
      </c>
      <c r="F1081">
        <v>1</v>
      </c>
      <c r="G1081">
        <v>227.28</v>
      </c>
      <c r="H1081">
        <v>0.13</v>
      </c>
      <c r="I1081" t="s">
        <v>1812</v>
      </c>
      <c r="J1081">
        <v>197.7336</v>
      </c>
    </row>
    <row r="1082" spans="1:10" x14ac:dyDescent="0.3">
      <c r="A1082" t="s">
        <v>2889</v>
      </c>
      <c r="B1082" s="1">
        <v>45361</v>
      </c>
      <c r="C1082" t="s">
        <v>192</v>
      </c>
      <c r="D1082" t="s">
        <v>1532</v>
      </c>
      <c r="E1082" t="s">
        <v>1790</v>
      </c>
      <c r="F1082">
        <v>4</v>
      </c>
      <c r="G1082">
        <v>127.58</v>
      </c>
      <c r="H1082">
        <v>0.15</v>
      </c>
      <c r="I1082" t="s">
        <v>1807</v>
      </c>
      <c r="J1082">
        <v>433.77199999999999</v>
      </c>
    </row>
    <row r="1083" spans="1:10" x14ac:dyDescent="0.3">
      <c r="A1083" t="s">
        <v>2890</v>
      </c>
      <c r="B1083" s="1">
        <v>45702</v>
      </c>
      <c r="C1083" t="s">
        <v>1284</v>
      </c>
      <c r="D1083" t="s">
        <v>1619</v>
      </c>
      <c r="E1083" t="s">
        <v>1749</v>
      </c>
      <c r="F1083">
        <v>1</v>
      </c>
      <c r="G1083">
        <v>793.21</v>
      </c>
      <c r="H1083">
        <v>0.09</v>
      </c>
      <c r="I1083" t="s">
        <v>1807</v>
      </c>
      <c r="J1083">
        <v>721.8211</v>
      </c>
    </row>
    <row r="1084" spans="1:10" x14ac:dyDescent="0.3">
      <c r="A1084" t="s">
        <v>2891</v>
      </c>
      <c r="B1084" s="1">
        <v>45871</v>
      </c>
      <c r="C1084" t="s">
        <v>942</v>
      </c>
      <c r="D1084" t="s">
        <v>1697</v>
      </c>
      <c r="E1084" t="s">
        <v>1777</v>
      </c>
      <c r="F1084">
        <v>3</v>
      </c>
      <c r="G1084">
        <v>435.61</v>
      </c>
      <c r="H1084">
        <v>0.03</v>
      </c>
      <c r="I1084" t="s">
        <v>1809</v>
      </c>
      <c r="J1084">
        <v>1267.6251</v>
      </c>
    </row>
    <row r="1085" spans="1:10" x14ac:dyDescent="0.3">
      <c r="A1085" t="s">
        <v>2892</v>
      </c>
      <c r="B1085" s="1">
        <v>45531</v>
      </c>
      <c r="C1085" t="s">
        <v>1189</v>
      </c>
      <c r="D1085" t="s">
        <v>1589</v>
      </c>
      <c r="E1085" t="s">
        <v>1787</v>
      </c>
      <c r="F1085">
        <v>1</v>
      </c>
      <c r="G1085">
        <v>850.06</v>
      </c>
      <c r="H1085">
        <v>0.28999999999999998</v>
      </c>
      <c r="I1085" t="s">
        <v>1809</v>
      </c>
      <c r="J1085">
        <v>603.54259999999988</v>
      </c>
    </row>
    <row r="1086" spans="1:10" x14ac:dyDescent="0.3">
      <c r="A1086" t="s">
        <v>2893</v>
      </c>
      <c r="B1086" s="1">
        <v>45330</v>
      </c>
      <c r="C1086" t="s">
        <v>1078</v>
      </c>
      <c r="D1086" t="s">
        <v>1563</v>
      </c>
      <c r="E1086" t="s">
        <v>1787</v>
      </c>
      <c r="F1086">
        <v>2</v>
      </c>
      <c r="G1086">
        <v>753.92</v>
      </c>
      <c r="H1086">
        <v>0.17</v>
      </c>
      <c r="I1086" t="s">
        <v>1809</v>
      </c>
      <c r="J1086">
        <v>1251.5072</v>
      </c>
    </row>
    <row r="1087" spans="1:10" x14ac:dyDescent="0.3">
      <c r="A1087" t="s">
        <v>2894</v>
      </c>
      <c r="B1087" s="1">
        <v>45311</v>
      </c>
      <c r="C1087" t="s">
        <v>1484</v>
      </c>
      <c r="D1087" t="s">
        <v>1536</v>
      </c>
      <c r="E1087" t="s">
        <v>1780</v>
      </c>
      <c r="F1087">
        <v>3</v>
      </c>
      <c r="G1087">
        <v>408.99</v>
      </c>
      <c r="H1087">
        <v>0.27</v>
      </c>
      <c r="I1087" t="s">
        <v>1809</v>
      </c>
      <c r="J1087">
        <v>895.68809999999996</v>
      </c>
    </row>
    <row r="1088" spans="1:10" x14ac:dyDescent="0.3">
      <c r="A1088" t="s">
        <v>2895</v>
      </c>
      <c r="B1088" s="1">
        <v>45567</v>
      </c>
      <c r="C1088" t="s">
        <v>897</v>
      </c>
      <c r="D1088" t="s">
        <v>1645</v>
      </c>
      <c r="E1088" t="s">
        <v>1756</v>
      </c>
      <c r="F1088">
        <v>3</v>
      </c>
      <c r="G1088">
        <v>404.5</v>
      </c>
      <c r="H1088">
        <v>0.22</v>
      </c>
      <c r="I1088" t="s">
        <v>1809</v>
      </c>
      <c r="J1088">
        <v>946.53000000000009</v>
      </c>
    </row>
    <row r="1089" spans="1:10" x14ac:dyDescent="0.3">
      <c r="A1089" t="s">
        <v>2896</v>
      </c>
      <c r="B1089" s="1">
        <v>45239</v>
      </c>
      <c r="C1089" t="s">
        <v>1174</v>
      </c>
      <c r="D1089" t="s">
        <v>1609</v>
      </c>
      <c r="E1089" t="s">
        <v>1749</v>
      </c>
      <c r="F1089">
        <v>3</v>
      </c>
      <c r="G1089">
        <v>717.81</v>
      </c>
      <c r="H1089">
        <v>0.17</v>
      </c>
      <c r="I1089" t="s">
        <v>1812</v>
      </c>
      <c r="J1089">
        <v>1787.3469</v>
      </c>
    </row>
    <row r="1090" spans="1:10" x14ac:dyDescent="0.3">
      <c r="A1090" t="s">
        <v>2897</v>
      </c>
      <c r="B1090" s="1">
        <v>45284</v>
      </c>
      <c r="C1090" t="s">
        <v>797</v>
      </c>
      <c r="D1090" t="s">
        <v>1699</v>
      </c>
      <c r="E1090" t="s">
        <v>1740</v>
      </c>
      <c r="F1090">
        <v>3</v>
      </c>
      <c r="G1090">
        <v>204.77</v>
      </c>
      <c r="H1090">
        <v>0.14000000000000001</v>
      </c>
      <c r="I1090" t="s">
        <v>1807</v>
      </c>
      <c r="J1090">
        <v>528.3066</v>
      </c>
    </row>
    <row r="1091" spans="1:10" x14ac:dyDescent="0.3">
      <c r="A1091" t="s">
        <v>2898</v>
      </c>
      <c r="B1091" s="1">
        <v>45686</v>
      </c>
      <c r="C1091" t="s">
        <v>152</v>
      </c>
      <c r="D1091" t="s">
        <v>1627</v>
      </c>
      <c r="E1091" t="s">
        <v>1793</v>
      </c>
      <c r="F1091">
        <v>4</v>
      </c>
      <c r="G1091">
        <v>106.23</v>
      </c>
      <c r="H1091">
        <v>0.28000000000000003</v>
      </c>
      <c r="I1091" t="s">
        <v>1812</v>
      </c>
      <c r="J1091">
        <v>305.94240000000002</v>
      </c>
    </row>
    <row r="1092" spans="1:10" x14ac:dyDescent="0.3">
      <c r="A1092" t="s">
        <v>2899</v>
      </c>
      <c r="B1092" s="1">
        <v>45824</v>
      </c>
      <c r="C1092" t="s">
        <v>1012</v>
      </c>
      <c r="D1092" t="s">
        <v>1663</v>
      </c>
      <c r="E1092" t="s">
        <v>1756</v>
      </c>
      <c r="F1092">
        <v>2</v>
      </c>
      <c r="G1092">
        <v>769.48</v>
      </c>
      <c r="H1092">
        <v>0.11</v>
      </c>
      <c r="I1092" t="s">
        <v>1809</v>
      </c>
      <c r="J1092">
        <v>1369.6744000000001</v>
      </c>
    </row>
    <row r="1093" spans="1:10" x14ac:dyDescent="0.3">
      <c r="A1093" t="s">
        <v>2900</v>
      </c>
      <c r="B1093" s="1">
        <v>45867</v>
      </c>
      <c r="C1093" t="s">
        <v>808</v>
      </c>
      <c r="D1093" t="s">
        <v>1645</v>
      </c>
      <c r="E1093" t="s">
        <v>1780</v>
      </c>
      <c r="F1093">
        <v>2</v>
      </c>
      <c r="G1093">
        <v>714.21</v>
      </c>
      <c r="H1093">
        <v>0.14000000000000001</v>
      </c>
      <c r="I1093" t="s">
        <v>1807</v>
      </c>
      <c r="J1093">
        <v>1228.4412</v>
      </c>
    </row>
    <row r="1094" spans="1:10" x14ac:dyDescent="0.3">
      <c r="A1094" t="s">
        <v>2901</v>
      </c>
      <c r="B1094" s="1">
        <v>45578</v>
      </c>
      <c r="C1094" t="s">
        <v>856</v>
      </c>
      <c r="D1094" t="s">
        <v>1553</v>
      </c>
      <c r="E1094" t="s">
        <v>1784</v>
      </c>
      <c r="F1094">
        <v>4</v>
      </c>
      <c r="G1094">
        <v>632.24</v>
      </c>
      <c r="H1094">
        <v>0.25</v>
      </c>
      <c r="I1094" t="s">
        <v>1809</v>
      </c>
      <c r="J1094">
        <v>1896.72</v>
      </c>
    </row>
    <row r="1095" spans="1:10" x14ac:dyDescent="0.3">
      <c r="A1095" t="s">
        <v>2902</v>
      </c>
      <c r="B1095" s="1">
        <v>45575</v>
      </c>
      <c r="C1095" t="s">
        <v>533</v>
      </c>
      <c r="D1095" t="s">
        <v>1687</v>
      </c>
      <c r="E1095" t="s">
        <v>1749</v>
      </c>
      <c r="F1095">
        <v>2</v>
      </c>
      <c r="G1095">
        <v>845.27</v>
      </c>
      <c r="H1095">
        <v>0.18</v>
      </c>
      <c r="I1095" t="s">
        <v>1809</v>
      </c>
      <c r="J1095">
        <v>1386.2428</v>
      </c>
    </row>
    <row r="1096" spans="1:10" x14ac:dyDescent="0.3">
      <c r="A1096" t="s">
        <v>2903</v>
      </c>
      <c r="B1096" s="1">
        <v>45816</v>
      </c>
      <c r="C1096" t="s">
        <v>1510</v>
      </c>
      <c r="D1096" t="s">
        <v>1705</v>
      </c>
      <c r="E1096" t="s">
        <v>1780</v>
      </c>
      <c r="F1096">
        <v>1</v>
      </c>
      <c r="G1096">
        <v>575.94000000000005</v>
      </c>
      <c r="H1096">
        <v>0.17</v>
      </c>
      <c r="I1096" t="s">
        <v>1807</v>
      </c>
      <c r="J1096">
        <v>478.03019999999998</v>
      </c>
    </row>
    <row r="1097" spans="1:10" x14ac:dyDescent="0.3">
      <c r="A1097" t="s">
        <v>2904</v>
      </c>
      <c r="B1097" s="1">
        <v>45620</v>
      </c>
      <c r="C1097" t="s">
        <v>797</v>
      </c>
      <c r="D1097" t="s">
        <v>1699</v>
      </c>
      <c r="E1097" t="s">
        <v>1784</v>
      </c>
      <c r="F1097">
        <v>1</v>
      </c>
      <c r="G1097">
        <v>907.97</v>
      </c>
      <c r="H1097">
        <v>0.26</v>
      </c>
      <c r="I1097" t="s">
        <v>1812</v>
      </c>
      <c r="J1097">
        <v>671.89779999999996</v>
      </c>
    </row>
    <row r="1098" spans="1:10" x14ac:dyDescent="0.3">
      <c r="A1098" t="s">
        <v>2905</v>
      </c>
      <c r="B1098" s="1">
        <v>45695</v>
      </c>
      <c r="C1098" t="s">
        <v>842</v>
      </c>
      <c r="D1098" t="s">
        <v>1571</v>
      </c>
      <c r="E1098" t="s">
        <v>1777</v>
      </c>
      <c r="F1098">
        <v>1</v>
      </c>
      <c r="G1098">
        <v>99.35</v>
      </c>
      <c r="H1098">
        <v>0.08</v>
      </c>
      <c r="I1098" t="s">
        <v>1812</v>
      </c>
      <c r="J1098">
        <v>91.402000000000001</v>
      </c>
    </row>
    <row r="1099" spans="1:10" x14ac:dyDescent="0.3">
      <c r="A1099" t="s">
        <v>2906</v>
      </c>
      <c r="B1099" s="1">
        <v>45596</v>
      </c>
      <c r="C1099" t="s">
        <v>258</v>
      </c>
      <c r="D1099" t="s">
        <v>1526</v>
      </c>
      <c r="E1099" t="s">
        <v>1749</v>
      </c>
      <c r="F1099">
        <v>2</v>
      </c>
      <c r="G1099">
        <v>374.42</v>
      </c>
      <c r="H1099">
        <v>0.21</v>
      </c>
      <c r="I1099" t="s">
        <v>1812</v>
      </c>
      <c r="J1099">
        <v>591.58360000000005</v>
      </c>
    </row>
    <row r="1100" spans="1:10" x14ac:dyDescent="0.3">
      <c r="A1100" t="s">
        <v>2907</v>
      </c>
      <c r="B1100" s="1">
        <v>45869</v>
      </c>
      <c r="C1100" t="s">
        <v>1464</v>
      </c>
      <c r="D1100" t="s">
        <v>1561</v>
      </c>
      <c r="E1100" t="s">
        <v>1784</v>
      </c>
      <c r="F1100">
        <v>3</v>
      </c>
      <c r="G1100">
        <v>248.43</v>
      </c>
      <c r="H1100">
        <v>0.24</v>
      </c>
      <c r="I1100" t="s">
        <v>1812</v>
      </c>
      <c r="J1100">
        <v>566.42039999999997</v>
      </c>
    </row>
    <row r="1101" spans="1:10" x14ac:dyDescent="0.3">
      <c r="A1101" t="s">
        <v>2908</v>
      </c>
      <c r="B1101" s="1">
        <v>45631</v>
      </c>
      <c r="C1101" t="s">
        <v>1427</v>
      </c>
      <c r="D1101" t="s">
        <v>1701</v>
      </c>
      <c r="E1101" t="s">
        <v>1740</v>
      </c>
      <c r="F1101">
        <v>1</v>
      </c>
      <c r="G1101">
        <v>784.46</v>
      </c>
      <c r="H1101">
        <v>0.14000000000000001</v>
      </c>
      <c r="I1101" t="s">
        <v>1812</v>
      </c>
      <c r="J1101">
        <v>674.63560000000007</v>
      </c>
    </row>
    <row r="1102" spans="1:10" x14ac:dyDescent="0.3">
      <c r="A1102" t="s">
        <v>2909</v>
      </c>
      <c r="B1102" s="1">
        <v>45379</v>
      </c>
      <c r="C1102" t="s">
        <v>820</v>
      </c>
      <c r="D1102" t="s">
        <v>1635</v>
      </c>
      <c r="E1102" t="s">
        <v>1772</v>
      </c>
      <c r="F1102">
        <v>3</v>
      </c>
      <c r="G1102">
        <v>70.88</v>
      </c>
      <c r="H1102">
        <v>0.27</v>
      </c>
      <c r="I1102" t="s">
        <v>1812</v>
      </c>
      <c r="J1102">
        <v>155.22720000000001</v>
      </c>
    </row>
    <row r="1103" spans="1:10" x14ac:dyDescent="0.3">
      <c r="A1103" t="s">
        <v>2910</v>
      </c>
      <c r="B1103" s="1">
        <v>45641</v>
      </c>
      <c r="C1103" t="s">
        <v>382</v>
      </c>
      <c r="D1103" t="s">
        <v>1545</v>
      </c>
      <c r="E1103" t="s">
        <v>1740</v>
      </c>
      <c r="F1103">
        <v>3</v>
      </c>
      <c r="G1103">
        <v>324.29000000000002</v>
      </c>
      <c r="H1103">
        <v>0.16</v>
      </c>
      <c r="I1103" t="s">
        <v>1812</v>
      </c>
      <c r="J1103">
        <v>817.21080000000006</v>
      </c>
    </row>
    <row r="1104" spans="1:10" x14ac:dyDescent="0.3">
      <c r="A1104" t="s">
        <v>2911</v>
      </c>
      <c r="B1104" s="1">
        <v>45842</v>
      </c>
      <c r="C1104" t="s">
        <v>473</v>
      </c>
      <c r="D1104" t="s">
        <v>1561</v>
      </c>
      <c r="E1104" t="s">
        <v>1749</v>
      </c>
      <c r="F1104">
        <v>4</v>
      </c>
      <c r="G1104">
        <v>243.92</v>
      </c>
      <c r="H1104">
        <v>0.02</v>
      </c>
      <c r="I1104" t="s">
        <v>1809</v>
      </c>
      <c r="J1104">
        <v>956.16639999999995</v>
      </c>
    </row>
    <row r="1105" spans="1:10" x14ac:dyDescent="0.3">
      <c r="A1105" t="s">
        <v>2912</v>
      </c>
      <c r="B1105" s="1">
        <v>45257</v>
      </c>
      <c r="C1105" t="s">
        <v>1159</v>
      </c>
      <c r="D1105" t="s">
        <v>1587</v>
      </c>
      <c r="E1105" t="s">
        <v>1780</v>
      </c>
      <c r="F1105">
        <v>1</v>
      </c>
      <c r="G1105">
        <v>664.35</v>
      </c>
      <c r="H1105">
        <v>0</v>
      </c>
      <c r="I1105" t="s">
        <v>1807</v>
      </c>
      <c r="J1105">
        <v>664.35</v>
      </c>
    </row>
    <row r="1106" spans="1:10" x14ac:dyDescent="0.3">
      <c r="A1106" t="s">
        <v>2913</v>
      </c>
      <c r="B1106" s="1">
        <v>45468</v>
      </c>
      <c r="C1106" t="s">
        <v>1186</v>
      </c>
      <c r="D1106" t="s">
        <v>1573</v>
      </c>
      <c r="E1106" t="s">
        <v>1772</v>
      </c>
      <c r="F1106">
        <v>2</v>
      </c>
      <c r="G1106">
        <v>218.07</v>
      </c>
      <c r="H1106">
        <v>0.19</v>
      </c>
      <c r="I1106" t="s">
        <v>1809</v>
      </c>
      <c r="J1106">
        <v>353.27339999999998</v>
      </c>
    </row>
    <row r="1107" spans="1:10" x14ac:dyDescent="0.3">
      <c r="A1107" t="s">
        <v>2914</v>
      </c>
      <c r="B1107" s="1">
        <v>45228</v>
      </c>
      <c r="C1107" t="s">
        <v>1183</v>
      </c>
      <c r="D1107" t="s">
        <v>1561</v>
      </c>
      <c r="E1107" t="s">
        <v>1749</v>
      </c>
      <c r="F1107">
        <v>4</v>
      </c>
      <c r="G1107">
        <v>921.83</v>
      </c>
      <c r="H1107">
        <v>0.27</v>
      </c>
      <c r="I1107" t="s">
        <v>1807</v>
      </c>
      <c r="J1107">
        <v>2691.7435999999998</v>
      </c>
    </row>
    <row r="1108" spans="1:10" x14ac:dyDescent="0.3">
      <c r="A1108" t="s">
        <v>2915</v>
      </c>
      <c r="B1108" s="1">
        <v>45661</v>
      </c>
      <c r="C1108" t="s">
        <v>554</v>
      </c>
      <c r="D1108" t="s">
        <v>1631</v>
      </c>
      <c r="E1108" t="s">
        <v>1740</v>
      </c>
      <c r="F1108">
        <v>3</v>
      </c>
      <c r="G1108">
        <v>326.2</v>
      </c>
      <c r="H1108">
        <v>0.22</v>
      </c>
      <c r="I1108" t="s">
        <v>1812</v>
      </c>
      <c r="J1108">
        <v>763.30799999999999</v>
      </c>
    </row>
    <row r="1109" spans="1:10" x14ac:dyDescent="0.3">
      <c r="A1109" t="s">
        <v>2916</v>
      </c>
      <c r="B1109" s="1">
        <v>45701</v>
      </c>
      <c r="C1109" t="s">
        <v>1398</v>
      </c>
      <c r="D1109" t="s">
        <v>1565</v>
      </c>
      <c r="E1109" t="s">
        <v>1796</v>
      </c>
      <c r="F1109">
        <v>1</v>
      </c>
      <c r="G1109">
        <v>244.25</v>
      </c>
      <c r="H1109">
        <v>0.09</v>
      </c>
      <c r="I1109" t="s">
        <v>1809</v>
      </c>
      <c r="J1109">
        <v>222.26750000000001</v>
      </c>
    </row>
    <row r="1110" spans="1:10" x14ac:dyDescent="0.3">
      <c r="A1110" t="s">
        <v>2917</v>
      </c>
      <c r="B1110" s="1">
        <v>45448</v>
      </c>
      <c r="C1110" t="s">
        <v>1141</v>
      </c>
      <c r="D1110" t="s">
        <v>1653</v>
      </c>
      <c r="E1110" t="s">
        <v>1772</v>
      </c>
      <c r="F1110">
        <v>3</v>
      </c>
      <c r="G1110">
        <v>808.87</v>
      </c>
      <c r="H1110">
        <v>0.12</v>
      </c>
      <c r="I1110" t="s">
        <v>1812</v>
      </c>
      <c r="J1110">
        <v>2135.4168</v>
      </c>
    </row>
    <row r="1111" spans="1:10" x14ac:dyDescent="0.3">
      <c r="A1111" t="s">
        <v>2918</v>
      </c>
      <c r="B1111" s="1">
        <v>45387</v>
      </c>
      <c r="C1111" t="s">
        <v>1051</v>
      </c>
      <c r="D1111" t="s">
        <v>1593</v>
      </c>
      <c r="E1111" t="s">
        <v>1744</v>
      </c>
      <c r="F1111">
        <v>3</v>
      </c>
      <c r="G1111">
        <v>826.15</v>
      </c>
      <c r="H1111">
        <v>0</v>
      </c>
      <c r="I1111" t="s">
        <v>1809</v>
      </c>
      <c r="J1111">
        <v>2478.4499999999998</v>
      </c>
    </row>
    <row r="1112" spans="1:10" x14ac:dyDescent="0.3">
      <c r="A1112" t="s">
        <v>2919</v>
      </c>
      <c r="B1112" s="1">
        <v>45652</v>
      </c>
      <c r="C1112" t="s">
        <v>610</v>
      </c>
      <c r="D1112" t="s">
        <v>1579</v>
      </c>
      <c r="E1112" t="s">
        <v>1796</v>
      </c>
      <c r="F1112">
        <v>3</v>
      </c>
      <c r="G1112">
        <v>631.20000000000005</v>
      </c>
      <c r="H1112">
        <v>0.24</v>
      </c>
      <c r="I1112" t="s">
        <v>1807</v>
      </c>
      <c r="J1112">
        <v>1439.136</v>
      </c>
    </row>
    <row r="1113" spans="1:10" x14ac:dyDescent="0.3">
      <c r="A1113" t="s">
        <v>2920</v>
      </c>
      <c r="B1113" s="1">
        <v>45316</v>
      </c>
      <c r="C1113" t="s">
        <v>864</v>
      </c>
      <c r="D1113" t="s">
        <v>1647</v>
      </c>
      <c r="E1113" t="s">
        <v>1772</v>
      </c>
      <c r="F1113">
        <v>1</v>
      </c>
      <c r="G1113">
        <v>937.01</v>
      </c>
      <c r="H1113">
        <v>7.0000000000000007E-2</v>
      </c>
      <c r="I1113" t="s">
        <v>1807</v>
      </c>
      <c r="J1113">
        <v>871.41929999999991</v>
      </c>
    </row>
    <row r="1114" spans="1:10" x14ac:dyDescent="0.3">
      <c r="A1114" t="s">
        <v>2921</v>
      </c>
      <c r="B1114" s="1">
        <v>45316</v>
      </c>
      <c r="C1114" t="s">
        <v>503</v>
      </c>
      <c r="D1114" t="s">
        <v>1677</v>
      </c>
      <c r="E1114" t="s">
        <v>1756</v>
      </c>
      <c r="F1114">
        <v>2</v>
      </c>
      <c r="G1114">
        <v>644</v>
      </c>
      <c r="H1114">
        <v>0.04</v>
      </c>
      <c r="I1114" t="s">
        <v>1809</v>
      </c>
      <c r="J1114">
        <v>1236.48</v>
      </c>
    </row>
    <row r="1115" spans="1:10" x14ac:dyDescent="0.3">
      <c r="A1115" t="s">
        <v>2922</v>
      </c>
      <c r="B1115" s="1">
        <v>45888</v>
      </c>
      <c r="C1115" t="s">
        <v>333</v>
      </c>
      <c r="D1115" t="s">
        <v>1713</v>
      </c>
      <c r="E1115" t="s">
        <v>1756</v>
      </c>
      <c r="F1115">
        <v>3</v>
      </c>
      <c r="G1115">
        <v>629.58000000000004</v>
      </c>
      <c r="H1115">
        <v>0.05</v>
      </c>
      <c r="I1115" t="s">
        <v>1807</v>
      </c>
      <c r="J1115">
        <v>1794.3030000000001</v>
      </c>
    </row>
    <row r="1116" spans="1:10" x14ac:dyDescent="0.3">
      <c r="A1116" t="s">
        <v>2923</v>
      </c>
      <c r="B1116" s="1">
        <v>45791</v>
      </c>
      <c r="C1116" t="s">
        <v>1421</v>
      </c>
      <c r="D1116" t="s">
        <v>1705</v>
      </c>
      <c r="E1116" t="s">
        <v>1744</v>
      </c>
      <c r="F1116">
        <v>2</v>
      </c>
      <c r="G1116">
        <v>121.52</v>
      </c>
      <c r="H1116">
        <v>0.18</v>
      </c>
      <c r="I1116" t="s">
        <v>1812</v>
      </c>
      <c r="J1116">
        <v>199.2928</v>
      </c>
    </row>
    <row r="1117" spans="1:10" x14ac:dyDescent="0.3">
      <c r="A1117" t="s">
        <v>2924</v>
      </c>
      <c r="B1117" s="1">
        <v>45420</v>
      </c>
      <c r="C1117" t="s">
        <v>1235</v>
      </c>
      <c r="D1117" t="s">
        <v>1661</v>
      </c>
      <c r="E1117" t="s">
        <v>1796</v>
      </c>
      <c r="F1117">
        <v>2</v>
      </c>
      <c r="G1117">
        <v>549.83000000000004</v>
      </c>
      <c r="H1117">
        <v>7.0000000000000007E-2</v>
      </c>
      <c r="I1117" t="s">
        <v>1809</v>
      </c>
      <c r="J1117">
        <v>1022.6838</v>
      </c>
    </row>
    <row r="1118" spans="1:10" x14ac:dyDescent="0.3">
      <c r="A1118" t="s">
        <v>2925</v>
      </c>
      <c r="B1118" s="1">
        <v>45219</v>
      </c>
      <c r="C1118" t="s">
        <v>470</v>
      </c>
      <c r="D1118" t="s">
        <v>1557</v>
      </c>
      <c r="E1118" t="s">
        <v>1765</v>
      </c>
      <c r="F1118">
        <v>3</v>
      </c>
      <c r="G1118">
        <v>278.38</v>
      </c>
      <c r="H1118">
        <v>0.03</v>
      </c>
      <c r="I1118" t="s">
        <v>1807</v>
      </c>
      <c r="J1118">
        <v>810.08579999999995</v>
      </c>
    </row>
    <row r="1119" spans="1:10" x14ac:dyDescent="0.3">
      <c r="A1119" t="s">
        <v>2926</v>
      </c>
      <c r="B1119" s="1">
        <v>45510</v>
      </c>
      <c r="C1119" t="s">
        <v>1339</v>
      </c>
      <c r="D1119" t="s">
        <v>1723</v>
      </c>
      <c r="E1119" t="s">
        <v>1749</v>
      </c>
      <c r="F1119">
        <v>4</v>
      </c>
      <c r="G1119">
        <v>723.66</v>
      </c>
      <c r="H1119">
        <v>0.03</v>
      </c>
      <c r="I1119" t="s">
        <v>1809</v>
      </c>
      <c r="J1119">
        <v>2807.8008</v>
      </c>
    </row>
    <row r="1120" spans="1:10" x14ac:dyDescent="0.3">
      <c r="A1120" t="s">
        <v>2927</v>
      </c>
      <c r="B1120" s="1">
        <v>45687</v>
      </c>
      <c r="C1120" t="s">
        <v>663</v>
      </c>
      <c r="D1120" t="s">
        <v>1675</v>
      </c>
      <c r="E1120" t="s">
        <v>1769</v>
      </c>
      <c r="F1120">
        <v>1</v>
      </c>
      <c r="G1120">
        <v>724.74</v>
      </c>
      <c r="H1120">
        <v>0.15</v>
      </c>
      <c r="I1120" t="s">
        <v>1809</v>
      </c>
      <c r="J1120">
        <v>616.029</v>
      </c>
    </row>
    <row r="1121" spans="1:10" x14ac:dyDescent="0.3">
      <c r="A1121" t="s">
        <v>2928</v>
      </c>
      <c r="B1121" s="1">
        <v>45271</v>
      </c>
      <c r="C1121" t="s">
        <v>1389</v>
      </c>
      <c r="D1121" t="s">
        <v>1573</v>
      </c>
      <c r="E1121" t="s">
        <v>1752</v>
      </c>
      <c r="F1121">
        <v>2</v>
      </c>
      <c r="G1121">
        <v>961.84</v>
      </c>
      <c r="H1121">
        <v>0.25</v>
      </c>
      <c r="I1121" t="s">
        <v>1809</v>
      </c>
      <c r="J1121">
        <v>1442.76</v>
      </c>
    </row>
    <row r="1122" spans="1:10" x14ac:dyDescent="0.3">
      <c r="A1122" t="s">
        <v>2929</v>
      </c>
      <c r="B1122" s="1">
        <v>45446</v>
      </c>
      <c r="C1122" t="s">
        <v>89</v>
      </c>
      <c r="D1122" t="s">
        <v>1605</v>
      </c>
      <c r="E1122" t="s">
        <v>1787</v>
      </c>
      <c r="F1122">
        <v>4</v>
      </c>
      <c r="G1122">
        <v>21.12</v>
      </c>
      <c r="H1122">
        <v>0.18</v>
      </c>
      <c r="I1122" t="s">
        <v>1812</v>
      </c>
      <c r="J1122">
        <v>69.273600000000002</v>
      </c>
    </row>
    <row r="1123" spans="1:10" x14ac:dyDescent="0.3">
      <c r="A1123" t="s">
        <v>2930</v>
      </c>
      <c r="B1123" s="1">
        <v>45579</v>
      </c>
      <c r="C1123" t="s">
        <v>995</v>
      </c>
      <c r="D1123" t="s">
        <v>1526</v>
      </c>
      <c r="E1123" t="s">
        <v>1752</v>
      </c>
      <c r="F1123">
        <v>3</v>
      </c>
      <c r="G1123">
        <v>819.93</v>
      </c>
      <c r="H1123">
        <v>0.08</v>
      </c>
      <c r="I1123" t="s">
        <v>1809</v>
      </c>
      <c r="J1123">
        <v>2263.0068000000001</v>
      </c>
    </row>
    <row r="1124" spans="1:10" x14ac:dyDescent="0.3">
      <c r="A1124" t="s">
        <v>2931</v>
      </c>
      <c r="B1124" s="1">
        <v>45725</v>
      </c>
      <c r="C1124" t="s">
        <v>923</v>
      </c>
      <c r="D1124" t="s">
        <v>1615</v>
      </c>
      <c r="E1124" t="s">
        <v>1735</v>
      </c>
      <c r="F1124">
        <v>2</v>
      </c>
      <c r="G1124">
        <v>700.95</v>
      </c>
      <c r="H1124">
        <v>0.18</v>
      </c>
      <c r="I1124" t="s">
        <v>1807</v>
      </c>
      <c r="J1124">
        <v>1149.558</v>
      </c>
    </row>
    <row r="1125" spans="1:10" x14ac:dyDescent="0.3">
      <c r="A1125" t="s">
        <v>2932</v>
      </c>
      <c r="B1125" s="1">
        <v>45910</v>
      </c>
      <c r="C1125" t="s">
        <v>473</v>
      </c>
      <c r="D1125" t="s">
        <v>1565</v>
      </c>
      <c r="E1125" t="s">
        <v>1782</v>
      </c>
      <c r="F1125">
        <v>2</v>
      </c>
      <c r="G1125">
        <v>456.38</v>
      </c>
      <c r="H1125">
        <v>0.12</v>
      </c>
      <c r="I1125" t="s">
        <v>1807</v>
      </c>
      <c r="J1125">
        <v>803.22879999999998</v>
      </c>
    </row>
    <row r="1126" spans="1:10" x14ac:dyDescent="0.3">
      <c r="A1126" t="s">
        <v>2933</v>
      </c>
      <c r="B1126" s="1">
        <v>45447</v>
      </c>
      <c r="C1126" t="s">
        <v>1118</v>
      </c>
      <c r="D1126" t="s">
        <v>1683</v>
      </c>
      <c r="E1126" t="s">
        <v>1782</v>
      </c>
      <c r="F1126">
        <v>3</v>
      </c>
      <c r="G1126">
        <v>291.05</v>
      </c>
      <c r="H1126">
        <v>0.3</v>
      </c>
      <c r="I1126" t="s">
        <v>1807</v>
      </c>
      <c r="J1126">
        <v>611.20500000000004</v>
      </c>
    </row>
    <row r="1127" spans="1:10" x14ac:dyDescent="0.3">
      <c r="A1127" t="s">
        <v>2934</v>
      </c>
      <c r="B1127" s="1">
        <v>45307</v>
      </c>
      <c r="C1127" t="s">
        <v>743</v>
      </c>
      <c r="D1127" t="s">
        <v>1721</v>
      </c>
      <c r="E1127" t="s">
        <v>1784</v>
      </c>
      <c r="F1127">
        <v>2</v>
      </c>
      <c r="G1127">
        <v>463.52</v>
      </c>
      <c r="H1127">
        <v>0.27</v>
      </c>
      <c r="I1127" t="s">
        <v>1809</v>
      </c>
      <c r="J1127">
        <v>676.73919999999998</v>
      </c>
    </row>
    <row r="1128" spans="1:10" x14ac:dyDescent="0.3">
      <c r="A1128" t="s">
        <v>2935</v>
      </c>
      <c r="B1128" s="1">
        <v>45653</v>
      </c>
      <c r="C1128" t="s">
        <v>1171</v>
      </c>
      <c r="D1128" t="s">
        <v>1526</v>
      </c>
      <c r="E1128" t="s">
        <v>1790</v>
      </c>
      <c r="F1128">
        <v>3</v>
      </c>
      <c r="G1128">
        <v>241.64</v>
      </c>
      <c r="H1128">
        <v>0.28999999999999998</v>
      </c>
      <c r="I1128" t="s">
        <v>1809</v>
      </c>
      <c r="J1128">
        <v>514.69319999999993</v>
      </c>
    </row>
    <row r="1129" spans="1:10" x14ac:dyDescent="0.3">
      <c r="A1129" t="s">
        <v>2936</v>
      </c>
      <c r="B1129" s="1">
        <v>45817</v>
      </c>
      <c r="C1129" t="s">
        <v>1470</v>
      </c>
      <c r="D1129" t="s">
        <v>1591</v>
      </c>
      <c r="E1129" t="s">
        <v>1772</v>
      </c>
      <c r="F1129">
        <v>2</v>
      </c>
      <c r="G1129">
        <v>47.86</v>
      </c>
      <c r="H1129">
        <v>0.03</v>
      </c>
      <c r="I1129" t="s">
        <v>1809</v>
      </c>
      <c r="J1129">
        <v>92.848399999999998</v>
      </c>
    </row>
    <row r="1130" spans="1:10" x14ac:dyDescent="0.3">
      <c r="A1130" t="s">
        <v>2937</v>
      </c>
      <c r="B1130" s="1">
        <v>45509</v>
      </c>
      <c r="C1130" t="s">
        <v>1069</v>
      </c>
      <c r="D1130" t="s">
        <v>1715</v>
      </c>
      <c r="E1130" t="s">
        <v>1749</v>
      </c>
      <c r="F1130">
        <v>1</v>
      </c>
      <c r="G1130">
        <v>805.07</v>
      </c>
      <c r="H1130">
        <v>0.06</v>
      </c>
      <c r="I1130" t="s">
        <v>1812</v>
      </c>
      <c r="J1130">
        <v>756.76580000000001</v>
      </c>
    </row>
    <row r="1131" spans="1:10" x14ac:dyDescent="0.3">
      <c r="A1131" t="s">
        <v>2938</v>
      </c>
      <c r="B1131" s="1">
        <v>45753</v>
      </c>
      <c r="C1131" t="s">
        <v>1153</v>
      </c>
      <c r="D1131" t="s">
        <v>1599</v>
      </c>
      <c r="E1131" t="s">
        <v>1740</v>
      </c>
      <c r="F1131">
        <v>3</v>
      </c>
      <c r="G1131">
        <v>848.48</v>
      </c>
      <c r="H1131">
        <v>0</v>
      </c>
      <c r="I1131" t="s">
        <v>1812</v>
      </c>
      <c r="J1131">
        <v>2545.44</v>
      </c>
    </row>
    <row r="1132" spans="1:10" x14ac:dyDescent="0.3">
      <c r="A1132" t="s">
        <v>2939</v>
      </c>
      <c r="B1132" s="1">
        <v>45512</v>
      </c>
      <c r="C1132" t="s">
        <v>776</v>
      </c>
      <c r="D1132" t="s">
        <v>1637</v>
      </c>
      <c r="E1132" t="s">
        <v>1765</v>
      </c>
      <c r="F1132">
        <v>2</v>
      </c>
      <c r="G1132">
        <v>568.95000000000005</v>
      </c>
      <c r="H1132">
        <v>0.22</v>
      </c>
      <c r="I1132" t="s">
        <v>1807</v>
      </c>
      <c r="J1132">
        <v>887.56200000000013</v>
      </c>
    </row>
    <row r="1133" spans="1:10" x14ac:dyDescent="0.3">
      <c r="A1133" t="s">
        <v>2940</v>
      </c>
      <c r="B1133" s="1">
        <v>45764</v>
      </c>
      <c r="C1133" t="s">
        <v>536</v>
      </c>
      <c r="D1133" t="s">
        <v>1637</v>
      </c>
      <c r="E1133" t="s">
        <v>1775</v>
      </c>
      <c r="F1133">
        <v>3</v>
      </c>
      <c r="G1133">
        <v>269.83999999999997</v>
      </c>
      <c r="H1133">
        <v>0.05</v>
      </c>
      <c r="I1133" t="s">
        <v>1809</v>
      </c>
      <c r="J1133">
        <v>769.04399999999998</v>
      </c>
    </row>
    <row r="1134" spans="1:10" x14ac:dyDescent="0.3">
      <c r="A1134" t="s">
        <v>2941</v>
      </c>
      <c r="B1134" s="1">
        <v>45746</v>
      </c>
      <c r="C1134" t="s">
        <v>965</v>
      </c>
      <c r="D1134" t="s">
        <v>1655</v>
      </c>
      <c r="E1134" t="s">
        <v>1780</v>
      </c>
      <c r="F1134">
        <v>4</v>
      </c>
      <c r="G1134">
        <v>267.36</v>
      </c>
      <c r="H1134">
        <v>0.27</v>
      </c>
      <c r="I1134" t="s">
        <v>1809</v>
      </c>
      <c r="J1134">
        <v>780.69119999999998</v>
      </c>
    </row>
    <row r="1135" spans="1:10" x14ac:dyDescent="0.3">
      <c r="A1135" t="s">
        <v>2942</v>
      </c>
      <c r="B1135" s="1">
        <v>45647</v>
      </c>
      <c r="C1135" t="s">
        <v>394</v>
      </c>
      <c r="D1135" t="s">
        <v>1605</v>
      </c>
      <c r="E1135" t="s">
        <v>1740</v>
      </c>
      <c r="F1135">
        <v>1</v>
      </c>
      <c r="G1135">
        <v>438.41</v>
      </c>
      <c r="H1135">
        <v>0.09</v>
      </c>
      <c r="I1135" t="s">
        <v>1807</v>
      </c>
      <c r="J1135">
        <v>398.95310000000012</v>
      </c>
    </row>
    <row r="1136" spans="1:10" x14ac:dyDescent="0.3">
      <c r="A1136" t="s">
        <v>2943</v>
      </c>
      <c r="B1136" s="1">
        <v>45443</v>
      </c>
      <c r="C1136" t="s">
        <v>542</v>
      </c>
      <c r="D1136" t="s">
        <v>1633</v>
      </c>
      <c r="E1136" t="s">
        <v>1793</v>
      </c>
      <c r="F1136">
        <v>2</v>
      </c>
      <c r="G1136">
        <v>86.72</v>
      </c>
      <c r="H1136">
        <v>0.28000000000000003</v>
      </c>
      <c r="I1136" t="s">
        <v>1812</v>
      </c>
      <c r="J1136">
        <v>124.8768</v>
      </c>
    </row>
    <row r="1137" spans="1:10" x14ac:dyDescent="0.3">
      <c r="A1137" t="s">
        <v>2944</v>
      </c>
      <c r="B1137" s="1">
        <v>45722</v>
      </c>
      <c r="C1137" t="s">
        <v>1303</v>
      </c>
      <c r="D1137" t="s">
        <v>1709</v>
      </c>
      <c r="E1137" t="s">
        <v>1759</v>
      </c>
      <c r="F1137">
        <v>4</v>
      </c>
      <c r="G1137">
        <v>630.21</v>
      </c>
      <c r="H1137">
        <v>0.14000000000000001</v>
      </c>
      <c r="I1137" t="s">
        <v>1812</v>
      </c>
      <c r="J1137">
        <v>2167.9223999999999</v>
      </c>
    </row>
    <row r="1138" spans="1:10" x14ac:dyDescent="0.3">
      <c r="A1138" t="s">
        <v>2945</v>
      </c>
      <c r="B1138" s="1">
        <v>45575</v>
      </c>
      <c r="C1138" t="s">
        <v>1112</v>
      </c>
      <c r="D1138" t="s">
        <v>1649</v>
      </c>
      <c r="E1138" t="s">
        <v>1759</v>
      </c>
      <c r="F1138">
        <v>3</v>
      </c>
      <c r="G1138">
        <v>180.84</v>
      </c>
      <c r="H1138">
        <v>0.03</v>
      </c>
      <c r="I1138" t="s">
        <v>1809</v>
      </c>
      <c r="J1138">
        <v>526.24439999999993</v>
      </c>
    </row>
    <row r="1139" spans="1:10" x14ac:dyDescent="0.3">
      <c r="A1139" t="s">
        <v>2946</v>
      </c>
      <c r="B1139" s="1">
        <v>45441</v>
      </c>
      <c r="C1139" t="s">
        <v>27</v>
      </c>
      <c r="D1139" t="s">
        <v>1659</v>
      </c>
      <c r="E1139" t="s">
        <v>1787</v>
      </c>
      <c r="F1139">
        <v>1</v>
      </c>
      <c r="G1139">
        <v>453.41</v>
      </c>
      <c r="H1139">
        <v>0.04</v>
      </c>
      <c r="I1139" t="s">
        <v>1812</v>
      </c>
      <c r="J1139">
        <v>435.27359999999999</v>
      </c>
    </row>
    <row r="1140" spans="1:10" x14ac:dyDescent="0.3">
      <c r="A1140" t="s">
        <v>2947</v>
      </c>
      <c r="B1140" s="1">
        <v>45940</v>
      </c>
      <c r="C1140" t="s">
        <v>103</v>
      </c>
      <c r="D1140" t="s">
        <v>1633</v>
      </c>
      <c r="E1140" t="s">
        <v>1759</v>
      </c>
      <c r="F1140">
        <v>1</v>
      </c>
      <c r="G1140">
        <v>629.09</v>
      </c>
      <c r="H1140">
        <v>0.02</v>
      </c>
      <c r="I1140" t="s">
        <v>1807</v>
      </c>
      <c r="J1140">
        <v>616.50819999999999</v>
      </c>
    </row>
    <row r="1141" spans="1:10" x14ac:dyDescent="0.3">
      <c r="A1141" t="s">
        <v>2948</v>
      </c>
      <c r="B1141" s="1">
        <v>45518</v>
      </c>
      <c r="C1141" t="s">
        <v>97</v>
      </c>
      <c r="D1141" t="s">
        <v>1685</v>
      </c>
      <c r="E1141" t="s">
        <v>1744</v>
      </c>
      <c r="F1141">
        <v>2</v>
      </c>
      <c r="G1141">
        <v>257.45</v>
      </c>
      <c r="H1141">
        <v>0</v>
      </c>
      <c r="I1141" t="s">
        <v>1812</v>
      </c>
      <c r="J1141">
        <v>514.9</v>
      </c>
    </row>
    <row r="1142" spans="1:10" x14ac:dyDescent="0.3">
      <c r="A1142" t="s">
        <v>2949</v>
      </c>
      <c r="B1142" s="1">
        <v>45861</v>
      </c>
      <c r="C1142" t="s">
        <v>586</v>
      </c>
      <c r="D1142" t="s">
        <v>1599</v>
      </c>
      <c r="E1142" t="s">
        <v>1784</v>
      </c>
      <c r="F1142">
        <v>2</v>
      </c>
      <c r="G1142">
        <v>696.61</v>
      </c>
      <c r="H1142">
        <v>0.17</v>
      </c>
      <c r="I1142" t="s">
        <v>1809</v>
      </c>
      <c r="J1142">
        <v>1156.3725999999999</v>
      </c>
    </row>
    <row r="1143" spans="1:10" x14ac:dyDescent="0.3">
      <c r="A1143" t="s">
        <v>2950</v>
      </c>
      <c r="B1143" s="1">
        <v>45416</v>
      </c>
      <c r="C1143" t="s">
        <v>1153</v>
      </c>
      <c r="D1143" t="s">
        <v>1623</v>
      </c>
      <c r="E1143" t="s">
        <v>1762</v>
      </c>
      <c r="F1143">
        <v>2</v>
      </c>
      <c r="G1143">
        <v>143.79</v>
      </c>
      <c r="H1143">
        <v>0.1</v>
      </c>
      <c r="I1143" t="s">
        <v>1809</v>
      </c>
      <c r="J1143">
        <v>258.822</v>
      </c>
    </row>
    <row r="1144" spans="1:10" x14ac:dyDescent="0.3">
      <c r="A1144" t="s">
        <v>2951</v>
      </c>
      <c r="B1144" s="1">
        <v>45608</v>
      </c>
      <c r="C1144" t="s">
        <v>928</v>
      </c>
      <c r="D1144" t="s">
        <v>1697</v>
      </c>
      <c r="E1144" t="s">
        <v>1740</v>
      </c>
      <c r="F1144">
        <v>3</v>
      </c>
      <c r="G1144">
        <v>460.93</v>
      </c>
      <c r="H1144">
        <v>0.19</v>
      </c>
      <c r="I1144" t="s">
        <v>1812</v>
      </c>
      <c r="J1144">
        <v>1120.0599</v>
      </c>
    </row>
    <row r="1145" spans="1:10" x14ac:dyDescent="0.3">
      <c r="A1145" t="s">
        <v>2952</v>
      </c>
      <c r="B1145" s="1">
        <v>45301</v>
      </c>
      <c r="C1145" t="s">
        <v>1516</v>
      </c>
      <c r="D1145" t="s">
        <v>1587</v>
      </c>
      <c r="E1145" t="s">
        <v>1769</v>
      </c>
      <c r="F1145">
        <v>2</v>
      </c>
      <c r="G1145">
        <v>67.55</v>
      </c>
      <c r="H1145">
        <v>0.03</v>
      </c>
      <c r="I1145" t="s">
        <v>1807</v>
      </c>
      <c r="J1145">
        <v>131.047</v>
      </c>
    </row>
    <row r="1146" spans="1:10" x14ac:dyDescent="0.3">
      <c r="A1146" t="s">
        <v>2953</v>
      </c>
      <c r="B1146" s="1">
        <v>45433</v>
      </c>
      <c r="C1146" t="s">
        <v>678</v>
      </c>
      <c r="D1146" t="s">
        <v>1629</v>
      </c>
      <c r="E1146" t="s">
        <v>1740</v>
      </c>
      <c r="F1146">
        <v>3</v>
      </c>
      <c r="G1146">
        <v>803.31</v>
      </c>
      <c r="H1146">
        <v>0.1</v>
      </c>
      <c r="I1146" t="s">
        <v>1809</v>
      </c>
      <c r="J1146">
        <v>2168.9369999999999</v>
      </c>
    </row>
    <row r="1147" spans="1:10" x14ac:dyDescent="0.3">
      <c r="A1147" t="s">
        <v>2954</v>
      </c>
      <c r="B1147" s="1">
        <v>45821</v>
      </c>
      <c r="C1147" t="s">
        <v>1324</v>
      </c>
      <c r="D1147" t="s">
        <v>1563</v>
      </c>
      <c r="E1147" t="s">
        <v>1780</v>
      </c>
      <c r="F1147">
        <v>4</v>
      </c>
      <c r="G1147">
        <v>254.71</v>
      </c>
      <c r="H1147">
        <v>0.2</v>
      </c>
      <c r="I1147" t="s">
        <v>1812</v>
      </c>
      <c r="J1147">
        <v>815.07200000000012</v>
      </c>
    </row>
    <row r="1148" spans="1:10" x14ac:dyDescent="0.3">
      <c r="A1148" t="s">
        <v>2955</v>
      </c>
      <c r="B1148" s="1">
        <v>45508</v>
      </c>
      <c r="C1148" t="s">
        <v>192</v>
      </c>
      <c r="D1148" t="s">
        <v>1631</v>
      </c>
      <c r="E1148" t="s">
        <v>1752</v>
      </c>
      <c r="F1148">
        <v>4</v>
      </c>
      <c r="G1148">
        <v>594.89</v>
      </c>
      <c r="H1148">
        <v>0.3</v>
      </c>
      <c r="I1148" t="s">
        <v>1809</v>
      </c>
      <c r="J1148">
        <v>1665.692</v>
      </c>
    </row>
    <row r="1149" spans="1:10" x14ac:dyDescent="0.3">
      <c r="A1149" t="s">
        <v>2956</v>
      </c>
      <c r="B1149" s="1">
        <v>45854</v>
      </c>
      <c r="C1149" t="s">
        <v>705</v>
      </c>
      <c r="D1149" t="s">
        <v>1713</v>
      </c>
      <c r="E1149" t="s">
        <v>1735</v>
      </c>
      <c r="F1149">
        <v>2</v>
      </c>
      <c r="G1149">
        <v>844.31</v>
      </c>
      <c r="H1149">
        <v>7.0000000000000007E-2</v>
      </c>
      <c r="I1149" t="s">
        <v>1809</v>
      </c>
      <c r="J1149">
        <v>1570.4166</v>
      </c>
    </row>
    <row r="1150" spans="1:10" x14ac:dyDescent="0.3">
      <c r="A1150" t="s">
        <v>2957</v>
      </c>
      <c r="B1150" s="1">
        <v>45569</v>
      </c>
      <c r="C1150" t="s">
        <v>453</v>
      </c>
      <c r="D1150" t="s">
        <v>1561</v>
      </c>
      <c r="E1150" t="s">
        <v>1759</v>
      </c>
      <c r="F1150">
        <v>4</v>
      </c>
      <c r="G1150">
        <v>101.33</v>
      </c>
      <c r="H1150">
        <v>0</v>
      </c>
      <c r="I1150" t="s">
        <v>1807</v>
      </c>
      <c r="J1150">
        <v>405.32</v>
      </c>
    </row>
    <row r="1151" spans="1:10" x14ac:dyDescent="0.3">
      <c r="A1151" t="s">
        <v>2958</v>
      </c>
      <c r="B1151" s="1">
        <v>45824</v>
      </c>
      <c r="C1151" t="s">
        <v>444</v>
      </c>
      <c r="D1151" t="s">
        <v>1583</v>
      </c>
      <c r="E1151" t="s">
        <v>1765</v>
      </c>
      <c r="F1151">
        <v>3</v>
      </c>
      <c r="G1151">
        <v>922.56</v>
      </c>
      <c r="H1151">
        <v>0.18</v>
      </c>
      <c r="I1151" t="s">
        <v>1809</v>
      </c>
      <c r="J1151">
        <v>2269.4976000000001</v>
      </c>
    </row>
    <row r="1152" spans="1:10" x14ac:dyDescent="0.3">
      <c r="A1152" t="s">
        <v>2959</v>
      </c>
      <c r="B1152" s="1">
        <v>45352</v>
      </c>
      <c r="C1152" t="s">
        <v>1324</v>
      </c>
      <c r="D1152" t="s">
        <v>1607</v>
      </c>
      <c r="E1152" t="s">
        <v>1782</v>
      </c>
      <c r="F1152">
        <v>4</v>
      </c>
      <c r="G1152">
        <v>867.19</v>
      </c>
      <c r="H1152">
        <v>7.0000000000000007E-2</v>
      </c>
      <c r="I1152" t="s">
        <v>1812</v>
      </c>
      <c r="J1152">
        <v>3225.9468000000002</v>
      </c>
    </row>
    <row r="1153" spans="1:10" x14ac:dyDescent="0.3">
      <c r="A1153" t="s">
        <v>2960</v>
      </c>
      <c r="B1153" s="1">
        <v>45454</v>
      </c>
      <c r="C1153" t="s">
        <v>36</v>
      </c>
      <c r="D1153" t="s">
        <v>1697</v>
      </c>
      <c r="E1153" t="s">
        <v>1790</v>
      </c>
      <c r="F1153">
        <v>3</v>
      </c>
      <c r="G1153">
        <v>816.87</v>
      </c>
      <c r="H1153">
        <v>0.14000000000000001</v>
      </c>
      <c r="I1153" t="s">
        <v>1809</v>
      </c>
      <c r="J1153">
        <v>2107.5246000000002</v>
      </c>
    </row>
    <row r="1154" spans="1:10" x14ac:dyDescent="0.3">
      <c r="A1154" t="s">
        <v>2961</v>
      </c>
      <c r="B1154" s="1">
        <v>45924</v>
      </c>
      <c r="C1154" t="s">
        <v>1461</v>
      </c>
      <c r="D1154" t="s">
        <v>1661</v>
      </c>
      <c r="E1154" t="s">
        <v>1749</v>
      </c>
      <c r="F1154">
        <v>3</v>
      </c>
      <c r="G1154">
        <v>258.06</v>
      </c>
      <c r="H1154">
        <v>0</v>
      </c>
      <c r="I1154" t="s">
        <v>1809</v>
      </c>
      <c r="J1154">
        <v>774.18000000000006</v>
      </c>
    </row>
    <row r="1155" spans="1:10" x14ac:dyDescent="0.3">
      <c r="A1155" t="s">
        <v>2962</v>
      </c>
      <c r="B1155" s="1">
        <v>45694</v>
      </c>
      <c r="C1155" t="s">
        <v>974</v>
      </c>
      <c r="D1155" t="s">
        <v>1607</v>
      </c>
      <c r="E1155" t="s">
        <v>1782</v>
      </c>
      <c r="F1155">
        <v>2</v>
      </c>
      <c r="G1155">
        <v>574.58000000000004</v>
      </c>
      <c r="H1155">
        <v>0.06</v>
      </c>
      <c r="I1155" t="s">
        <v>1807</v>
      </c>
      <c r="J1155">
        <v>1080.2103999999999</v>
      </c>
    </row>
    <row r="1156" spans="1:10" x14ac:dyDescent="0.3">
      <c r="A1156" t="s">
        <v>2963</v>
      </c>
      <c r="B1156" s="1">
        <v>45587</v>
      </c>
      <c r="C1156" t="s">
        <v>97</v>
      </c>
      <c r="D1156" t="s">
        <v>1697</v>
      </c>
      <c r="E1156" t="s">
        <v>1759</v>
      </c>
      <c r="F1156">
        <v>2</v>
      </c>
      <c r="G1156">
        <v>472.18</v>
      </c>
      <c r="H1156">
        <v>0.27</v>
      </c>
      <c r="I1156" t="s">
        <v>1809</v>
      </c>
      <c r="J1156">
        <v>689.38279999999997</v>
      </c>
    </row>
    <row r="1157" spans="1:10" x14ac:dyDescent="0.3">
      <c r="A1157" t="s">
        <v>2964</v>
      </c>
      <c r="B1157" s="1">
        <v>45556</v>
      </c>
      <c r="C1157" t="s">
        <v>1057</v>
      </c>
      <c r="D1157" t="s">
        <v>1613</v>
      </c>
      <c r="E1157" t="s">
        <v>1756</v>
      </c>
      <c r="F1157">
        <v>2</v>
      </c>
      <c r="G1157">
        <v>20.47</v>
      </c>
      <c r="H1157">
        <v>0.12</v>
      </c>
      <c r="I1157" t="s">
        <v>1812</v>
      </c>
      <c r="J1157">
        <v>36.027200000000001</v>
      </c>
    </row>
    <row r="1158" spans="1:10" x14ac:dyDescent="0.3">
      <c r="A1158" t="s">
        <v>2965</v>
      </c>
      <c r="B1158" s="1">
        <v>45923</v>
      </c>
      <c r="C1158" t="s">
        <v>100</v>
      </c>
      <c r="D1158" t="s">
        <v>1575</v>
      </c>
      <c r="E1158" t="s">
        <v>1762</v>
      </c>
      <c r="F1158">
        <v>3</v>
      </c>
      <c r="G1158">
        <v>235.41</v>
      </c>
      <c r="H1158">
        <v>0.15</v>
      </c>
      <c r="I1158" t="s">
        <v>1809</v>
      </c>
      <c r="J1158">
        <v>600.29549999999995</v>
      </c>
    </row>
    <row r="1159" spans="1:10" x14ac:dyDescent="0.3">
      <c r="A1159" t="s">
        <v>2966</v>
      </c>
      <c r="B1159" s="1">
        <v>45811</v>
      </c>
      <c r="C1159" t="s">
        <v>734</v>
      </c>
      <c r="D1159" t="s">
        <v>1687</v>
      </c>
      <c r="E1159" t="s">
        <v>1762</v>
      </c>
      <c r="F1159">
        <v>3</v>
      </c>
      <c r="G1159">
        <v>744.9</v>
      </c>
      <c r="H1159">
        <v>0.27</v>
      </c>
      <c r="I1159" t="s">
        <v>1809</v>
      </c>
      <c r="J1159">
        <v>1631.3309999999999</v>
      </c>
    </row>
    <row r="1160" spans="1:10" x14ac:dyDescent="0.3">
      <c r="A1160" t="s">
        <v>2967</v>
      </c>
      <c r="B1160" s="1">
        <v>45559</v>
      </c>
      <c r="C1160" t="s">
        <v>178</v>
      </c>
      <c r="D1160" t="s">
        <v>1567</v>
      </c>
      <c r="E1160" t="s">
        <v>1749</v>
      </c>
      <c r="F1160">
        <v>2</v>
      </c>
      <c r="G1160">
        <v>382.2</v>
      </c>
      <c r="H1160">
        <v>0.15</v>
      </c>
      <c r="I1160" t="s">
        <v>1807</v>
      </c>
      <c r="J1160">
        <v>649.74</v>
      </c>
    </row>
    <row r="1161" spans="1:10" x14ac:dyDescent="0.3">
      <c r="A1161" t="s">
        <v>2968</v>
      </c>
      <c r="B1161" s="1">
        <v>45881</v>
      </c>
      <c r="C1161" t="s">
        <v>1075</v>
      </c>
      <c r="D1161" t="s">
        <v>1711</v>
      </c>
      <c r="E1161" t="s">
        <v>1787</v>
      </c>
      <c r="F1161">
        <v>1</v>
      </c>
      <c r="G1161">
        <v>269.25</v>
      </c>
      <c r="H1161">
        <v>0.14000000000000001</v>
      </c>
      <c r="I1161" t="s">
        <v>1809</v>
      </c>
      <c r="J1161">
        <v>231.55500000000001</v>
      </c>
    </row>
    <row r="1162" spans="1:10" x14ac:dyDescent="0.3">
      <c r="A1162" t="s">
        <v>2969</v>
      </c>
      <c r="B1162" s="1">
        <v>45367</v>
      </c>
      <c r="C1162" t="s">
        <v>1129</v>
      </c>
      <c r="D1162" t="s">
        <v>1591</v>
      </c>
      <c r="E1162" t="s">
        <v>1775</v>
      </c>
      <c r="F1162">
        <v>2</v>
      </c>
      <c r="G1162">
        <v>723.75</v>
      </c>
      <c r="H1162">
        <v>0.03</v>
      </c>
      <c r="I1162" t="s">
        <v>1809</v>
      </c>
      <c r="J1162">
        <v>1404.075</v>
      </c>
    </row>
    <row r="1163" spans="1:10" x14ac:dyDescent="0.3">
      <c r="A1163" t="s">
        <v>2970</v>
      </c>
      <c r="B1163" s="1">
        <v>45832</v>
      </c>
      <c r="C1163" t="s">
        <v>885</v>
      </c>
      <c r="D1163" t="s">
        <v>1569</v>
      </c>
      <c r="E1163" t="s">
        <v>1796</v>
      </c>
      <c r="F1163">
        <v>4</v>
      </c>
      <c r="G1163">
        <v>58.92</v>
      </c>
      <c r="H1163">
        <v>0.18</v>
      </c>
      <c r="I1163" t="s">
        <v>1807</v>
      </c>
      <c r="J1163">
        <v>193.2576</v>
      </c>
    </row>
    <row r="1164" spans="1:10" x14ac:dyDescent="0.3">
      <c r="A1164" t="s">
        <v>2971</v>
      </c>
      <c r="B1164" s="1">
        <v>45438</v>
      </c>
      <c r="C1164" t="s">
        <v>613</v>
      </c>
      <c r="D1164" t="s">
        <v>1673</v>
      </c>
      <c r="E1164" t="s">
        <v>1772</v>
      </c>
      <c r="F1164">
        <v>2</v>
      </c>
      <c r="G1164">
        <v>913.08</v>
      </c>
      <c r="H1164">
        <v>0.26</v>
      </c>
      <c r="I1164" t="s">
        <v>1807</v>
      </c>
      <c r="J1164">
        <v>1351.3584000000001</v>
      </c>
    </row>
    <row r="1165" spans="1:10" x14ac:dyDescent="0.3">
      <c r="A1165" t="s">
        <v>2972</v>
      </c>
      <c r="B1165" s="1">
        <v>45691</v>
      </c>
      <c r="C1165" t="s">
        <v>770</v>
      </c>
      <c r="D1165" t="s">
        <v>1693</v>
      </c>
      <c r="E1165" t="s">
        <v>1740</v>
      </c>
      <c r="F1165">
        <v>1</v>
      </c>
      <c r="G1165">
        <v>791.83</v>
      </c>
      <c r="H1165">
        <v>0.28000000000000003</v>
      </c>
      <c r="I1165" t="s">
        <v>1809</v>
      </c>
      <c r="J1165">
        <v>570.11760000000004</v>
      </c>
    </row>
    <row r="1166" spans="1:10" x14ac:dyDescent="0.3">
      <c r="A1166" t="s">
        <v>2973</v>
      </c>
      <c r="B1166" s="1">
        <v>45506</v>
      </c>
      <c r="C1166" t="s">
        <v>1436</v>
      </c>
      <c r="D1166" t="s">
        <v>1534</v>
      </c>
      <c r="E1166" t="s">
        <v>1784</v>
      </c>
      <c r="F1166">
        <v>1</v>
      </c>
      <c r="G1166">
        <v>74.290000000000006</v>
      </c>
      <c r="H1166">
        <v>0.3</v>
      </c>
      <c r="I1166" t="s">
        <v>1812</v>
      </c>
      <c r="J1166">
        <v>52.003</v>
      </c>
    </row>
    <row r="1167" spans="1:10" x14ac:dyDescent="0.3">
      <c r="A1167" t="s">
        <v>2974</v>
      </c>
      <c r="B1167" s="1">
        <v>45251</v>
      </c>
      <c r="C1167" t="s">
        <v>773</v>
      </c>
      <c r="D1167" t="s">
        <v>1601</v>
      </c>
      <c r="E1167" t="s">
        <v>1735</v>
      </c>
      <c r="F1167">
        <v>2</v>
      </c>
      <c r="G1167">
        <v>961.68</v>
      </c>
      <c r="H1167">
        <v>0.27</v>
      </c>
      <c r="I1167" t="s">
        <v>1809</v>
      </c>
      <c r="J1167">
        <v>1404.0527999999999</v>
      </c>
    </row>
    <row r="1168" spans="1:10" x14ac:dyDescent="0.3">
      <c r="A1168" t="s">
        <v>2975</v>
      </c>
      <c r="B1168" s="1">
        <v>45722</v>
      </c>
      <c r="C1168" t="s">
        <v>1501</v>
      </c>
      <c r="D1168" t="s">
        <v>1569</v>
      </c>
      <c r="E1168" t="s">
        <v>1782</v>
      </c>
      <c r="F1168">
        <v>1</v>
      </c>
      <c r="G1168">
        <v>90.72</v>
      </c>
      <c r="H1168">
        <v>0.1</v>
      </c>
      <c r="I1168" t="s">
        <v>1809</v>
      </c>
      <c r="J1168">
        <v>81.647999999999996</v>
      </c>
    </row>
    <row r="1169" spans="1:10" x14ac:dyDescent="0.3">
      <c r="A1169" t="s">
        <v>2976</v>
      </c>
      <c r="B1169" s="1">
        <v>45689</v>
      </c>
      <c r="C1169" t="s">
        <v>221</v>
      </c>
      <c r="D1169" t="s">
        <v>1647</v>
      </c>
      <c r="E1169" t="s">
        <v>1762</v>
      </c>
      <c r="F1169">
        <v>1</v>
      </c>
      <c r="G1169">
        <v>458.69</v>
      </c>
      <c r="H1169">
        <v>0.16</v>
      </c>
      <c r="I1169" t="s">
        <v>1809</v>
      </c>
      <c r="J1169">
        <v>385.2996</v>
      </c>
    </row>
    <row r="1170" spans="1:10" x14ac:dyDescent="0.3">
      <c r="A1170" t="s">
        <v>2977</v>
      </c>
      <c r="B1170" s="1">
        <v>45346</v>
      </c>
      <c r="C1170" t="s">
        <v>737</v>
      </c>
      <c r="D1170" t="s">
        <v>1599</v>
      </c>
      <c r="E1170" t="s">
        <v>1762</v>
      </c>
      <c r="F1170">
        <v>1</v>
      </c>
      <c r="G1170">
        <v>168.29</v>
      </c>
      <c r="H1170">
        <v>0.05</v>
      </c>
      <c r="I1170" t="s">
        <v>1809</v>
      </c>
      <c r="J1170">
        <v>159.87549999999999</v>
      </c>
    </row>
    <row r="1171" spans="1:10" x14ac:dyDescent="0.3">
      <c r="A1171" t="s">
        <v>2978</v>
      </c>
      <c r="B1171" s="1">
        <v>45549</v>
      </c>
      <c r="C1171" t="s">
        <v>681</v>
      </c>
      <c r="D1171" t="s">
        <v>1565</v>
      </c>
      <c r="E1171" t="s">
        <v>1790</v>
      </c>
      <c r="F1171">
        <v>1</v>
      </c>
      <c r="G1171">
        <v>391.77</v>
      </c>
      <c r="H1171">
        <v>0.1</v>
      </c>
      <c r="I1171" t="s">
        <v>1809</v>
      </c>
      <c r="J1171">
        <v>352.59300000000002</v>
      </c>
    </row>
    <row r="1172" spans="1:10" x14ac:dyDescent="0.3">
      <c r="A1172" t="s">
        <v>2979</v>
      </c>
      <c r="B1172" s="1">
        <v>45900</v>
      </c>
      <c r="C1172" t="s">
        <v>1066</v>
      </c>
      <c r="D1172" t="s">
        <v>1555</v>
      </c>
      <c r="E1172" t="s">
        <v>1782</v>
      </c>
      <c r="F1172">
        <v>1</v>
      </c>
      <c r="G1172">
        <v>424.83</v>
      </c>
      <c r="H1172">
        <v>0.05</v>
      </c>
      <c r="I1172" t="s">
        <v>1812</v>
      </c>
      <c r="J1172">
        <v>403.58850000000001</v>
      </c>
    </row>
    <row r="1173" spans="1:10" x14ac:dyDescent="0.3">
      <c r="A1173" t="s">
        <v>2980</v>
      </c>
      <c r="B1173" s="1">
        <v>45308</v>
      </c>
      <c r="C1173" t="s">
        <v>199</v>
      </c>
      <c r="D1173" t="s">
        <v>1553</v>
      </c>
      <c r="E1173" t="s">
        <v>1749</v>
      </c>
      <c r="F1173">
        <v>1</v>
      </c>
      <c r="G1173">
        <v>499.46</v>
      </c>
      <c r="H1173">
        <v>0.1</v>
      </c>
      <c r="I1173" t="s">
        <v>1807</v>
      </c>
      <c r="J1173">
        <v>449.51400000000001</v>
      </c>
    </row>
    <row r="1174" spans="1:10" x14ac:dyDescent="0.3">
      <c r="A1174" t="s">
        <v>2981</v>
      </c>
      <c r="B1174" s="1">
        <v>45336</v>
      </c>
      <c r="C1174" t="s">
        <v>85</v>
      </c>
      <c r="D1174" t="s">
        <v>1729</v>
      </c>
      <c r="E1174" t="s">
        <v>1740</v>
      </c>
      <c r="F1174">
        <v>2</v>
      </c>
      <c r="G1174">
        <v>698.34</v>
      </c>
      <c r="H1174">
        <v>0.15</v>
      </c>
      <c r="I1174" t="s">
        <v>1809</v>
      </c>
      <c r="J1174">
        <v>1187.1780000000001</v>
      </c>
    </row>
    <row r="1175" spans="1:10" x14ac:dyDescent="0.3">
      <c r="A1175" t="s">
        <v>2982</v>
      </c>
      <c r="B1175" s="1">
        <v>45213</v>
      </c>
      <c r="C1175" t="s">
        <v>891</v>
      </c>
      <c r="D1175" t="s">
        <v>1643</v>
      </c>
      <c r="E1175" t="s">
        <v>1787</v>
      </c>
      <c r="F1175">
        <v>2</v>
      </c>
      <c r="G1175">
        <v>805.08</v>
      </c>
      <c r="H1175">
        <v>0.27</v>
      </c>
      <c r="I1175" t="s">
        <v>1809</v>
      </c>
      <c r="J1175">
        <v>1175.4168</v>
      </c>
    </row>
    <row r="1176" spans="1:10" x14ac:dyDescent="0.3">
      <c r="A1176" t="s">
        <v>2983</v>
      </c>
      <c r="B1176" s="1">
        <v>45742</v>
      </c>
      <c r="C1176" t="s">
        <v>1421</v>
      </c>
      <c r="D1176" t="s">
        <v>1683</v>
      </c>
      <c r="E1176" t="s">
        <v>1744</v>
      </c>
      <c r="F1176">
        <v>4</v>
      </c>
      <c r="G1176">
        <v>934.79</v>
      </c>
      <c r="H1176">
        <v>0.08</v>
      </c>
      <c r="I1176" t="s">
        <v>1809</v>
      </c>
      <c r="J1176">
        <v>3440.0272</v>
      </c>
    </row>
    <row r="1177" spans="1:10" x14ac:dyDescent="0.3">
      <c r="A1177" t="s">
        <v>2984</v>
      </c>
      <c r="B1177" s="1">
        <v>45932</v>
      </c>
      <c r="C1177" t="s">
        <v>85</v>
      </c>
      <c r="D1177" t="s">
        <v>1651</v>
      </c>
      <c r="E1177" t="s">
        <v>1740</v>
      </c>
      <c r="F1177">
        <v>2</v>
      </c>
      <c r="G1177">
        <v>424.54</v>
      </c>
      <c r="H1177">
        <v>0.24</v>
      </c>
      <c r="I1177" t="s">
        <v>1809</v>
      </c>
      <c r="J1177">
        <v>645.30080000000009</v>
      </c>
    </row>
    <row r="1178" spans="1:10" x14ac:dyDescent="0.3">
      <c r="A1178" t="s">
        <v>2985</v>
      </c>
      <c r="B1178" s="1">
        <v>45462</v>
      </c>
      <c r="C1178" t="s">
        <v>1018</v>
      </c>
      <c r="D1178" t="s">
        <v>1699</v>
      </c>
      <c r="E1178" t="s">
        <v>1790</v>
      </c>
      <c r="F1178">
        <v>1</v>
      </c>
      <c r="G1178">
        <v>235.44</v>
      </c>
      <c r="H1178">
        <v>0.19</v>
      </c>
      <c r="I1178" t="s">
        <v>1812</v>
      </c>
      <c r="J1178">
        <v>190.7064</v>
      </c>
    </row>
    <row r="1179" spans="1:10" x14ac:dyDescent="0.3">
      <c r="A1179" t="s">
        <v>2986</v>
      </c>
      <c r="B1179" s="1">
        <v>45568</v>
      </c>
      <c r="C1179" t="s">
        <v>856</v>
      </c>
      <c r="D1179" t="s">
        <v>1629</v>
      </c>
      <c r="E1179" t="s">
        <v>1780</v>
      </c>
      <c r="F1179">
        <v>2</v>
      </c>
      <c r="G1179">
        <v>620.71</v>
      </c>
      <c r="H1179">
        <v>0.27</v>
      </c>
      <c r="I1179" t="s">
        <v>1807</v>
      </c>
      <c r="J1179">
        <v>906.23660000000007</v>
      </c>
    </row>
    <row r="1180" spans="1:10" x14ac:dyDescent="0.3">
      <c r="A1180" t="s">
        <v>2987</v>
      </c>
      <c r="B1180" s="1">
        <v>45397</v>
      </c>
      <c r="C1180" t="s">
        <v>397</v>
      </c>
      <c r="D1180" t="s">
        <v>1563</v>
      </c>
      <c r="E1180" t="s">
        <v>1775</v>
      </c>
      <c r="F1180">
        <v>2</v>
      </c>
      <c r="G1180">
        <v>851.77</v>
      </c>
      <c r="H1180">
        <v>0.13</v>
      </c>
      <c r="I1180" t="s">
        <v>1809</v>
      </c>
      <c r="J1180">
        <v>1482.0798</v>
      </c>
    </row>
    <row r="1181" spans="1:10" x14ac:dyDescent="0.3">
      <c r="A1181" t="s">
        <v>2988</v>
      </c>
      <c r="B1181" s="1">
        <v>45569</v>
      </c>
      <c r="C1181" t="s">
        <v>554</v>
      </c>
      <c r="D1181" t="s">
        <v>1621</v>
      </c>
      <c r="E1181" t="s">
        <v>1740</v>
      </c>
      <c r="F1181">
        <v>3</v>
      </c>
      <c r="G1181">
        <v>876.01</v>
      </c>
      <c r="H1181">
        <v>0.2</v>
      </c>
      <c r="I1181" t="s">
        <v>1807</v>
      </c>
      <c r="J1181">
        <v>2102.424</v>
      </c>
    </row>
    <row r="1182" spans="1:10" x14ac:dyDescent="0.3">
      <c r="A1182" t="s">
        <v>2989</v>
      </c>
      <c r="B1182" s="1">
        <v>45353</v>
      </c>
      <c r="C1182" t="s">
        <v>870</v>
      </c>
      <c r="D1182" t="s">
        <v>1585</v>
      </c>
      <c r="E1182" t="s">
        <v>1769</v>
      </c>
      <c r="F1182">
        <v>2</v>
      </c>
      <c r="G1182">
        <v>717.21</v>
      </c>
      <c r="H1182">
        <v>0.15</v>
      </c>
      <c r="I1182" t="s">
        <v>1812</v>
      </c>
      <c r="J1182">
        <v>1219.2570000000001</v>
      </c>
    </row>
    <row r="1183" spans="1:10" x14ac:dyDescent="0.3">
      <c r="A1183" t="s">
        <v>2990</v>
      </c>
      <c r="B1183" s="1">
        <v>45343</v>
      </c>
      <c r="C1183" t="s">
        <v>208</v>
      </c>
      <c r="D1183" t="s">
        <v>1613</v>
      </c>
      <c r="E1183" t="s">
        <v>1765</v>
      </c>
      <c r="F1183">
        <v>2</v>
      </c>
      <c r="G1183">
        <v>871.43</v>
      </c>
      <c r="H1183">
        <v>0.05</v>
      </c>
      <c r="I1183" t="s">
        <v>1807</v>
      </c>
      <c r="J1183">
        <v>1655.7170000000001</v>
      </c>
    </row>
    <row r="1184" spans="1:10" x14ac:dyDescent="0.3">
      <c r="A1184" t="s">
        <v>2991</v>
      </c>
      <c r="B1184" s="1">
        <v>45321</v>
      </c>
      <c r="C1184" t="s">
        <v>1384</v>
      </c>
      <c r="D1184" t="s">
        <v>1603</v>
      </c>
      <c r="E1184" t="s">
        <v>1762</v>
      </c>
      <c r="F1184">
        <v>1</v>
      </c>
      <c r="G1184">
        <v>514.65</v>
      </c>
      <c r="H1184">
        <v>0.18</v>
      </c>
      <c r="I1184" t="s">
        <v>1807</v>
      </c>
      <c r="J1184">
        <v>422.01299999999998</v>
      </c>
    </row>
    <row r="1185" spans="1:10" x14ac:dyDescent="0.3">
      <c r="A1185" t="s">
        <v>2992</v>
      </c>
      <c r="B1185" s="1">
        <v>45650</v>
      </c>
      <c r="C1185" t="s">
        <v>1401</v>
      </c>
      <c r="D1185" t="s">
        <v>1655</v>
      </c>
      <c r="E1185" t="s">
        <v>1787</v>
      </c>
      <c r="F1185">
        <v>3</v>
      </c>
      <c r="G1185">
        <v>198.76</v>
      </c>
      <c r="H1185">
        <v>0.28000000000000003</v>
      </c>
      <c r="I1185" t="s">
        <v>1812</v>
      </c>
      <c r="J1185">
        <v>429.32159999999999</v>
      </c>
    </row>
    <row r="1186" spans="1:10" x14ac:dyDescent="0.3">
      <c r="A1186" t="s">
        <v>2993</v>
      </c>
      <c r="B1186" s="1">
        <v>45811</v>
      </c>
      <c r="C1186" t="s">
        <v>721</v>
      </c>
      <c r="D1186" t="s">
        <v>1657</v>
      </c>
      <c r="E1186" t="s">
        <v>1749</v>
      </c>
      <c r="F1186">
        <v>2</v>
      </c>
      <c r="G1186">
        <v>975.72</v>
      </c>
      <c r="H1186">
        <v>0.16</v>
      </c>
      <c r="I1186" t="s">
        <v>1812</v>
      </c>
      <c r="J1186">
        <v>1639.2095999999999</v>
      </c>
    </row>
    <row r="1187" spans="1:10" x14ac:dyDescent="0.3">
      <c r="A1187" t="s">
        <v>2994</v>
      </c>
      <c r="B1187" s="1">
        <v>45505</v>
      </c>
      <c r="C1187" t="s">
        <v>1290</v>
      </c>
      <c r="D1187" t="s">
        <v>1561</v>
      </c>
      <c r="E1187" t="s">
        <v>1740</v>
      </c>
      <c r="F1187">
        <v>1</v>
      </c>
      <c r="G1187">
        <v>86.03</v>
      </c>
      <c r="H1187">
        <v>0.01</v>
      </c>
      <c r="I1187" t="s">
        <v>1807</v>
      </c>
      <c r="J1187">
        <v>85.169700000000006</v>
      </c>
    </row>
    <row r="1188" spans="1:10" x14ac:dyDescent="0.3">
      <c r="A1188" t="s">
        <v>2995</v>
      </c>
      <c r="B1188" s="1">
        <v>45897</v>
      </c>
      <c r="C1188" t="s">
        <v>310</v>
      </c>
      <c r="D1188" t="s">
        <v>1639</v>
      </c>
      <c r="E1188" t="s">
        <v>1777</v>
      </c>
      <c r="F1188">
        <v>4</v>
      </c>
      <c r="G1188">
        <v>705.12</v>
      </c>
      <c r="H1188">
        <v>0.15</v>
      </c>
      <c r="I1188" t="s">
        <v>1809</v>
      </c>
      <c r="J1188">
        <v>2397.4079999999999</v>
      </c>
    </row>
    <row r="1189" spans="1:10" x14ac:dyDescent="0.3">
      <c r="A1189" t="s">
        <v>2996</v>
      </c>
      <c r="B1189" s="1">
        <v>45602</v>
      </c>
      <c r="C1189" t="s">
        <v>1147</v>
      </c>
      <c r="D1189" t="s">
        <v>1567</v>
      </c>
      <c r="E1189" t="s">
        <v>1777</v>
      </c>
      <c r="F1189">
        <v>3</v>
      </c>
      <c r="G1189">
        <v>99.77</v>
      </c>
      <c r="H1189">
        <v>0.01</v>
      </c>
      <c r="I1189" t="s">
        <v>1809</v>
      </c>
      <c r="J1189">
        <v>296.31689999999998</v>
      </c>
    </row>
    <row r="1190" spans="1:10" x14ac:dyDescent="0.3">
      <c r="A1190" t="s">
        <v>2997</v>
      </c>
      <c r="B1190" s="1">
        <v>45530</v>
      </c>
      <c r="C1190" t="s">
        <v>675</v>
      </c>
      <c r="D1190" t="s">
        <v>1599</v>
      </c>
      <c r="E1190" t="s">
        <v>1769</v>
      </c>
      <c r="F1190">
        <v>2</v>
      </c>
      <c r="G1190">
        <v>166.26</v>
      </c>
      <c r="H1190">
        <v>0.14000000000000001</v>
      </c>
      <c r="I1190" t="s">
        <v>1809</v>
      </c>
      <c r="J1190">
        <v>285.96719999999999</v>
      </c>
    </row>
    <row r="1191" spans="1:10" x14ac:dyDescent="0.3">
      <c r="A1191" t="s">
        <v>2998</v>
      </c>
      <c r="B1191" s="1">
        <v>45729</v>
      </c>
      <c r="C1191" t="s">
        <v>1401</v>
      </c>
      <c r="D1191" t="s">
        <v>1583</v>
      </c>
      <c r="E1191" t="s">
        <v>1756</v>
      </c>
      <c r="F1191">
        <v>1</v>
      </c>
      <c r="G1191">
        <v>429.25</v>
      </c>
      <c r="H1191">
        <v>0.28999999999999998</v>
      </c>
      <c r="I1191" t="s">
        <v>1807</v>
      </c>
      <c r="J1191">
        <v>304.76749999999998</v>
      </c>
    </row>
    <row r="1192" spans="1:10" x14ac:dyDescent="0.3">
      <c r="A1192" t="s">
        <v>2999</v>
      </c>
      <c r="B1192" s="1">
        <v>45468</v>
      </c>
      <c r="C1192" t="s">
        <v>1355</v>
      </c>
      <c r="D1192" t="s">
        <v>1526</v>
      </c>
      <c r="E1192" t="s">
        <v>1769</v>
      </c>
      <c r="F1192">
        <v>2</v>
      </c>
      <c r="G1192">
        <v>540.48</v>
      </c>
      <c r="H1192">
        <v>0.28999999999999998</v>
      </c>
      <c r="I1192" t="s">
        <v>1807</v>
      </c>
      <c r="J1192">
        <v>767.48159999999996</v>
      </c>
    </row>
    <row r="1193" spans="1:10" x14ac:dyDescent="0.3">
      <c r="A1193" t="s">
        <v>3000</v>
      </c>
      <c r="B1193" s="1">
        <v>45936</v>
      </c>
      <c r="C1193" t="s">
        <v>850</v>
      </c>
      <c r="D1193" t="s">
        <v>1649</v>
      </c>
      <c r="E1193" t="s">
        <v>1782</v>
      </c>
      <c r="F1193">
        <v>2</v>
      </c>
      <c r="G1193">
        <v>579.52</v>
      </c>
      <c r="H1193">
        <v>0.01</v>
      </c>
      <c r="I1193" t="s">
        <v>1809</v>
      </c>
      <c r="J1193">
        <v>1147.4495999999999</v>
      </c>
    </row>
    <row r="1194" spans="1:10" x14ac:dyDescent="0.3">
      <c r="A1194" t="s">
        <v>3001</v>
      </c>
      <c r="B1194" s="1">
        <v>45622</v>
      </c>
      <c r="C1194" t="s">
        <v>110</v>
      </c>
      <c r="D1194" t="s">
        <v>1669</v>
      </c>
      <c r="E1194" t="s">
        <v>1790</v>
      </c>
      <c r="F1194">
        <v>4</v>
      </c>
      <c r="G1194">
        <v>477.52</v>
      </c>
      <c r="H1194">
        <v>7.0000000000000007E-2</v>
      </c>
      <c r="I1194" t="s">
        <v>1809</v>
      </c>
      <c r="J1194">
        <v>1776.3743999999999</v>
      </c>
    </row>
    <row r="1195" spans="1:10" x14ac:dyDescent="0.3">
      <c r="A1195" t="s">
        <v>3002</v>
      </c>
      <c r="B1195" s="1">
        <v>45705</v>
      </c>
      <c r="C1195" t="s">
        <v>820</v>
      </c>
      <c r="D1195" t="s">
        <v>1713</v>
      </c>
      <c r="E1195" t="s">
        <v>1759</v>
      </c>
      <c r="F1195">
        <v>3</v>
      </c>
      <c r="G1195">
        <v>242.58</v>
      </c>
      <c r="H1195">
        <v>0.25</v>
      </c>
      <c r="I1195" t="s">
        <v>1807</v>
      </c>
      <c r="J1195">
        <v>545.80500000000006</v>
      </c>
    </row>
    <row r="1196" spans="1:10" x14ac:dyDescent="0.3">
      <c r="A1196" t="s">
        <v>3003</v>
      </c>
      <c r="B1196" s="1">
        <v>45250</v>
      </c>
      <c r="C1196" t="s">
        <v>1135</v>
      </c>
      <c r="D1196" t="s">
        <v>1583</v>
      </c>
      <c r="E1196" t="s">
        <v>1790</v>
      </c>
      <c r="F1196">
        <v>2</v>
      </c>
      <c r="G1196">
        <v>519.29999999999995</v>
      </c>
      <c r="H1196">
        <v>0.09</v>
      </c>
      <c r="I1196" t="s">
        <v>1809</v>
      </c>
      <c r="J1196">
        <v>945.12599999999998</v>
      </c>
    </row>
    <row r="1197" spans="1:10" x14ac:dyDescent="0.3">
      <c r="A1197" t="s">
        <v>3004</v>
      </c>
      <c r="B1197" s="1">
        <v>45684</v>
      </c>
      <c r="C1197" t="s">
        <v>1493</v>
      </c>
      <c r="D1197" t="s">
        <v>1719</v>
      </c>
      <c r="E1197" t="s">
        <v>1775</v>
      </c>
      <c r="F1197">
        <v>3</v>
      </c>
      <c r="G1197">
        <v>845.67</v>
      </c>
      <c r="H1197">
        <v>0.12</v>
      </c>
      <c r="I1197" t="s">
        <v>1812</v>
      </c>
      <c r="J1197">
        <v>2232.5688</v>
      </c>
    </row>
    <row r="1198" spans="1:10" x14ac:dyDescent="0.3">
      <c r="A1198" t="s">
        <v>3005</v>
      </c>
      <c r="B1198" s="1">
        <v>45395</v>
      </c>
      <c r="C1198" t="s">
        <v>953</v>
      </c>
      <c r="D1198" t="s">
        <v>1641</v>
      </c>
      <c r="E1198" t="s">
        <v>1787</v>
      </c>
      <c r="F1198">
        <v>4</v>
      </c>
      <c r="G1198">
        <v>750.26</v>
      </c>
      <c r="H1198">
        <v>0.01</v>
      </c>
      <c r="I1198" t="s">
        <v>1809</v>
      </c>
      <c r="J1198">
        <v>2971.0295999999998</v>
      </c>
    </row>
    <row r="1199" spans="1:10" x14ac:dyDescent="0.3">
      <c r="A1199" t="s">
        <v>3006</v>
      </c>
      <c r="B1199" s="1">
        <v>45382</v>
      </c>
      <c r="C1199" t="s">
        <v>1033</v>
      </c>
      <c r="D1199" t="s">
        <v>1715</v>
      </c>
      <c r="E1199" t="s">
        <v>1777</v>
      </c>
      <c r="F1199">
        <v>4</v>
      </c>
      <c r="G1199">
        <v>294.38</v>
      </c>
      <c r="H1199">
        <v>0.2</v>
      </c>
      <c r="I1199" t="s">
        <v>1807</v>
      </c>
      <c r="J1199">
        <v>942.01600000000008</v>
      </c>
    </row>
    <row r="1200" spans="1:10" x14ac:dyDescent="0.3">
      <c r="A1200" t="s">
        <v>3007</v>
      </c>
      <c r="B1200" s="1">
        <v>45919</v>
      </c>
      <c r="C1200" t="s">
        <v>342</v>
      </c>
      <c r="D1200" t="s">
        <v>1723</v>
      </c>
      <c r="E1200" t="s">
        <v>1744</v>
      </c>
      <c r="F1200">
        <v>3</v>
      </c>
      <c r="G1200">
        <v>583.52</v>
      </c>
      <c r="H1200">
        <v>7.0000000000000007E-2</v>
      </c>
      <c r="I1200" t="s">
        <v>1809</v>
      </c>
      <c r="J1200">
        <v>1628.0208</v>
      </c>
    </row>
    <row r="1201" spans="1:10" x14ac:dyDescent="0.3">
      <c r="A1201" t="s">
        <v>3008</v>
      </c>
      <c r="B1201" s="1">
        <v>45453</v>
      </c>
      <c r="C1201" t="s">
        <v>1433</v>
      </c>
      <c r="D1201" t="s">
        <v>1709</v>
      </c>
      <c r="E1201" t="s">
        <v>1787</v>
      </c>
      <c r="F1201">
        <v>2</v>
      </c>
      <c r="G1201">
        <v>635.22</v>
      </c>
      <c r="H1201">
        <v>0.3</v>
      </c>
      <c r="I1201" t="s">
        <v>1812</v>
      </c>
      <c r="J1201">
        <v>889.30799999999999</v>
      </c>
    </row>
    <row r="1202" spans="1:10" x14ac:dyDescent="0.3">
      <c r="A1202" t="s">
        <v>3009</v>
      </c>
      <c r="B1202" s="1">
        <v>45313</v>
      </c>
      <c r="C1202" t="s">
        <v>1312</v>
      </c>
      <c r="D1202" t="s">
        <v>1663</v>
      </c>
      <c r="E1202" t="s">
        <v>1744</v>
      </c>
      <c r="F1202">
        <v>1</v>
      </c>
      <c r="G1202">
        <v>743.55</v>
      </c>
      <c r="H1202">
        <v>0.11</v>
      </c>
      <c r="I1202" t="s">
        <v>1812</v>
      </c>
      <c r="J1202">
        <v>661.7595</v>
      </c>
    </row>
    <row r="1203" spans="1:10" x14ac:dyDescent="0.3">
      <c r="A1203" t="s">
        <v>3010</v>
      </c>
      <c r="B1203" s="1">
        <v>45377</v>
      </c>
      <c r="C1203" t="s">
        <v>355</v>
      </c>
      <c r="D1203" t="s">
        <v>1619</v>
      </c>
      <c r="E1203" t="s">
        <v>1749</v>
      </c>
      <c r="F1203">
        <v>4</v>
      </c>
      <c r="G1203">
        <v>530.45000000000005</v>
      </c>
      <c r="H1203">
        <v>0.13</v>
      </c>
      <c r="I1203" t="s">
        <v>1807</v>
      </c>
      <c r="J1203">
        <v>1845.9659999999999</v>
      </c>
    </row>
    <row r="1204" spans="1:10" x14ac:dyDescent="0.3">
      <c r="A1204" t="s">
        <v>3011</v>
      </c>
      <c r="B1204" s="1">
        <v>45371</v>
      </c>
      <c r="C1204" t="s">
        <v>835</v>
      </c>
      <c r="D1204" t="s">
        <v>1663</v>
      </c>
      <c r="E1204" t="s">
        <v>1769</v>
      </c>
      <c r="F1204">
        <v>2</v>
      </c>
      <c r="G1204">
        <v>972.4</v>
      </c>
      <c r="H1204">
        <v>0.06</v>
      </c>
      <c r="I1204" t="s">
        <v>1812</v>
      </c>
      <c r="J1204">
        <v>1828.1120000000001</v>
      </c>
    </row>
    <row r="1205" spans="1:10" x14ac:dyDescent="0.3">
      <c r="A1205" t="s">
        <v>3012</v>
      </c>
      <c r="B1205" s="1">
        <v>45797</v>
      </c>
      <c r="C1205" t="s">
        <v>1168</v>
      </c>
      <c r="D1205" t="s">
        <v>1561</v>
      </c>
      <c r="E1205" t="s">
        <v>1793</v>
      </c>
      <c r="F1205">
        <v>3</v>
      </c>
      <c r="G1205">
        <v>197.93</v>
      </c>
      <c r="H1205">
        <v>0</v>
      </c>
      <c r="I1205" t="s">
        <v>1812</v>
      </c>
      <c r="J1205">
        <v>593.79</v>
      </c>
    </row>
    <row r="1206" spans="1:10" x14ac:dyDescent="0.3">
      <c r="A1206" t="s">
        <v>3013</v>
      </c>
      <c r="B1206" s="1">
        <v>45575</v>
      </c>
      <c r="C1206" t="s">
        <v>1063</v>
      </c>
      <c r="D1206" t="s">
        <v>1705</v>
      </c>
      <c r="E1206" t="s">
        <v>1775</v>
      </c>
      <c r="F1206">
        <v>4</v>
      </c>
      <c r="G1206">
        <v>565.51</v>
      </c>
      <c r="H1206">
        <v>0.16</v>
      </c>
      <c r="I1206" t="s">
        <v>1809</v>
      </c>
      <c r="J1206">
        <v>1900.1135999999999</v>
      </c>
    </row>
    <row r="1207" spans="1:10" x14ac:dyDescent="0.3">
      <c r="A1207" t="s">
        <v>3014</v>
      </c>
      <c r="B1207" s="1">
        <v>45566</v>
      </c>
      <c r="C1207" t="s">
        <v>1232</v>
      </c>
      <c r="D1207" t="s">
        <v>1609</v>
      </c>
      <c r="E1207" t="s">
        <v>1752</v>
      </c>
      <c r="F1207">
        <v>4</v>
      </c>
      <c r="G1207">
        <v>983.38</v>
      </c>
      <c r="H1207">
        <v>0.25</v>
      </c>
      <c r="I1207" t="s">
        <v>1812</v>
      </c>
      <c r="J1207">
        <v>2950.14</v>
      </c>
    </row>
    <row r="1208" spans="1:10" x14ac:dyDescent="0.3">
      <c r="A1208" t="s">
        <v>3015</v>
      </c>
      <c r="B1208" s="1">
        <v>45252</v>
      </c>
      <c r="C1208" t="s">
        <v>746</v>
      </c>
      <c r="D1208" t="s">
        <v>1729</v>
      </c>
      <c r="E1208" t="s">
        <v>1769</v>
      </c>
      <c r="F1208">
        <v>1</v>
      </c>
      <c r="G1208">
        <v>955.06</v>
      </c>
      <c r="H1208">
        <v>0.14000000000000001</v>
      </c>
      <c r="I1208" t="s">
        <v>1807</v>
      </c>
      <c r="J1208">
        <v>821.35159999999996</v>
      </c>
    </row>
    <row r="1209" spans="1:10" x14ac:dyDescent="0.3">
      <c r="A1209" t="s">
        <v>3016</v>
      </c>
      <c r="B1209" s="1">
        <v>45693</v>
      </c>
      <c r="C1209" t="s">
        <v>1092</v>
      </c>
      <c r="D1209" t="s">
        <v>1649</v>
      </c>
      <c r="E1209" t="s">
        <v>1784</v>
      </c>
      <c r="F1209">
        <v>3</v>
      </c>
      <c r="G1209">
        <v>597.46</v>
      </c>
      <c r="H1209">
        <v>0.02</v>
      </c>
      <c r="I1209" t="s">
        <v>1809</v>
      </c>
      <c r="J1209">
        <v>1756.5324000000001</v>
      </c>
    </row>
    <row r="1210" spans="1:10" x14ac:dyDescent="0.3">
      <c r="A1210" t="s">
        <v>3017</v>
      </c>
      <c r="B1210" s="1">
        <v>45446</v>
      </c>
      <c r="C1210" t="s">
        <v>989</v>
      </c>
      <c r="D1210" t="s">
        <v>1545</v>
      </c>
      <c r="E1210" t="s">
        <v>1787</v>
      </c>
      <c r="F1210">
        <v>3</v>
      </c>
      <c r="G1210">
        <v>581.09</v>
      </c>
      <c r="H1210">
        <v>0.1</v>
      </c>
      <c r="I1210" t="s">
        <v>1812</v>
      </c>
      <c r="J1210">
        <v>1568.943</v>
      </c>
    </row>
    <row r="1211" spans="1:10" x14ac:dyDescent="0.3">
      <c r="A1211" t="s">
        <v>3018</v>
      </c>
      <c r="B1211" s="1">
        <v>45862</v>
      </c>
      <c r="C1211" t="s">
        <v>202</v>
      </c>
      <c r="D1211" t="s">
        <v>1591</v>
      </c>
      <c r="E1211" t="s">
        <v>1752</v>
      </c>
      <c r="F1211">
        <v>4</v>
      </c>
      <c r="G1211">
        <v>153.94999999999999</v>
      </c>
      <c r="H1211">
        <v>0.11</v>
      </c>
      <c r="I1211" t="s">
        <v>1809</v>
      </c>
      <c r="J1211">
        <v>548.06200000000001</v>
      </c>
    </row>
    <row r="1212" spans="1:10" x14ac:dyDescent="0.3">
      <c r="A1212" t="s">
        <v>3019</v>
      </c>
      <c r="B1212" s="1">
        <v>45530</v>
      </c>
      <c r="C1212" t="s">
        <v>292</v>
      </c>
      <c r="D1212" t="s">
        <v>1603</v>
      </c>
      <c r="E1212" t="s">
        <v>1765</v>
      </c>
      <c r="F1212">
        <v>4</v>
      </c>
      <c r="G1212">
        <v>271.04000000000002</v>
      </c>
      <c r="H1212">
        <v>0.12</v>
      </c>
      <c r="I1212" t="s">
        <v>1812</v>
      </c>
      <c r="J1212">
        <v>954.06080000000009</v>
      </c>
    </row>
    <row r="1213" spans="1:10" x14ac:dyDescent="0.3">
      <c r="A1213" t="s">
        <v>3020</v>
      </c>
      <c r="B1213" s="1">
        <v>45558</v>
      </c>
      <c r="C1213" t="s">
        <v>71</v>
      </c>
      <c r="D1213" t="s">
        <v>1601</v>
      </c>
      <c r="E1213" t="s">
        <v>1759</v>
      </c>
      <c r="F1213">
        <v>4</v>
      </c>
      <c r="G1213">
        <v>328.27</v>
      </c>
      <c r="H1213">
        <v>0.09</v>
      </c>
      <c r="I1213" t="s">
        <v>1809</v>
      </c>
      <c r="J1213">
        <v>1194.9028000000001</v>
      </c>
    </row>
    <row r="1214" spans="1:10" x14ac:dyDescent="0.3">
      <c r="A1214" t="s">
        <v>3021</v>
      </c>
      <c r="B1214" s="1">
        <v>45472</v>
      </c>
      <c r="C1214" t="s">
        <v>1501</v>
      </c>
      <c r="D1214" t="s">
        <v>1565</v>
      </c>
      <c r="E1214" t="s">
        <v>1782</v>
      </c>
      <c r="F1214">
        <v>4</v>
      </c>
      <c r="G1214">
        <v>884.71</v>
      </c>
      <c r="H1214">
        <v>0.09</v>
      </c>
      <c r="I1214" t="s">
        <v>1809</v>
      </c>
      <c r="J1214">
        <v>3220.3444</v>
      </c>
    </row>
    <row r="1215" spans="1:10" x14ac:dyDescent="0.3">
      <c r="A1215" t="s">
        <v>3022</v>
      </c>
      <c r="B1215" s="1">
        <v>45809</v>
      </c>
      <c r="C1215" t="s">
        <v>791</v>
      </c>
      <c r="D1215" t="s">
        <v>1675</v>
      </c>
      <c r="E1215" t="s">
        <v>1752</v>
      </c>
      <c r="F1215">
        <v>1</v>
      </c>
      <c r="G1215">
        <v>41.39</v>
      </c>
      <c r="H1215">
        <v>0.01</v>
      </c>
      <c r="I1215" t="s">
        <v>1807</v>
      </c>
      <c r="J1215">
        <v>40.976100000000002</v>
      </c>
    </row>
    <row r="1216" spans="1:10" x14ac:dyDescent="0.3">
      <c r="A1216" t="s">
        <v>3023</v>
      </c>
      <c r="B1216" s="1">
        <v>45783</v>
      </c>
      <c r="C1216" t="s">
        <v>545</v>
      </c>
      <c r="D1216" t="s">
        <v>1645</v>
      </c>
      <c r="E1216" t="s">
        <v>1769</v>
      </c>
      <c r="F1216">
        <v>4</v>
      </c>
      <c r="G1216">
        <v>64.06</v>
      </c>
      <c r="H1216">
        <v>0.26</v>
      </c>
      <c r="I1216" t="s">
        <v>1807</v>
      </c>
      <c r="J1216">
        <v>189.61760000000001</v>
      </c>
    </row>
    <row r="1217" spans="1:10" x14ac:dyDescent="0.3">
      <c r="A1217" t="s">
        <v>3024</v>
      </c>
      <c r="B1217" s="1">
        <v>45849</v>
      </c>
      <c r="C1217" t="s">
        <v>1075</v>
      </c>
      <c r="D1217" t="s">
        <v>1623</v>
      </c>
      <c r="E1217" t="s">
        <v>1769</v>
      </c>
      <c r="F1217">
        <v>2</v>
      </c>
      <c r="G1217">
        <v>152.25</v>
      </c>
      <c r="H1217">
        <v>0.13</v>
      </c>
      <c r="I1217" t="s">
        <v>1807</v>
      </c>
      <c r="J1217">
        <v>264.91500000000002</v>
      </c>
    </row>
    <row r="1218" spans="1:10" x14ac:dyDescent="0.3">
      <c r="A1218" t="s">
        <v>3025</v>
      </c>
      <c r="B1218" s="1">
        <v>45281</v>
      </c>
      <c r="C1218" t="s">
        <v>351</v>
      </c>
      <c r="D1218" t="s">
        <v>1557</v>
      </c>
      <c r="E1218" t="s">
        <v>1796</v>
      </c>
      <c r="F1218">
        <v>2</v>
      </c>
      <c r="G1218">
        <v>889.04</v>
      </c>
      <c r="H1218">
        <v>0.23</v>
      </c>
      <c r="I1218" t="s">
        <v>1807</v>
      </c>
      <c r="J1218">
        <v>1369.1215999999999</v>
      </c>
    </row>
    <row r="1219" spans="1:10" x14ac:dyDescent="0.3">
      <c r="A1219" t="s">
        <v>3026</v>
      </c>
      <c r="B1219" s="1">
        <v>45322</v>
      </c>
      <c r="C1219" t="s">
        <v>533</v>
      </c>
      <c r="D1219" t="s">
        <v>1605</v>
      </c>
      <c r="E1219" t="s">
        <v>1772</v>
      </c>
      <c r="F1219">
        <v>3</v>
      </c>
      <c r="G1219">
        <v>145.25</v>
      </c>
      <c r="H1219">
        <v>0.24</v>
      </c>
      <c r="I1219" t="s">
        <v>1809</v>
      </c>
      <c r="J1219">
        <v>331.17</v>
      </c>
    </row>
    <row r="1220" spans="1:10" x14ac:dyDescent="0.3">
      <c r="A1220" t="s">
        <v>3027</v>
      </c>
      <c r="B1220" s="1">
        <v>45560</v>
      </c>
      <c r="C1220" t="s">
        <v>208</v>
      </c>
      <c r="D1220" t="s">
        <v>1707</v>
      </c>
      <c r="E1220" t="s">
        <v>1744</v>
      </c>
      <c r="F1220">
        <v>2</v>
      </c>
      <c r="G1220">
        <v>898.45</v>
      </c>
      <c r="H1220">
        <v>0.28999999999999998</v>
      </c>
      <c r="I1220" t="s">
        <v>1812</v>
      </c>
      <c r="J1220">
        <v>1275.799</v>
      </c>
    </row>
    <row r="1221" spans="1:10" x14ac:dyDescent="0.3">
      <c r="A1221" t="s">
        <v>3028</v>
      </c>
      <c r="B1221" s="1">
        <v>45905</v>
      </c>
      <c r="C1221" t="s">
        <v>124</v>
      </c>
      <c r="D1221" t="s">
        <v>1601</v>
      </c>
      <c r="E1221" t="s">
        <v>1784</v>
      </c>
      <c r="F1221">
        <v>4</v>
      </c>
      <c r="G1221">
        <v>642.04999999999995</v>
      </c>
      <c r="H1221">
        <v>0.25</v>
      </c>
      <c r="I1221" t="s">
        <v>1807</v>
      </c>
      <c r="J1221">
        <v>1926.15</v>
      </c>
    </row>
    <row r="1222" spans="1:10" x14ac:dyDescent="0.3">
      <c r="A1222" t="s">
        <v>3029</v>
      </c>
      <c r="B1222" s="1">
        <v>45531</v>
      </c>
      <c r="C1222" t="s">
        <v>977</v>
      </c>
      <c r="D1222" t="s">
        <v>1699</v>
      </c>
      <c r="E1222" t="s">
        <v>1762</v>
      </c>
      <c r="F1222">
        <v>4</v>
      </c>
      <c r="G1222">
        <v>450.83</v>
      </c>
      <c r="H1222">
        <v>0.24</v>
      </c>
      <c r="I1222" t="s">
        <v>1807</v>
      </c>
      <c r="J1222">
        <v>1370.5232000000001</v>
      </c>
    </row>
    <row r="1223" spans="1:10" x14ac:dyDescent="0.3">
      <c r="A1223" t="s">
        <v>3030</v>
      </c>
      <c r="B1223" s="1">
        <v>45216</v>
      </c>
      <c r="C1223" t="s">
        <v>52</v>
      </c>
      <c r="D1223" t="s">
        <v>1635</v>
      </c>
      <c r="E1223" t="s">
        <v>1796</v>
      </c>
      <c r="F1223">
        <v>2</v>
      </c>
      <c r="G1223">
        <v>441.03</v>
      </c>
      <c r="H1223">
        <v>0.23</v>
      </c>
      <c r="I1223" t="s">
        <v>1812</v>
      </c>
      <c r="J1223">
        <v>679.18619999999999</v>
      </c>
    </row>
    <row r="1224" spans="1:10" x14ac:dyDescent="0.3">
      <c r="A1224" t="s">
        <v>3031</v>
      </c>
      <c r="B1224" s="1">
        <v>45384</v>
      </c>
      <c r="C1224" t="s">
        <v>295</v>
      </c>
      <c r="D1224" t="s">
        <v>1581</v>
      </c>
      <c r="E1224" t="s">
        <v>1744</v>
      </c>
      <c r="F1224">
        <v>3</v>
      </c>
      <c r="G1224">
        <v>377.69</v>
      </c>
      <c r="H1224">
        <v>7.0000000000000007E-2</v>
      </c>
      <c r="I1224" t="s">
        <v>1809</v>
      </c>
      <c r="J1224">
        <v>1053.7551000000001</v>
      </c>
    </row>
    <row r="1225" spans="1:10" x14ac:dyDescent="0.3">
      <c r="A1225" t="s">
        <v>3032</v>
      </c>
      <c r="B1225" s="1">
        <v>45416</v>
      </c>
      <c r="C1225" t="s">
        <v>530</v>
      </c>
      <c r="D1225" t="s">
        <v>1551</v>
      </c>
      <c r="E1225" t="s">
        <v>1762</v>
      </c>
      <c r="F1225">
        <v>1</v>
      </c>
      <c r="G1225">
        <v>457.33</v>
      </c>
      <c r="H1225">
        <v>0.27</v>
      </c>
      <c r="I1225" t="s">
        <v>1807</v>
      </c>
      <c r="J1225">
        <v>333.85090000000002</v>
      </c>
    </row>
    <row r="1226" spans="1:10" x14ac:dyDescent="0.3">
      <c r="A1226" t="s">
        <v>3033</v>
      </c>
      <c r="B1226" s="1">
        <v>45880</v>
      </c>
      <c r="C1226" t="s">
        <v>776</v>
      </c>
      <c r="D1226" t="s">
        <v>1683</v>
      </c>
      <c r="E1226" t="s">
        <v>1759</v>
      </c>
      <c r="F1226">
        <v>4</v>
      </c>
      <c r="G1226">
        <v>218.01</v>
      </c>
      <c r="H1226">
        <v>0.06</v>
      </c>
      <c r="I1226" t="s">
        <v>1807</v>
      </c>
      <c r="J1226">
        <v>819.71759999999995</v>
      </c>
    </row>
    <row r="1227" spans="1:10" x14ac:dyDescent="0.3">
      <c r="A1227" t="s">
        <v>3034</v>
      </c>
      <c r="B1227" s="1">
        <v>45933</v>
      </c>
      <c r="C1227" t="s">
        <v>702</v>
      </c>
      <c r="D1227" t="s">
        <v>1715</v>
      </c>
      <c r="E1227" t="s">
        <v>1793</v>
      </c>
      <c r="F1227">
        <v>2</v>
      </c>
      <c r="G1227">
        <v>682.7</v>
      </c>
      <c r="H1227">
        <v>0.13</v>
      </c>
      <c r="I1227" t="s">
        <v>1807</v>
      </c>
      <c r="J1227">
        <v>1187.8979999999999</v>
      </c>
    </row>
    <row r="1228" spans="1:10" x14ac:dyDescent="0.3">
      <c r="A1228" t="s">
        <v>3035</v>
      </c>
      <c r="B1228" s="1">
        <v>45345</v>
      </c>
      <c r="C1228" t="s">
        <v>1007</v>
      </c>
      <c r="D1228" t="s">
        <v>1569</v>
      </c>
      <c r="E1228" t="s">
        <v>1793</v>
      </c>
      <c r="F1228">
        <v>3</v>
      </c>
      <c r="G1228">
        <v>726.97</v>
      </c>
      <c r="H1228">
        <v>0.04</v>
      </c>
      <c r="I1228" t="s">
        <v>1809</v>
      </c>
      <c r="J1228">
        <v>2093.6736000000001</v>
      </c>
    </row>
    <row r="1229" spans="1:10" x14ac:dyDescent="0.3">
      <c r="A1229" t="s">
        <v>3036</v>
      </c>
      <c r="B1229" s="1">
        <v>45681</v>
      </c>
      <c r="C1229" t="s">
        <v>1255</v>
      </c>
      <c r="D1229" t="s">
        <v>1649</v>
      </c>
      <c r="E1229" t="s">
        <v>1769</v>
      </c>
      <c r="F1229">
        <v>2</v>
      </c>
      <c r="G1229">
        <v>107.97</v>
      </c>
      <c r="H1229">
        <v>0.06</v>
      </c>
      <c r="I1229" t="s">
        <v>1807</v>
      </c>
      <c r="J1229">
        <v>202.9836</v>
      </c>
    </row>
    <row r="1230" spans="1:10" x14ac:dyDescent="0.3">
      <c r="A1230" t="s">
        <v>3037</v>
      </c>
      <c r="B1230" s="1">
        <v>45785</v>
      </c>
      <c r="C1230" t="s">
        <v>40</v>
      </c>
      <c r="D1230" t="s">
        <v>1538</v>
      </c>
      <c r="E1230" t="s">
        <v>1782</v>
      </c>
      <c r="F1230">
        <v>1</v>
      </c>
      <c r="G1230">
        <v>38.880000000000003</v>
      </c>
      <c r="H1230">
        <v>0.16</v>
      </c>
      <c r="I1230" t="s">
        <v>1812</v>
      </c>
      <c r="J1230">
        <v>32.659199999999998</v>
      </c>
    </row>
    <row r="1231" spans="1:10" x14ac:dyDescent="0.3">
      <c r="A1231" t="s">
        <v>3038</v>
      </c>
      <c r="B1231" s="1">
        <v>45823</v>
      </c>
      <c r="C1231" t="s">
        <v>281</v>
      </c>
      <c r="D1231" t="s">
        <v>1563</v>
      </c>
      <c r="E1231" t="s">
        <v>1790</v>
      </c>
      <c r="F1231">
        <v>3</v>
      </c>
      <c r="G1231">
        <v>484.39</v>
      </c>
      <c r="H1231">
        <v>0.28999999999999998</v>
      </c>
      <c r="I1231" t="s">
        <v>1812</v>
      </c>
      <c r="J1231">
        <v>1031.7507000000001</v>
      </c>
    </row>
    <row r="1232" spans="1:10" x14ac:dyDescent="0.3">
      <c r="A1232" t="s">
        <v>3039</v>
      </c>
      <c r="B1232" s="1">
        <v>45572</v>
      </c>
      <c r="C1232" t="s">
        <v>82</v>
      </c>
      <c r="D1232" t="s">
        <v>1691</v>
      </c>
      <c r="E1232" t="s">
        <v>1784</v>
      </c>
      <c r="F1232">
        <v>2</v>
      </c>
      <c r="G1232">
        <v>949.3</v>
      </c>
      <c r="H1232">
        <v>0.08</v>
      </c>
      <c r="I1232" t="s">
        <v>1812</v>
      </c>
      <c r="J1232">
        <v>1746.712</v>
      </c>
    </row>
    <row r="1233" spans="1:10" x14ac:dyDescent="0.3">
      <c r="A1233" t="s">
        <v>3040</v>
      </c>
      <c r="B1233" s="1">
        <v>45259</v>
      </c>
      <c r="C1233" t="s">
        <v>1327</v>
      </c>
      <c r="D1233" t="s">
        <v>1673</v>
      </c>
      <c r="E1233" t="s">
        <v>1759</v>
      </c>
      <c r="F1233">
        <v>3</v>
      </c>
      <c r="G1233">
        <v>664.75</v>
      </c>
      <c r="H1233">
        <v>0.12</v>
      </c>
      <c r="I1233" t="s">
        <v>1807</v>
      </c>
      <c r="J1233">
        <v>1754.94</v>
      </c>
    </row>
    <row r="1234" spans="1:10" x14ac:dyDescent="0.3">
      <c r="A1234" t="s">
        <v>3041</v>
      </c>
      <c r="B1234" s="1">
        <v>45740</v>
      </c>
      <c r="C1234" t="s">
        <v>888</v>
      </c>
      <c r="D1234" t="s">
        <v>1671</v>
      </c>
      <c r="E1234" t="s">
        <v>1790</v>
      </c>
      <c r="F1234">
        <v>3</v>
      </c>
      <c r="G1234">
        <v>190.04</v>
      </c>
      <c r="H1234">
        <v>7.0000000000000007E-2</v>
      </c>
      <c r="I1234" t="s">
        <v>1809</v>
      </c>
      <c r="J1234">
        <v>530.21159999999998</v>
      </c>
    </row>
    <row r="1235" spans="1:10" x14ac:dyDescent="0.3">
      <c r="A1235" t="s">
        <v>3042</v>
      </c>
      <c r="B1235" s="1">
        <v>45869</v>
      </c>
      <c r="C1235" t="s">
        <v>873</v>
      </c>
      <c r="D1235" t="s">
        <v>1543</v>
      </c>
      <c r="E1235" t="s">
        <v>1784</v>
      </c>
      <c r="F1235">
        <v>3</v>
      </c>
      <c r="G1235">
        <v>754.02</v>
      </c>
      <c r="H1235">
        <v>0.1</v>
      </c>
      <c r="I1235" t="s">
        <v>1812</v>
      </c>
      <c r="J1235">
        <v>2035.854</v>
      </c>
    </row>
    <row r="1236" spans="1:10" x14ac:dyDescent="0.3">
      <c r="A1236" t="s">
        <v>3043</v>
      </c>
      <c r="B1236" s="1">
        <v>45526</v>
      </c>
      <c r="C1236" t="s">
        <v>1186</v>
      </c>
      <c r="D1236" t="s">
        <v>1599</v>
      </c>
      <c r="E1236" t="s">
        <v>1777</v>
      </c>
      <c r="F1236">
        <v>4</v>
      </c>
      <c r="G1236">
        <v>94.13</v>
      </c>
      <c r="H1236">
        <v>0.04</v>
      </c>
      <c r="I1236" t="s">
        <v>1812</v>
      </c>
      <c r="J1236">
        <v>361.45920000000001</v>
      </c>
    </row>
    <row r="1237" spans="1:10" x14ac:dyDescent="0.3">
      <c r="A1237" t="s">
        <v>3044</v>
      </c>
      <c r="B1237" s="1">
        <v>45489</v>
      </c>
      <c r="C1237" t="s">
        <v>1427</v>
      </c>
      <c r="D1237" t="s">
        <v>1529</v>
      </c>
      <c r="E1237" t="s">
        <v>1784</v>
      </c>
      <c r="F1237">
        <v>3</v>
      </c>
      <c r="G1237">
        <v>402.3</v>
      </c>
      <c r="H1237">
        <v>0.21</v>
      </c>
      <c r="I1237" t="s">
        <v>1809</v>
      </c>
      <c r="J1237">
        <v>953.45100000000014</v>
      </c>
    </row>
    <row r="1238" spans="1:10" x14ac:dyDescent="0.3">
      <c r="A1238" t="s">
        <v>3045</v>
      </c>
      <c r="B1238" s="1">
        <v>45908</v>
      </c>
      <c r="C1238" t="s">
        <v>761</v>
      </c>
      <c r="D1238" t="s">
        <v>1703</v>
      </c>
      <c r="E1238" t="s">
        <v>1762</v>
      </c>
      <c r="F1238">
        <v>1</v>
      </c>
      <c r="G1238">
        <v>729.05</v>
      </c>
      <c r="H1238">
        <v>0.06</v>
      </c>
      <c r="I1238" t="s">
        <v>1812</v>
      </c>
      <c r="J1238">
        <v>685.3069999999999</v>
      </c>
    </row>
    <row r="1239" spans="1:10" x14ac:dyDescent="0.3">
      <c r="A1239" t="s">
        <v>3046</v>
      </c>
      <c r="B1239" s="1">
        <v>45912</v>
      </c>
      <c r="C1239" t="s">
        <v>453</v>
      </c>
      <c r="D1239" t="s">
        <v>1711</v>
      </c>
      <c r="E1239" t="s">
        <v>1780</v>
      </c>
      <c r="F1239">
        <v>1</v>
      </c>
      <c r="G1239">
        <v>822.6</v>
      </c>
      <c r="H1239">
        <v>0.28999999999999998</v>
      </c>
      <c r="I1239" t="s">
        <v>1809</v>
      </c>
      <c r="J1239">
        <v>584.04599999999994</v>
      </c>
    </row>
    <row r="1240" spans="1:10" x14ac:dyDescent="0.3">
      <c r="A1240" t="s">
        <v>3047</v>
      </c>
      <c r="B1240" s="1">
        <v>45771</v>
      </c>
      <c r="C1240" t="s">
        <v>628</v>
      </c>
      <c r="D1240" t="s">
        <v>1697</v>
      </c>
      <c r="E1240" t="s">
        <v>1765</v>
      </c>
      <c r="F1240">
        <v>2</v>
      </c>
      <c r="G1240">
        <v>327.25</v>
      </c>
      <c r="H1240">
        <v>0.19</v>
      </c>
      <c r="I1240" t="s">
        <v>1809</v>
      </c>
      <c r="J1240">
        <v>530.14499999999998</v>
      </c>
    </row>
    <row r="1241" spans="1:10" x14ac:dyDescent="0.3">
      <c r="A1241" t="s">
        <v>3048</v>
      </c>
      <c r="B1241" s="1">
        <v>45619</v>
      </c>
      <c r="C1241" t="s">
        <v>301</v>
      </c>
      <c r="D1241" t="s">
        <v>1671</v>
      </c>
      <c r="E1241" t="s">
        <v>1769</v>
      </c>
      <c r="F1241">
        <v>4</v>
      </c>
      <c r="G1241">
        <v>930.38</v>
      </c>
      <c r="H1241">
        <v>0</v>
      </c>
      <c r="I1241" t="s">
        <v>1812</v>
      </c>
      <c r="J1241">
        <v>3721.52</v>
      </c>
    </row>
    <row r="1242" spans="1:10" x14ac:dyDescent="0.3">
      <c r="A1242" t="s">
        <v>3049</v>
      </c>
      <c r="B1242" s="1">
        <v>45394</v>
      </c>
      <c r="C1242" t="s">
        <v>482</v>
      </c>
      <c r="D1242" t="s">
        <v>1585</v>
      </c>
      <c r="E1242" t="s">
        <v>1756</v>
      </c>
      <c r="F1242">
        <v>2</v>
      </c>
      <c r="G1242">
        <v>437.84</v>
      </c>
      <c r="H1242">
        <v>0.24</v>
      </c>
      <c r="I1242" t="s">
        <v>1807</v>
      </c>
      <c r="J1242">
        <v>665.51679999999999</v>
      </c>
    </row>
    <row r="1243" spans="1:10" x14ac:dyDescent="0.3">
      <c r="A1243" t="s">
        <v>3050</v>
      </c>
      <c r="B1243" s="1">
        <v>45786</v>
      </c>
      <c r="C1243" t="s">
        <v>255</v>
      </c>
      <c r="D1243" t="s">
        <v>1563</v>
      </c>
      <c r="E1243" t="s">
        <v>1787</v>
      </c>
      <c r="F1243">
        <v>2</v>
      </c>
      <c r="G1243">
        <v>126.02</v>
      </c>
      <c r="H1243">
        <v>0.09</v>
      </c>
      <c r="I1243" t="s">
        <v>1812</v>
      </c>
      <c r="J1243">
        <v>229.35640000000001</v>
      </c>
    </row>
    <row r="1244" spans="1:10" x14ac:dyDescent="0.3">
      <c r="A1244" t="s">
        <v>3051</v>
      </c>
      <c r="B1244" s="1">
        <v>45692</v>
      </c>
      <c r="C1244" t="s">
        <v>1339</v>
      </c>
      <c r="D1244" t="s">
        <v>1697</v>
      </c>
      <c r="E1244" t="s">
        <v>1784</v>
      </c>
      <c r="F1244">
        <v>1</v>
      </c>
      <c r="G1244">
        <v>860.84</v>
      </c>
      <c r="H1244">
        <v>7.0000000000000007E-2</v>
      </c>
      <c r="I1244" t="s">
        <v>1809</v>
      </c>
      <c r="J1244">
        <v>800.58119999999997</v>
      </c>
    </row>
    <row r="1245" spans="1:10" x14ac:dyDescent="0.3">
      <c r="A1245" t="s">
        <v>3052</v>
      </c>
      <c r="B1245" s="1">
        <v>45677</v>
      </c>
      <c r="C1245" t="s">
        <v>330</v>
      </c>
      <c r="D1245" t="s">
        <v>1627</v>
      </c>
      <c r="E1245" t="s">
        <v>1780</v>
      </c>
      <c r="F1245">
        <v>1</v>
      </c>
      <c r="G1245">
        <v>161.80000000000001</v>
      </c>
      <c r="H1245">
        <v>0.24</v>
      </c>
      <c r="I1245" t="s">
        <v>1809</v>
      </c>
      <c r="J1245">
        <v>122.968</v>
      </c>
    </row>
    <row r="1246" spans="1:10" x14ac:dyDescent="0.3">
      <c r="A1246" t="s">
        <v>3053</v>
      </c>
      <c r="B1246" s="1">
        <v>45669</v>
      </c>
      <c r="C1246" t="s">
        <v>1189</v>
      </c>
      <c r="D1246" t="s">
        <v>1607</v>
      </c>
      <c r="E1246" t="s">
        <v>1790</v>
      </c>
      <c r="F1246">
        <v>4</v>
      </c>
      <c r="G1246">
        <v>347.82</v>
      </c>
      <c r="H1246">
        <v>0.02</v>
      </c>
      <c r="I1246" t="s">
        <v>1812</v>
      </c>
      <c r="J1246">
        <v>1363.4544000000001</v>
      </c>
    </row>
    <row r="1247" spans="1:10" x14ac:dyDescent="0.3">
      <c r="A1247" t="s">
        <v>3054</v>
      </c>
      <c r="B1247" s="1">
        <v>45299</v>
      </c>
      <c r="C1247" t="s">
        <v>1384</v>
      </c>
      <c r="D1247" t="s">
        <v>1701</v>
      </c>
      <c r="E1247" t="s">
        <v>1787</v>
      </c>
      <c r="F1247">
        <v>3</v>
      </c>
      <c r="G1247">
        <v>416.44</v>
      </c>
      <c r="H1247">
        <v>0.27</v>
      </c>
      <c r="I1247" t="s">
        <v>1807</v>
      </c>
      <c r="J1247">
        <v>912.00359999999989</v>
      </c>
    </row>
    <row r="1248" spans="1:10" x14ac:dyDescent="0.3">
      <c r="A1248" t="s">
        <v>3055</v>
      </c>
      <c r="B1248" s="1">
        <v>45893</v>
      </c>
      <c r="C1248" t="s">
        <v>32</v>
      </c>
      <c r="D1248" t="s">
        <v>1655</v>
      </c>
      <c r="E1248" t="s">
        <v>1735</v>
      </c>
      <c r="F1248">
        <v>1</v>
      </c>
      <c r="G1248">
        <v>147.96</v>
      </c>
      <c r="H1248">
        <v>0.24</v>
      </c>
      <c r="I1248" t="s">
        <v>1812</v>
      </c>
      <c r="J1248">
        <v>112.4496</v>
      </c>
    </row>
    <row r="1249" spans="1:10" x14ac:dyDescent="0.3">
      <c r="A1249" t="s">
        <v>3056</v>
      </c>
      <c r="B1249" s="1">
        <v>45560</v>
      </c>
      <c r="C1249" t="s">
        <v>1361</v>
      </c>
      <c r="D1249" t="s">
        <v>1567</v>
      </c>
      <c r="E1249" t="s">
        <v>1765</v>
      </c>
      <c r="F1249">
        <v>3</v>
      </c>
      <c r="G1249">
        <v>550.26</v>
      </c>
      <c r="H1249">
        <v>0.22</v>
      </c>
      <c r="I1249" t="s">
        <v>1807</v>
      </c>
      <c r="J1249">
        <v>1287.6084000000001</v>
      </c>
    </row>
    <row r="1250" spans="1:10" x14ac:dyDescent="0.3">
      <c r="A1250" t="s">
        <v>3057</v>
      </c>
      <c r="B1250" s="1">
        <v>45267</v>
      </c>
      <c r="C1250" t="s">
        <v>1147</v>
      </c>
      <c r="D1250" t="s">
        <v>1725</v>
      </c>
      <c r="E1250" t="s">
        <v>1762</v>
      </c>
      <c r="F1250">
        <v>4</v>
      </c>
      <c r="G1250">
        <v>938.21</v>
      </c>
      <c r="H1250">
        <v>0.04</v>
      </c>
      <c r="I1250" t="s">
        <v>1809</v>
      </c>
      <c r="J1250">
        <v>3602.7264</v>
      </c>
    </row>
    <row r="1251" spans="1:10" x14ac:dyDescent="0.3">
      <c r="A1251" t="s">
        <v>3058</v>
      </c>
      <c r="B1251" s="1">
        <v>45467</v>
      </c>
      <c r="C1251" t="s">
        <v>453</v>
      </c>
      <c r="D1251" t="s">
        <v>1719</v>
      </c>
      <c r="E1251" t="s">
        <v>1787</v>
      </c>
      <c r="F1251">
        <v>3</v>
      </c>
      <c r="G1251">
        <v>517.98</v>
      </c>
      <c r="H1251">
        <v>0.01</v>
      </c>
      <c r="I1251" t="s">
        <v>1809</v>
      </c>
      <c r="J1251">
        <v>1538.4005999999999</v>
      </c>
    </row>
    <row r="1252" spans="1:10" x14ac:dyDescent="0.3">
      <c r="A1252" t="s">
        <v>3059</v>
      </c>
      <c r="B1252" s="1">
        <v>45847</v>
      </c>
      <c r="C1252" t="s">
        <v>143</v>
      </c>
      <c r="D1252" t="s">
        <v>1540</v>
      </c>
      <c r="E1252" t="s">
        <v>1765</v>
      </c>
      <c r="F1252">
        <v>1</v>
      </c>
      <c r="G1252">
        <v>98.27</v>
      </c>
      <c r="H1252">
        <v>0.16</v>
      </c>
      <c r="I1252" t="s">
        <v>1809</v>
      </c>
      <c r="J1252">
        <v>82.54679999999999</v>
      </c>
    </row>
    <row r="1253" spans="1:10" x14ac:dyDescent="0.3">
      <c r="A1253" t="s">
        <v>3060</v>
      </c>
      <c r="B1253" s="1">
        <v>45480</v>
      </c>
      <c r="C1253" t="s">
        <v>797</v>
      </c>
      <c r="D1253" t="s">
        <v>1627</v>
      </c>
      <c r="E1253" t="s">
        <v>1775</v>
      </c>
      <c r="F1253">
        <v>2</v>
      </c>
      <c r="G1253">
        <v>875.2</v>
      </c>
      <c r="H1253">
        <v>0.19</v>
      </c>
      <c r="I1253" t="s">
        <v>1807</v>
      </c>
      <c r="J1253">
        <v>1417.8240000000001</v>
      </c>
    </row>
    <row r="1254" spans="1:10" x14ac:dyDescent="0.3">
      <c r="A1254" t="s">
        <v>3061</v>
      </c>
      <c r="B1254" s="1">
        <v>45345</v>
      </c>
      <c r="C1254" t="s">
        <v>953</v>
      </c>
      <c r="D1254" t="s">
        <v>1703</v>
      </c>
      <c r="E1254" t="s">
        <v>1735</v>
      </c>
      <c r="F1254">
        <v>1</v>
      </c>
      <c r="G1254">
        <v>227.35</v>
      </c>
      <c r="H1254">
        <v>0.06</v>
      </c>
      <c r="I1254" t="s">
        <v>1812</v>
      </c>
      <c r="J1254">
        <v>213.709</v>
      </c>
    </row>
    <row r="1255" spans="1:10" x14ac:dyDescent="0.3">
      <c r="A1255" t="s">
        <v>3062</v>
      </c>
      <c r="B1255" s="1">
        <v>45235</v>
      </c>
      <c r="C1255" t="s">
        <v>678</v>
      </c>
      <c r="D1255" t="s">
        <v>1679</v>
      </c>
      <c r="E1255" t="s">
        <v>1740</v>
      </c>
      <c r="F1255">
        <v>1</v>
      </c>
      <c r="G1255">
        <v>842.46</v>
      </c>
      <c r="H1255">
        <v>0.05</v>
      </c>
      <c r="I1255" t="s">
        <v>1812</v>
      </c>
      <c r="J1255">
        <v>800.33699999999999</v>
      </c>
    </row>
    <row r="1256" spans="1:10" x14ac:dyDescent="0.3">
      <c r="A1256" t="s">
        <v>3063</v>
      </c>
      <c r="B1256" s="1">
        <v>45543</v>
      </c>
      <c r="C1256" t="s">
        <v>684</v>
      </c>
      <c r="D1256" t="s">
        <v>1603</v>
      </c>
      <c r="E1256" t="s">
        <v>1775</v>
      </c>
      <c r="F1256">
        <v>3</v>
      </c>
      <c r="G1256">
        <v>120.67</v>
      </c>
      <c r="H1256">
        <v>0.08</v>
      </c>
      <c r="I1256" t="s">
        <v>1812</v>
      </c>
      <c r="J1256">
        <v>333.04919999999998</v>
      </c>
    </row>
    <row r="1257" spans="1:10" x14ac:dyDescent="0.3">
      <c r="A1257" t="s">
        <v>3064</v>
      </c>
      <c r="B1257" s="1">
        <v>45402</v>
      </c>
      <c r="C1257" t="s">
        <v>1510</v>
      </c>
      <c r="D1257" t="s">
        <v>1571</v>
      </c>
      <c r="E1257" t="s">
        <v>1749</v>
      </c>
      <c r="F1257">
        <v>4</v>
      </c>
      <c r="G1257">
        <v>176.13</v>
      </c>
      <c r="H1257">
        <v>0.27</v>
      </c>
      <c r="I1257" t="s">
        <v>1809</v>
      </c>
      <c r="J1257">
        <v>514.29959999999994</v>
      </c>
    </row>
    <row r="1258" spans="1:10" x14ac:dyDescent="0.3">
      <c r="A1258" t="s">
        <v>3065</v>
      </c>
      <c r="B1258" s="1">
        <v>45671</v>
      </c>
      <c r="C1258" t="s">
        <v>1376</v>
      </c>
      <c r="D1258" t="s">
        <v>1657</v>
      </c>
      <c r="E1258" t="s">
        <v>1775</v>
      </c>
      <c r="F1258">
        <v>4</v>
      </c>
      <c r="G1258">
        <v>592.67999999999995</v>
      </c>
      <c r="H1258">
        <v>0.03</v>
      </c>
      <c r="I1258" t="s">
        <v>1807</v>
      </c>
      <c r="J1258">
        <v>2299.5983999999999</v>
      </c>
    </row>
    <row r="1259" spans="1:10" x14ac:dyDescent="0.3">
      <c r="A1259" t="s">
        <v>3066</v>
      </c>
      <c r="B1259" s="1">
        <v>45367</v>
      </c>
      <c r="C1259" t="s">
        <v>576</v>
      </c>
      <c r="D1259" t="s">
        <v>1671</v>
      </c>
      <c r="E1259" t="s">
        <v>1752</v>
      </c>
      <c r="F1259">
        <v>4</v>
      </c>
      <c r="G1259">
        <v>662.43</v>
      </c>
      <c r="H1259">
        <v>0.24</v>
      </c>
      <c r="I1259" t="s">
        <v>1809</v>
      </c>
      <c r="J1259">
        <v>2013.7872</v>
      </c>
    </row>
    <row r="1260" spans="1:10" x14ac:dyDescent="0.3">
      <c r="A1260" t="s">
        <v>3067</v>
      </c>
      <c r="B1260" s="1">
        <v>45488</v>
      </c>
      <c r="C1260" t="s">
        <v>436</v>
      </c>
      <c r="D1260" t="s">
        <v>1617</v>
      </c>
      <c r="E1260" t="s">
        <v>1765</v>
      </c>
      <c r="F1260">
        <v>3</v>
      </c>
      <c r="G1260">
        <v>518.35</v>
      </c>
      <c r="H1260">
        <v>0.21</v>
      </c>
      <c r="I1260" t="s">
        <v>1812</v>
      </c>
      <c r="J1260">
        <v>1228.4894999999999</v>
      </c>
    </row>
    <row r="1261" spans="1:10" x14ac:dyDescent="0.3">
      <c r="A1261" t="s">
        <v>3068</v>
      </c>
      <c r="B1261" s="1">
        <v>45509</v>
      </c>
      <c r="C1261" t="s">
        <v>968</v>
      </c>
      <c r="D1261" t="s">
        <v>1653</v>
      </c>
      <c r="E1261" t="s">
        <v>1756</v>
      </c>
      <c r="F1261">
        <v>1</v>
      </c>
      <c r="G1261">
        <v>85.58</v>
      </c>
      <c r="H1261">
        <v>0.1</v>
      </c>
      <c r="I1261" t="s">
        <v>1812</v>
      </c>
      <c r="J1261">
        <v>77.022000000000006</v>
      </c>
    </row>
    <row r="1262" spans="1:10" x14ac:dyDescent="0.3">
      <c r="A1262" t="s">
        <v>3069</v>
      </c>
      <c r="B1262" s="1">
        <v>45323</v>
      </c>
      <c r="C1262" t="s">
        <v>1123</v>
      </c>
      <c r="D1262" t="s">
        <v>1705</v>
      </c>
      <c r="E1262" t="s">
        <v>1740</v>
      </c>
      <c r="F1262">
        <v>4</v>
      </c>
      <c r="G1262">
        <v>800</v>
      </c>
      <c r="H1262">
        <v>0.2</v>
      </c>
      <c r="I1262" t="s">
        <v>1807</v>
      </c>
      <c r="J1262">
        <v>2560</v>
      </c>
    </row>
    <row r="1263" spans="1:10" x14ac:dyDescent="0.3">
      <c r="A1263" t="s">
        <v>3070</v>
      </c>
      <c r="B1263" s="1">
        <v>45889</v>
      </c>
      <c r="C1263" t="s">
        <v>515</v>
      </c>
      <c r="D1263" t="s">
        <v>1651</v>
      </c>
      <c r="E1263" t="s">
        <v>1772</v>
      </c>
      <c r="F1263">
        <v>3</v>
      </c>
      <c r="G1263">
        <v>118.25</v>
      </c>
      <c r="H1263">
        <v>0.26</v>
      </c>
      <c r="I1263" t="s">
        <v>1809</v>
      </c>
      <c r="J1263">
        <v>262.51499999999999</v>
      </c>
    </row>
    <row r="1264" spans="1:10" x14ac:dyDescent="0.3">
      <c r="A1264" t="s">
        <v>3071</v>
      </c>
      <c r="B1264" s="1">
        <v>45253</v>
      </c>
      <c r="C1264" t="s">
        <v>1292</v>
      </c>
      <c r="D1264" t="s">
        <v>1595</v>
      </c>
      <c r="E1264" t="s">
        <v>1784</v>
      </c>
      <c r="F1264">
        <v>1</v>
      </c>
      <c r="G1264">
        <v>223.25</v>
      </c>
      <c r="H1264">
        <v>0.28999999999999998</v>
      </c>
      <c r="I1264" t="s">
        <v>1807</v>
      </c>
      <c r="J1264">
        <v>158.50749999999999</v>
      </c>
    </row>
    <row r="1265" spans="1:10" x14ac:dyDescent="0.3">
      <c r="A1265" t="s">
        <v>3072</v>
      </c>
      <c r="B1265" s="1">
        <v>45530</v>
      </c>
      <c r="C1265" t="s">
        <v>1309</v>
      </c>
      <c r="D1265" t="s">
        <v>1595</v>
      </c>
      <c r="E1265" t="s">
        <v>1752</v>
      </c>
      <c r="F1265">
        <v>3</v>
      </c>
      <c r="G1265">
        <v>918.76</v>
      </c>
      <c r="H1265">
        <v>0.2</v>
      </c>
      <c r="I1265" t="s">
        <v>1809</v>
      </c>
      <c r="J1265">
        <v>2205.0239999999999</v>
      </c>
    </row>
    <row r="1266" spans="1:10" x14ac:dyDescent="0.3">
      <c r="A1266" t="s">
        <v>3073</v>
      </c>
      <c r="B1266" s="1">
        <v>45491</v>
      </c>
      <c r="C1266" t="s">
        <v>882</v>
      </c>
      <c r="D1266" t="s">
        <v>1699</v>
      </c>
      <c r="E1266" t="s">
        <v>1780</v>
      </c>
      <c r="F1266">
        <v>2</v>
      </c>
      <c r="G1266">
        <v>905.26</v>
      </c>
      <c r="H1266">
        <v>0.15</v>
      </c>
      <c r="I1266" t="s">
        <v>1812</v>
      </c>
      <c r="J1266">
        <v>1538.942</v>
      </c>
    </row>
    <row r="1267" spans="1:10" x14ac:dyDescent="0.3">
      <c r="A1267" t="s">
        <v>3074</v>
      </c>
      <c r="B1267" s="1">
        <v>45628</v>
      </c>
      <c r="C1267" t="s">
        <v>974</v>
      </c>
      <c r="D1267" t="s">
        <v>1563</v>
      </c>
      <c r="E1267" t="s">
        <v>1796</v>
      </c>
      <c r="F1267">
        <v>4</v>
      </c>
      <c r="G1267">
        <v>295.39999999999998</v>
      </c>
      <c r="H1267">
        <v>0.23</v>
      </c>
      <c r="I1267" t="s">
        <v>1809</v>
      </c>
      <c r="J1267">
        <v>909.83199999999999</v>
      </c>
    </row>
    <row r="1268" spans="1:10" x14ac:dyDescent="0.3">
      <c r="A1268" t="s">
        <v>3075</v>
      </c>
      <c r="B1268" s="1">
        <v>45861</v>
      </c>
      <c r="C1268" t="s">
        <v>310</v>
      </c>
      <c r="D1268" t="s">
        <v>1719</v>
      </c>
      <c r="E1268" t="s">
        <v>1756</v>
      </c>
      <c r="F1268">
        <v>1</v>
      </c>
      <c r="G1268">
        <v>252.18</v>
      </c>
      <c r="H1268">
        <v>0.23</v>
      </c>
      <c r="I1268" t="s">
        <v>1809</v>
      </c>
      <c r="J1268">
        <v>194.17859999999999</v>
      </c>
    </row>
    <row r="1269" spans="1:10" x14ac:dyDescent="0.3">
      <c r="A1269" t="s">
        <v>3076</v>
      </c>
      <c r="B1269" s="1">
        <v>45878</v>
      </c>
      <c r="C1269" t="s">
        <v>506</v>
      </c>
      <c r="D1269" t="s">
        <v>1725</v>
      </c>
      <c r="E1269" t="s">
        <v>1777</v>
      </c>
      <c r="F1269">
        <v>4</v>
      </c>
      <c r="G1269">
        <v>792.1</v>
      </c>
      <c r="H1269">
        <v>0.19</v>
      </c>
      <c r="I1269" t="s">
        <v>1812</v>
      </c>
      <c r="J1269">
        <v>2566.404</v>
      </c>
    </row>
    <row r="1270" spans="1:10" x14ac:dyDescent="0.3">
      <c r="A1270" t="s">
        <v>3077</v>
      </c>
      <c r="B1270" s="1">
        <v>45426</v>
      </c>
      <c r="C1270" t="s">
        <v>275</v>
      </c>
      <c r="D1270" t="s">
        <v>1707</v>
      </c>
      <c r="E1270" t="s">
        <v>1782</v>
      </c>
      <c r="F1270">
        <v>1</v>
      </c>
      <c r="G1270">
        <v>883.36</v>
      </c>
      <c r="H1270">
        <v>0.11</v>
      </c>
      <c r="I1270" t="s">
        <v>1809</v>
      </c>
      <c r="J1270">
        <v>786.19040000000007</v>
      </c>
    </row>
    <row r="1271" spans="1:10" x14ac:dyDescent="0.3">
      <c r="A1271" t="s">
        <v>3078</v>
      </c>
      <c r="B1271" s="1">
        <v>45231</v>
      </c>
      <c r="C1271" t="s">
        <v>870</v>
      </c>
      <c r="D1271" t="s">
        <v>1669</v>
      </c>
      <c r="E1271" t="s">
        <v>1735</v>
      </c>
      <c r="F1271">
        <v>4</v>
      </c>
      <c r="G1271">
        <v>305.95</v>
      </c>
      <c r="H1271">
        <v>0.08</v>
      </c>
      <c r="I1271" t="s">
        <v>1809</v>
      </c>
      <c r="J1271">
        <v>1125.896</v>
      </c>
    </row>
    <row r="1272" spans="1:10" x14ac:dyDescent="0.3">
      <c r="A1272" t="s">
        <v>3079</v>
      </c>
      <c r="B1272" s="1">
        <v>45609</v>
      </c>
      <c r="C1272" t="s">
        <v>1235</v>
      </c>
      <c r="D1272" t="s">
        <v>1647</v>
      </c>
      <c r="E1272" t="s">
        <v>1762</v>
      </c>
      <c r="F1272">
        <v>3</v>
      </c>
      <c r="G1272">
        <v>742.45</v>
      </c>
      <c r="H1272">
        <v>0.23</v>
      </c>
      <c r="I1272" t="s">
        <v>1812</v>
      </c>
      <c r="J1272">
        <v>1715.0595000000001</v>
      </c>
    </row>
    <row r="1273" spans="1:10" x14ac:dyDescent="0.3">
      <c r="A1273" t="s">
        <v>3080</v>
      </c>
      <c r="B1273" s="1">
        <v>45392</v>
      </c>
      <c r="C1273" t="s">
        <v>1100</v>
      </c>
      <c r="D1273" t="s">
        <v>1581</v>
      </c>
      <c r="E1273" t="s">
        <v>1793</v>
      </c>
      <c r="F1273">
        <v>3</v>
      </c>
      <c r="G1273">
        <v>336.1</v>
      </c>
      <c r="H1273">
        <v>0.12</v>
      </c>
      <c r="I1273" t="s">
        <v>1812</v>
      </c>
      <c r="J1273">
        <v>887.30400000000009</v>
      </c>
    </row>
    <row r="1274" spans="1:10" x14ac:dyDescent="0.3">
      <c r="A1274" t="s">
        <v>3081</v>
      </c>
      <c r="B1274" s="1">
        <v>45876</v>
      </c>
      <c r="C1274" t="s">
        <v>1267</v>
      </c>
      <c r="D1274" t="s">
        <v>1589</v>
      </c>
      <c r="E1274" t="s">
        <v>1762</v>
      </c>
      <c r="F1274">
        <v>3</v>
      </c>
      <c r="G1274">
        <v>310.36</v>
      </c>
      <c r="H1274">
        <v>0.14000000000000001</v>
      </c>
      <c r="I1274" t="s">
        <v>1812</v>
      </c>
      <c r="J1274">
        <v>800.72879999999998</v>
      </c>
    </row>
    <row r="1275" spans="1:10" x14ac:dyDescent="0.3">
      <c r="A1275" t="s">
        <v>3082</v>
      </c>
      <c r="B1275" s="1">
        <v>45772</v>
      </c>
      <c r="C1275" t="s">
        <v>879</v>
      </c>
      <c r="D1275" t="s">
        <v>1727</v>
      </c>
      <c r="E1275" t="s">
        <v>1765</v>
      </c>
      <c r="F1275">
        <v>3</v>
      </c>
      <c r="G1275">
        <v>992.81</v>
      </c>
      <c r="H1275">
        <v>0.04</v>
      </c>
      <c r="I1275" t="s">
        <v>1809</v>
      </c>
      <c r="J1275">
        <v>2859.2928000000002</v>
      </c>
    </row>
    <row r="1276" spans="1:10" x14ac:dyDescent="0.3">
      <c r="A1276" t="s">
        <v>3083</v>
      </c>
      <c r="B1276" s="1">
        <v>45217</v>
      </c>
      <c r="C1276" t="s">
        <v>642</v>
      </c>
      <c r="D1276" t="s">
        <v>1651</v>
      </c>
      <c r="E1276" t="s">
        <v>1775</v>
      </c>
      <c r="F1276">
        <v>3</v>
      </c>
      <c r="G1276">
        <v>257.11</v>
      </c>
      <c r="H1276">
        <v>0.26</v>
      </c>
      <c r="I1276" t="s">
        <v>1812</v>
      </c>
      <c r="J1276">
        <v>570.78420000000006</v>
      </c>
    </row>
    <row r="1277" spans="1:10" x14ac:dyDescent="0.3">
      <c r="A1277" t="s">
        <v>3084</v>
      </c>
      <c r="B1277" s="1">
        <v>45739</v>
      </c>
      <c r="C1277" t="s">
        <v>707</v>
      </c>
      <c r="D1277" t="s">
        <v>1721</v>
      </c>
      <c r="E1277" t="s">
        <v>1777</v>
      </c>
      <c r="F1277">
        <v>4</v>
      </c>
      <c r="G1277">
        <v>816.29</v>
      </c>
      <c r="H1277">
        <v>0.24</v>
      </c>
      <c r="I1277" t="s">
        <v>1809</v>
      </c>
      <c r="J1277">
        <v>2481.5216</v>
      </c>
    </row>
    <row r="1278" spans="1:10" x14ac:dyDescent="0.3">
      <c r="A1278" t="s">
        <v>3085</v>
      </c>
      <c r="B1278" s="1">
        <v>45272</v>
      </c>
      <c r="C1278" t="s">
        <v>417</v>
      </c>
      <c r="D1278" t="s">
        <v>1651</v>
      </c>
      <c r="E1278" t="s">
        <v>1777</v>
      </c>
      <c r="F1278">
        <v>4</v>
      </c>
      <c r="G1278">
        <v>755.82</v>
      </c>
      <c r="H1278">
        <v>0.22</v>
      </c>
      <c r="I1278" t="s">
        <v>1812</v>
      </c>
      <c r="J1278">
        <v>2358.1583999999998</v>
      </c>
    </row>
    <row r="1279" spans="1:10" x14ac:dyDescent="0.3">
      <c r="A1279" t="s">
        <v>3086</v>
      </c>
      <c r="B1279" s="1">
        <v>45524</v>
      </c>
      <c r="C1279" t="s">
        <v>23</v>
      </c>
      <c r="D1279" t="s">
        <v>1526</v>
      </c>
      <c r="E1279" t="s">
        <v>1782</v>
      </c>
      <c r="F1279">
        <v>1</v>
      </c>
      <c r="G1279">
        <v>449.6</v>
      </c>
      <c r="H1279">
        <v>0.01</v>
      </c>
      <c r="I1279" t="s">
        <v>1809</v>
      </c>
      <c r="J1279">
        <v>445.10399999999998</v>
      </c>
    </row>
    <row r="1280" spans="1:10" x14ac:dyDescent="0.3">
      <c r="A1280" t="s">
        <v>3087</v>
      </c>
      <c r="B1280" s="1">
        <v>45481</v>
      </c>
      <c r="C1280" t="s">
        <v>1089</v>
      </c>
      <c r="D1280" t="s">
        <v>1559</v>
      </c>
      <c r="E1280" t="s">
        <v>1735</v>
      </c>
      <c r="F1280">
        <v>2</v>
      </c>
      <c r="G1280">
        <v>779.29</v>
      </c>
      <c r="H1280">
        <v>0.12</v>
      </c>
      <c r="I1280" t="s">
        <v>1812</v>
      </c>
      <c r="J1280">
        <v>1371.5504000000001</v>
      </c>
    </row>
    <row r="1281" spans="1:10" x14ac:dyDescent="0.3">
      <c r="A1281" t="s">
        <v>3088</v>
      </c>
      <c r="B1281" s="1">
        <v>45267</v>
      </c>
      <c r="C1281" t="s">
        <v>1415</v>
      </c>
      <c r="D1281" t="s">
        <v>1685</v>
      </c>
      <c r="E1281" t="s">
        <v>1790</v>
      </c>
      <c r="F1281">
        <v>1</v>
      </c>
      <c r="G1281">
        <v>748.75</v>
      </c>
      <c r="H1281">
        <v>0.1</v>
      </c>
      <c r="I1281" t="s">
        <v>1812</v>
      </c>
      <c r="J1281">
        <v>673.875</v>
      </c>
    </row>
    <row r="1282" spans="1:10" x14ac:dyDescent="0.3">
      <c r="A1282" t="s">
        <v>3089</v>
      </c>
      <c r="B1282" s="1">
        <v>45328</v>
      </c>
      <c r="C1282" t="s">
        <v>592</v>
      </c>
      <c r="D1282" t="s">
        <v>1709</v>
      </c>
      <c r="E1282" t="s">
        <v>1735</v>
      </c>
      <c r="F1282">
        <v>2</v>
      </c>
      <c r="G1282">
        <v>121.67</v>
      </c>
      <c r="H1282">
        <v>0.08</v>
      </c>
      <c r="I1282" t="s">
        <v>1812</v>
      </c>
      <c r="J1282">
        <v>223.87280000000001</v>
      </c>
    </row>
    <row r="1283" spans="1:10" x14ac:dyDescent="0.3">
      <c r="A1283" t="s">
        <v>3090</v>
      </c>
      <c r="B1283" s="1">
        <v>45787</v>
      </c>
      <c r="C1283" t="s">
        <v>1496</v>
      </c>
      <c r="D1283" t="s">
        <v>1629</v>
      </c>
      <c r="E1283" t="s">
        <v>1784</v>
      </c>
      <c r="F1283">
        <v>3</v>
      </c>
      <c r="G1283">
        <v>225.14</v>
      </c>
      <c r="H1283">
        <v>0.15</v>
      </c>
      <c r="I1283" t="s">
        <v>1812</v>
      </c>
      <c r="J1283">
        <v>574.10699999999997</v>
      </c>
    </row>
    <row r="1284" spans="1:10" x14ac:dyDescent="0.3">
      <c r="A1284" t="s">
        <v>3091</v>
      </c>
      <c r="B1284" s="1">
        <v>45876</v>
      </c>
      <c r="C1284" t="s">
        <v>1001</v>
      </c>
      <c r="D1284" t="s">
        <v>1589</v>
      </c>
      <c r="E1284" t="s">
        <v>1796</v>
      </c>
      <c r="F1284">
        <v>1</v>
      </c>
      <c r="G1284">
        <v>654.17999999999995</v>
      </c>
      <c r="H1284">
        <v>0.19</v>
      </c>
      <c r="I1284" t="s">
        <v>1809</v>
      </c>
      <c r="J1284">
        <v>529.88580000000002</v>
      </c>
    </row>
    <row r="1285" spans="1:10" x14ac:dyDescent="0.3">
      <c r="A1285" t="s">
        <v>3092</v>
      </c>
      <c r="B1285" s="1">
        <v>45552</v>
      </c>
      <c r="C1285" t="s">
        <v>215</v>
      </c>
      <c r="D1285" t="s">
        <v>1673</v>
      </c>
      <c r="E1285" t="s">
        <v>1756</v>
      </c>
      <c r="F1285">
        <v>2</v>
      </c>
      <c r="G1285">
        <v>504.98</v>
      </c>
      <c r="H1285">
        <v>0.08</v>
      </c>
      <c r="I1285" t="s">
        <v>1812</v>
      </c>
      <c r="J1285">
        <v>929.16320000000007</v>
      </c>
    </row>
    <row r="1286" spans="1:10" x14ac:dyDescent="0.3">
      <c r="A1286" t="s">
        <v>3093</v>
      </c>
      <c r="B1286" s="1">
        <v>45823</v>
      </c>
      <c r="C1286" t="s">
        <v>1168</v>
      </c>
      <c r="D1286" t="s">
        <v>1639</v>
      </c>
      <c r="E1286" t="s">
        <v>1765</v>
      </c>
      <c r="F1286">
        <v>2</v>
      </c>
      <c r="G1286">
        <v>623.20000000000005</v>
      </c>
      <c r="H1286">
        <v>0.14000000000000001</v>
      </c>
      <c r="I1286" t="s">
        <v>1812</v>
      </c>
      <c r="J1286">
        <v>1071.904</v>
      </c>
    </row>
    <row r="1287" spans="1:10" x14ac:dyDescent="0.3">
      <c r="A1287" t="s">
        <v>3094</v>
      </c>
      <c r="B1287" s="1">
        <v>45622</v>
      </c>
      <c r="C1287" t="s">
        <v>1012</v>
      </c>
      <c r="D1287" t="s">
        <v>1538</v>
      </c>
      <c r="E1287" t="s">
        <v>1787</v>
      </c>
      <c r="F1287">
        <v>2</v>
      </c>
      <c r="G1287">
        <v>530.54</v>
      </c>
      <c r="H1287">
        <v>0.28000000000000003</v>
      </c>
      <c r="I1287" t="s">
        <v>1812</v>
      </c>
      <c r="J1287">
        <v>763.97759999999994</v>
      </c>
    </row>
    <row r="1288" spans="1:10" x14ac:dyDescent="0.3">
      <c r="A1288" t="s">
        <v>3095</v>
      </c>
      <c r="B1288" s="1">
        <v>45810</v>
      </c>
      <c r="C1288" t="s">
        <v>1129</v>
      </c>
      <c r="D1288" t="s">
        <v>1526</v>
      </c>
      <c r="E1288" t="s">
        <v>1787</v>
      </c>
      <c r="F1288">
        <v>3</v>
      </c>
      <c r="G1288">
        <v>279.45</v>
      </c>
      <c r="H1288">
        <v>0.15</v>
      </c>
      <c r="I1288" t="s">
        <v>1812</v>
      </c>
      <c r="J1288">
        <v>712.59749999999985</v>
      </c>
    </row>
    <row r="1289" spans="1:10" x14ac:dyDescent="0.3">
      <c r="A1289" t="s">
        <v>3096</v>
      </c>
      <c r="B1289" s="1">
        <v>45645</v>
      </c>
      <c r="C1289" t="s">
        <v>842</v>
      </c>
      <c r="D1289" t="s">
        <v>1555</v>
      </c>
      <c r="E1289" t="s">
        <v>1765</v>
      </c>
      <c r="F1289">
        <v>3</v>
      </c>
      <c r="G1289">
        <v>906.99</v>
      </c>
      <c r="H1289">
        <v>0.26</v>
      </c>
      <c r="I1289" t="s">
        <v>1812</v>
      </c>
      <c r="J1289">
        <v>2013.5178000000001</v>
      </c>
    </row>
    <row r="1290" spans="1:10" x14ac:dyDescent="0.3">
      <c r="A1290" t="s">
        <v>3097</v>
      </c>
      <c r="B1290" s="1">
        <v>45749</v>
      </c>
      <c r="C1290" t="s">
        <v>255</v>
      </c>
      <c r="D1290" t="s">
        <v>1691</v>
      </c>
      <c r="E1290" t="s">
        <v>1790</v>
      </c>
      <c r="F1290">
        <v>4</v>
      </c>
      <c r="G1290">
        <v>408.76</v>
      </c>
      <c r="H1290">
        <v>0.12</v>
      </c>
      <c r="I1290" t="s">
        <v>1812</v>
      </c>
      <c r="J1290">
        <v>1438.8352</v>
      </c>
    </row>
    <row r="1291" spans="1:10" x14ac:dyDescent="0.3">
      <c r="A1291" t="s">
        <v>3098</v>
      </c>
      <c r="B1291" s="1">
        <v>45537</v>
      </c>
      <c r="C1291" t="s">
        <v>579</v>
      </c>
      <c r="D1291" t="s">
        <v>1603</v>
      </c>
      <c r="E1291" t="s">
        <v>1769</v>
      </c>
      <c r="F1291">
        <v>2</v>
      </c>
      <c r="G1291">
        <v>117.34</v>
      </c>
      <c r="H1291">
        <v>0.09</v>
      </c>
      <c r="I1291" t="s">
        <v>1809</v>
      </c>
      <c r="J1291">
        <v>213.55879999999999</v>
      </c>
    </row>
    <row r="1292" spans="1:10" x14ac:dyDescent="0.3">
      <c r="A1292" t="s">
        <v>3099</v>
      </c>
      <c r="B1292" s="1">
        <v>45376</v>
      </c>
      <c r="C1292" t="s">
        <v>554</v>
      </c>
      <c r="D1292" t="s">
        <v>1713</v>
      </c>
      <c r="E1292" t="s">
        <v>1782</v>
      </c>
      <c r="F1292">
        <v>3</v>
      </c>
      <c r="G1292">
        <v>690.27</v>
      </c>
      <c r="H1292">
        <v>7.0000000000000007E-2</v>
      </c>
      <c r="I1292" t="s">
        <v>1809</v>
      </c>
      <c r="J1292">
        <v>1925.8533</v>
      </c>
    </row>
    <row r="1293" spans="1:10" x14ac:dyDescent="0.3">
      <c r="A1293" t="s">
        <v>3100</v>
      </c>
      <c r="B1293" s="1">
        <v>45709</v>
      </c>
      <c r="C1293" t="s">
        <v>376</v>
      </c>
      <c r="D1293" t="s">
        <v>1587</v>
      </c>
      <c r="E1293" t="s">
        <v>1790</v>
      </c>
      <c r="F1293">
        <v>4</v>
      </c>
      <c r="G1293">
        <v>377.18</v>
      </c>
      <c r="H1293">
        <v>0.24</v>
      </c>
      <c r="I1293" t="s">
        <v>1809</v>
      </c>
      <c r="J1293">
        <v>1146.6271999999999</v>
      </c>
    </row>
    <row r="1294" spans="1:10" x14ac:dyDescent="0.3">
      <c r="A1294" t="s">
        <v>3101</v>
      </c>
      <c r="B1294" s="1">
        <v>45446</v>
      </c>
      <c r="C1294" t="s">
        <v>388</v>
      </c>
      <c r="D1294" t="s">
        <v>1611</v>
      </c>
      <c r="E1294" t="s">
        <v>1735</v>
      </c>
      <c r="F1294">
        <v>1</v>
      </c>
      <c r="G1294">
        <v>70.52</v>
      </c>
      <c r="H1294">
        <v>0.08</v>
      </c>
      <c r="I1294" t="s">
        <v>1812</v>
      </c>
      <c r="J1294">
        <v>64.878399999999999</v>
      </c>
    </row>
    <row r="1295" spans="1:10" x14ac:dyDescent="0.3">
      <c r="A1295" t="s">
        <v>3102</v>
      </c>
      <c r="B1295" s="1">
        <v>45330</v>
      </c>
      <c r="C1295" t="s">
        <v>867</v>
      </c>
      <c r="D1295" t="s">
        <v>1607</v>
      </c>
      <c r="E1295" t="s">
        <v>1769</v>
      </c>
      <c r="F1295">
        <v>1</v>
      </c>
      <c r="G1295">
        <v>40.25</v>
      </c>
      <c r="H1295">
        <v>0.1</v>
      </c>
      <c r="I1295" t="s">
        <v>1809</v>
      </c>
      <c r="J1295">
        <v>36.225000000000001</v>
      </c>
    </row>
    <row r="1296" spans="1:10" x14ac:dyDescent="0.3">
      <c r="A1296" t="s">
        <v>3103</v>
      </c>
      <c r="B1296" s="1">
        <v>45388</v>
      </c>
      <c r="C1296" t="s">
        <v>740</v>
      </c>
      <c r="D1296" t="s">
        <v>1709</v>
      </c>
      <c r="E1296" t="s">
        <v>1775</v>
      </c>
      <c r="F1296">
        <v>3</v>
      </c>
      <c r="G1296">
        <v>539.44000000000005</v>
      </c>
      <c r="H1296">
        <v>0.05</v>
      </c>
      <c r="I1296" t="s">
        <v>1812</v>
      </c>
      <c r="J1296">
        <v>1537.404</v>
      </c>
    </row>
    <row r="1297" spans="1:10" x14ac:dyDescent="0.3">
      <c r="A1297" t="s">
        <v>3104</v>
      </c>
      <c r="B1297" s="1">
        <v>45313</v>
      </c>
      <c r="C1297" t="s">
        <v>785</v>
      </c>
      <c r="D1297" t="s">
        <v>1651</v>
      </c>
      <c r="E1297" t="s">
        <v>1752</v>
      </c>
      <c r="F1297">
        <v>3</v>
      </c>
      <c r="G1297">
        <v>543.49</v>
      </c>
      <c r="H1297">
        <v>0.05</v>
      </c>
      <c r="I1297" t="s">
        <v>1809</v>
      </c>
      <c r="J1297">
        <v>1548.9465</v>
      </c>
    </row>
    <row r="1298" spans="1:10" x14ac:dyDescent="0.3">
      <c r="A1298" t="s">
        <v>3105</v>
      </c>
      <c r="B1298" s="1">
        <v>45221</v>
      </c>
      <c r="C1298" t="s">
        <v>1010</v>
      </c>
      <c r="D1298" t="s">
        <v>1543</v>
      </c>
      <c r="E1298" t="s">
        <v>1759</v>
      </c>
      <c r="F1298">
        <v>4</v>
      </c>
      <c r="G1298">
        <v>547.21</v>
      </c>
      <c r="H1298">
        <v>0.1</v>
      </c>
      <c r="I1298" t="s">
        <v>1812</v>
      </c>
      <c r="J1298">
        <v>1969.9559999999999</v>
      </c>
    </row>
    <row r="1299" spans="1:10" x14ac:dyDescent="0.3">
      <c r="A1299" t="s">
        <v>3106</v>
      </c>
      <c r="B1299" s="1">
        <v>45619</v>
      </c>
      <c r="C1299" t="s">
        <v>767</v>
      </c>
      <c r="D1299" t="s">
        <v>1661</v>
      </c>
      <c r="E1299" t="s">
        <v>1740</v>
      </c>
      <c r="F1299">
        <v>2</v>
      </c>
      <c r="G1299">
        <v>892.46</v>
      </c>
      <c r="H1299">
        <v>7.0000000000000007E-2</v>
      </c>
      <c r="I1299" t="s">
        <v>1809</v>
      </c>
      <c r="J1299">
        <v>1659.9756</v>
      </c>
    </row>
    <row r="1300" spans="1:10" x14ac:dyDescent="0.3">
      <c r="A1300" t="s">
        <v>3107</v>
      </c>
      <c r="B1300" s="1">
        <v>45286</v>
      </c>
      <c r="C1300" t="s">
        <v>1195</v>
      </c>
      <c r="D1300" t="s">
        <v>1583</v>
      </c>
      <c r="E1300" t="s">
        <v>1765</v>
      </c>
      <c r="F1300">
        <v>2</v>
      </c>
      <c r="G1300">
        <v>853.41</v>
      </c>
      <c r="H1300">
        <v>0.25</v>
      </c>
      <c r="I1300" t="s">
        <v>1807</v>
      </c>
      <c r="J1300">
        <v>1280.115</v>
      </c>
    </row>
    <row r="1301" spans="1:10" x14ac:dyDescent="0.3">
      <c r="A1301" t="s">
        <v>3108</v>
      </c>
      <c r="B1301" s="1">
        <v>45451</v>
      </c>
      <c r="C1301" t="s">
        <v>382</v>
      </c>
      <c r="D1301" t="s">
        <v>1695</v>
      </c>
      <c r="E1301" t="s">
        <v>1762</v>
      </c>
      <c r="F1301">
        <v>1</v>
      </c>
      <c r="G1301">
        <v>162.13999999999999</v>
      </c>
      <c r="H1301">
        <v>7.0000000000000007E-2</v>
      </c>
      <c r="I1301" t="s">
        <v>1809</v>
      </c>
      <c r="J1301">
        <v>150.7902</v>
      </c>
    </row>
    <row r="1302" spans="1:10" x14ac:dyDescent="0.3">
      <c r="A1302" t="s">
        <v>3109</v>
      </c>
      <c r="B1302" s="1">
        <v>45478</v>
      </c>
      <c r="C1302" t="s">
        <v>491</v>
      </c>
      <c r="D1302" t="s">
        <v>1723</v>
      </c>
      <c r="E1302" t="s">
        <v>1787</v>
      </c>
      <c r="F1302">
        <v>1</v>
      </c>
      <c r="G1302">
        <v>893.14</v>
      </c>
      <c r="H1302">
        <v>0.09</v>
      </c>
      <c r="I1302" t="s">
        <v>1807</v>
      </c>
      <c r="J1302">
        <v>812.75739999999996</v>
      </c>
    </row>
    <row r="1303" spans="1:10" x14ac:dyDescent="0.3">
      <c r="A1303" t="s">
        <v>3110</v>
      </c>
      <c r="B1303" s="1">
        <v>45528</v>
      </c>
      <c r="C1303" t="s">
        <v>361</v>
      </c>
      <c r="D1303" t="s">
        <v>1599</v>
      </c>
      <c r="E1303" t="s">
        <v>1765</v>
      </c>
      <c r="F1303">
        <v>4</v>
      </c>
      <c r="G1303">
        <v>349.07</v>
      </c>
      <c r="H1303">
        <v>0.28000000000000003</v>
      </c>
      <c r="I1303" t="s">
        <v>1807</v>
      </c>
      <c r="J1303">
        <v>1005.3216</v>
      </c>
    </row>
    <row r="1304" spans="1:10" x14ac:dyDescent="0.3">
      <c r="A1304" t="s">
        <v>3111</v>
      </c>
      <c r="B1304" s="1">
        <v>45418</v>
      </c>
      <c r="C1304" t="s">
        <v>891</v>
      </c>
      <c r="D1304" t="s">
        <v>1693</v>
      </c>
      <c r="E1304" t="s">
        <v>1780</v>
      </c>
      <c r="F1304">
        <v>1</v>
      </c>
      <c r="G1304">
        <v>747.9</v>
      </c>
      <c r="H1304">
        <v>0.21</v>
      </c>
      <c r="I1304" t="s">
        <v>1812</v>
      </c>
      <c r="J1304">
        <v>590.84100000000001</v>
      </c>
    </row>
    <row r="1305" spans="1:10" x14ac:dyDescent="0.3">
      <c r="A1305" t="s">
        <v>3112</v>
      </c>
      <c r="B1305" s="1">
        <v>45478</v>
      </c>
      <c r="C1305" t="s">
        <v>127</v>
      </c>
      <c r="D1305" t="s">
        <v>1693</v>
      </c>
      <c r="E1305" t="s">
        <v>1759</v>
      </c>
      <c r="F1305">
        <v>3</v>
      </c>
      <c r="G1305">
        <v>438.92</v>
      </c>
      <c r="H1305">
        <v>0.21</v>
      </c>
      <c r="I1305" t="s">
        <v>1807</v>
      </c>
      <c r="J1305">
        <v>1040.2403999999999</v>
      </c>
    </row>
    <row r="1306" spans="1:10" x14ac:dyDescent="0.3">
      <c r="A1306" t="s">
        <v>3113</v>
      </c>
      <c r="B1306" s="1">
        <v>45232</v>
      </c>
      <c r="C1306" t="s">
        <v>420</v>
      </c>
      <c r="D1306" t="s">
        <v>1685</v>
      </c>
      <c r="E1306" t="s">
        <v>1752</v>
      </c>
      <c r="F1306">
        <v>4</v>
      </c>
      <c r="G1306">
        <v>665.38</v>
      </c>
      <c r="H1306">
        <v>0.18</v>
      </c>
      <c r="I1306" t="s">
        <v>1807</v>
      </c>
      <c r="J1306">
        <v>2182.4463999999998</v>
      </c>
    </row>
    <row r="1307" spans="1:10" x14ac:dyDescent="0.3">
      <c r="A1307" t="s">
        <v>3114</v>
      </c>
      <c r="B1307" s="1">
        <v>45616</v>
      </c>
      <c r="C1307" t="s">
        <v>23</v>
      </c>
      <c r="D1307" t="s">
        <v>1651</v>
      </c>
      <c r="E1307" t="s">
        <v>1793</v>
      </c>
      <c r="F1307">
        <v>1</v>
      </c>
      <c r="G1307">
        <v>146.49</v>
      </c>
      <c r="H1307">
        <v>0.28000000000000003</v>
      </c>
      <c r="I1307" t="s">
        <v>1807</v>
      </c>
      <c r="J1307">
        <v>105.47280000000001</v>
      </c>
    </row>
    <row r="1308" spans="1:10" x14ac:dyDescent="0.3">
      <c r="A1308" t="s">
        <v>3115</v>
      </c>
      <c r="B1308" s="1">
        <v>45774</v>
      </c>
      <c r="C1308" t="s">
        <v>467</v>
      </c>
      <c r="D1308" t="s">
        <v>1607</v>
      </c>
      <c r="E1308" t="s">
        <v>1784</v>
      </c>
      <c r="F1308">
        <v>2</v>
      </c>
      <c r="G1308">
        <v>235.39</v>
      </c>
      <c r="H1308">
        <v>0.27</v>
      </c>
      <c r="I1308" t="s">
        <v>1812</v>
      </c>
      <c r="J1308">
        <v>343.6694</v>
      </c>
    </row>
    <row r="1309" spans="1:10" x14ac:dyDescent="0.3">
      <c r="A1309" t="s">
        <v>3116</v>
      </c>
      <c r="B1309" s="1">
        <v>45651</v>
      </c>
      <c r="C1309" t="s">
        <v>118</v>
      </c>
      <c r="D1309" t="s">
        <v>1653</v>
      </c>
      <c r="E1309" t="s">
        <v>1756</v>
      </c>
      <c r="F1309">
        <v>3</v>
      </c>
      <c r="G1309">
        <v>38.07</v>
      </c>
      <c r="H1309">
        <v>0.09</v>
      </c>
      <c r="I1309" t="s">
        <v>1809</v>
      </c>
      <c r="J1309">
        <v>103.9311</v>
      </c>
    </row>
    <row r="1310" spans="1:10" x14ac:dyDescent="0.3">
      <c r="A1310" t="s">
        <v>3117</v>
      </c>
      <c r="B1310" s="1">
        <v>45902</v>
      </c>
      <c r="C1310" t="s">
        <v>1240</v>
      </c>
      <c r="D1310" t="s">
        <v>1599</v>
      </c>
      <c r="E1310" t="s">
        <v>1752</v>
      </c>
      <c r="F1310">
        <v>2</v>
      </c>
      <c r="G1310">
        <v>511.7</v>
      </c>
      <c r="H1310">
        <v>0.12</v>
      </c>
      <c r="I1310" t="s">
        <v>1812</v>
      </c>
      <c r="J1310">
        <v>900.59199999999998</v>
      </c>
    </row>
    <row r="1311" spans="1:10" x14ac:dyDescent="0.3">
      <c r="A1311" t="s">
        <v>3118</v>
      </c>
      <c r="B1311" s="1">
        <v>45401</v>
      </c>
      <c r="C1311" t="s">
        <v>327</v>
      </c>
      <c r="D1311" t="s">
        <v>1681</v>
      </c>
      <c r="E1311" t="s">
        <v>1765</v>
      </c>
      <c r="F1311">
        <v>4</v>
      </c>
      <c r="G1311">
        <v>488.72</v>
      </c>
      <c r="H1311">
        <v>0.23</v>
      </c>
      <c r="I1311" t="s">
        <v>1809</v>
      </c>
      <c r="J1311">
        <v>1505.2575999999999</v>
      </c>
    </row>
    <row r="1312" spans="1:10" x14ac:dyDescent="0.3">
      <c r="A1312" t="s">
        <v>3119</v>
      </c>
      <c r="B1312" s="1">
        <v>45717</v>
      </c>
      <c r="C1312" t="s">
        <v>1207</v>
      </c>
      <c r="D1312" t="s">
        <v>1631</v>
      </c>
      <c r="E1312" t="s">
        <v>1777</v>
      </c>
      <c r="F1312">
        <v>2</v>
      </c>
      <c r="G1312">
        <v>520.45000000000005</v>
      </c>
      <c r="H1312">
        <v>0.11</v>
      </c>
      <c r="I1312" t="s">
        <v>1812</v>
      </c>
      <c r="J1312">
        <v>926.40100000000007</v>
      </c>
    </row>
    <row r="1313" spans="1:10" x14ac:dyDescent="0.3">
      <c r="A1313" t="s">
        <v>3120</v>
      </c>
      <c r="B1313" s="1">
        <v>45376</v>
      </c>
      <c r="C1313" t="s">
        <v>1324</v>
      </c>
      <c r="D1313" t="s">
        <v>1627</v>
      </c>
      <c r="E1313" t="s">
        <v>1756</v>
      </c>
      <c r="F1313">
        <v>1</v>
      </c>
      <c r="G1313">
        <v>340.9</v>
      </c>
      <c r="H1313">
        <v>0.28999999999999998</v>
      </c>
      <c r="I1313" t="s">
        <v>1807</v>
      </c>
      <c r="J1313">
        <v>242.03899999999999</v>
      </c>
    </row>
    <row r="1314" spans="1:10" x14ac:dyDescent="0.3">
      <c r="A1314" t="s">
        <v>3121</v>
      </c>
      <c r="B1314" s="1">
        <v>45576</v>
      </c>
      <c r="C1314" t="s">
        <v>1075</v>
      </c>
      <c r="D1314" t="s">
        <v>1593</v>
      </c>
      <c r="E1314" t="s">
        <v>1765</v>
      </c>
      <c r="F1314">
        <v>3</v>
      </c>
      <c r="G1314">
        <v>653.59</v>
      </c>
      <c r="H1314">
        <v>0.17</v>
      </c>
      <c r="I1314" t="s">
        <v>1812</v>
      </c>
      <c r="J1314">
        <v>1627.4391000000001</v>
      </c>
    </row>
    <row r="1315" spans="1:10" x14ac:dyDescent="0.3">
      <c r="A1315" t="s">
        <v>3122</v>
      </c>
      <c r="B1315" s="1">
        <v>45906</v>
      </c>
      <c r="C1315" t="s">
        <v>93</v>
      </c>
      <c r="D1315" t="s">
        <v>1583</v>
      </c>
      <c r="E1315" t="s">
        <v>1793</v>
      </c>
      <c r="F1315">
        <v>1</v>
      </c>
      <c r="G1315">
        <v>179.77</v>
      </c>
      <c r="H1315">
        <v>0.23</v>
      </c>
      <c r="I1315" t="s">
        <v>1812</v>
      </c>
      <c r="J1315">
        <v>138.4229</v>
      </c>
    </row>
    <row r="1316" spans="1:10" x14ac:dyDescent="0.3">
      <c r="A1316" t="s">
        <v>3123</v>
      </c>
      <c r="B1316" s="1">
        <v>45523</v>
      </c>
      <c r="C1316" t="s">
        <v>44</v>
      </c>
      <c r="D1316" t="s">
        <v>1526</v>
      </c>
      <c r="E1316" t="s">
        <v>1769</v>
      </c>
      <c r="F1316">
        <v>2</v>
      </c>
      <c r="G1316">
        <v>943.8</v>
      </c>
      <c r="H1316">
        <v>0.06</v>
      </c>
      <c r="I1316" t="s">
        <v>1807</v>
      </c>
      <c r="J1316">
        <v>1774.3440000000001</v>
      </c>
    </row>
    <row r="1317" spans="1:10" x14ac:dyDescent="0.3">
      <c r="A1317" t="s">
        <v>3124</v>
      </c>
      <c r="B1317" s="1">
        <v>45234</v>
      </c>
      <c r="C1317" t="s">
        <v>1258</v>
      </c>
      <c r="D1317" t="s">
        <v>1673</v>
      </c>
      <c r="E1317" t="s">
        <v>1784</v>
      </c>
      <c r="F1317">
        <v>2</v>
      </c>
      <c r="G1317">
        <v>985</v>
      </c>
      <c r="H1317">
        <v>0.25</v>
      </c>
      <c r="I1317" t="s">
        <v>1807</v>
      </c>
      <c r="J1317">
        <v>1477.5</v>
      </c>
    </row>
    <row r="1318" spans="1:10" x14ac:dyDescent="0.3">
      <c r="A1318" t="s">
        <v>3125</v>
      </c>
      <c r="B1318" s="1">
        <v>45405</v>
      </c>
      <c r="C1318" t="s">
        <v>1475</v>
      </c>
      <c r="D1318" t="s">
        <v>1707</v>
      </c>
      <c r="E1318" t="s">
        <v>1772</v>
      </c>
      <c r="F1318">
        <v>4</v>
      </c>
      <c r="G1318">
        <v>216.81</v>
      </c>
      <c r="H1318">
        <v>0.28999999999999998</v>
      </c>
      <c r="I1318" t="s">
        <v>1807</v>
      </c>
      <c r="J1318">
        <v>615.74040000000002</v>
      </c>
    </row>
    <row r="1319" spans="1:10" x14ac:dyDescent="0.3">
      <c r="A1319" t="s">
        <v>3126</v>
      </c>
      <c r="B1319" s="1">
        <v>45223</v>
      </c>
      <c r="C1319" t="s">
        <v>403</v>
      </c>
      <c r="D1319" t="s">
        <v>1659</v>
      </c>
      <c r="E1319" t="s">
        <v>1744</v>
      </c>
      <c r="F1319">
        <v>4</v>
      </c>
      <c r="G1319">
        <v>950.21</v>
      </c>
      <c r="H1319">
        <v>0.27</v>
      </c>
      <c r="I1319" t="s">
        <v>1812</v>
      </c>
      <c r="J1319">
        <v>2774.6131999999998</v>
      </c>
    </row>
    <row r="1320" spans="1:10" x14ac:dyDescent="0.3">
      <c r="A1320" t="s">
        <v>3127</v>
      </c>
      <c r="B1320" s="1">
        <v>45838</v>
      </c>
      <c r="C1320" t="s">
        <v>811</v>
      </c>
      <c r="D1320" t="s">
        <v>1627</v>
      </c>
      <c r="E1320" t="s">
        <v>1762</v>
      </c>
      <c r="F1320">
        <v>2</v>
      </c>
      <c r="G1320">
        <v>271.39999999999998</v>
      </c>
      <c r="H1320">
        <v>0.17</v>
      </c>
      <c r="I1320" t="s">
        <v>1809</v>
      </c>
      <c r="J1320">
        <v>450.52399999999989</v>
      </c>
    </row>
    <row r="1321" spans="1:10" x14ac:dyDescent="0.3">
      <c r="A1321" t="s">
        <v>3128</v>
      </c>
      <c r="B1321" s="1">
        <v>45883</v>
      </c>
      <c r="C1321" t="s">
        <v>554</v>
      </c>
      <c r="D1321" t="s">
        <v>1609</v>
      </c>
      <c r="E1321" t="s">
        <v>1765</v>
      </c>
      <c r="F1321">
        <v>4</v>
      </c>
      <c r="G1321">
        <v>708.19</v>
      </c>
      <c r="H1321">
        <v>0.1</v>
      </c>
      <c r="I1321" t="s">
        <v>1809</v>
      </c>
      <c r="J1321">
        <v>2549.4839999999999</v>
      </c>
    </row>
    <row r="1322" spans="1:10" x14ac:dyDescent="0.3">
      <c r="A1322" t="s">
        <v>3129</v>
      </c>
      <c r="B1322" s="1">
        <v>45788</v>
      </c>
      <c r="C1322" t="s">
        <v>1358</v>
      </c>
      <c r="D1322" t="s">
        <v>1639</v>
      </c>
      <c r="E1322" t="s">
        <v>1749</v>
      </c>
      <c r="F1322">
        <v>3</v>
      </c>
      <c r="G1322">
        <v>477.05</v>
      </c>
      <c r="H1322">
        <v>0.05</v>
      </c>
      <c r="I1322" t="s">
        <v>1809</v>
      </c>
      <c r="J1322">
        <v>1359.5925</v>
      </c>
    </row>
    <row r="1323" spans="1:10" x14ac:dyDescent="0.3">
      <c r="A1323" t="s">
        <v>3130</v>
      </c>
      <c r="B1323" s="1">
        <v>45383</v>
      </c>
      <c r="C1323" t="s">
        <v>959</v>
      </c>
      <c r="D1323" t="s">
        <v>1679</v>
      </c>
      <c r="E1323" t="s">
        <v>1769</v>
      </c>
      <c r="F1323">
        <v>3</v>
      </c>
      <c r="G1323">
        <v>627.29</v>
      </c>
      <c r="H1323">
        <v>0.27</v>
      </c>
      <c r="I1323" t="s">
        <v>1812</v>
      </c>
      <c r="J1323">
        <v>1373.7651000000001</v>
      </c>
    </row>
    <row r="1324" spans="1:10" x14ac:dyDescent="0.3">
      <c r="A1324" t="s">
        <v>3131</v>
      </c>
      <c r="B1324" s="1">
        <v>45335</v>
      </c>
      <c r="C1324" t="s">
        <v>951</v>
      </c>
      <c r="D1324" t="s">
        <v>1719</v>
      </c>
      <c r="E1324" t="s">
        <v>1775</v>
      </c>
      <c r="F1324">
        <v>3</v>
      </c>
      <c r="G1324">
        <v>206.84</v>
      </c>
      <c r="H1324">
        <v>0.19</v>
      </c>
      <c r="I1324" t="s">
        <v>1809</v>
      </c>
      <c r="J1324">
        <v>502.62119999999999</v>
      </c>
    </row>
    <row r="1325" spans="1:10" x14ac:dyDescent="0.3">
      <c r="A1325" t="s">
        <v>3132</v>
      </c>
      <c r="B1325" s="1">
        <v>45304</v>
      </c>
      <c r="C1325" t="s">
        <v>797</v>
      </c>
      <c r="D1325" t="s">
        <v>1591</v>
      </c>
      <c r="E1325" t="s">
        <v>1740</v>
      </c>
      <c r="F1325">
        <v>4</v>
      </c>
      <c r="G1325">
        <v>629.04999999999995</v>
      </c>
      <c r="H1325">
        <v>0.26</v>
      </c>
      <c r="I1325" t="s">
        <v>1807</v>
      </c>
      <c r="J1325">
        <v>1861.9880000000001</v>
      </c>
    </row>
    <row r="1326" spans="1:10" x14ac:dyDescent="0.3">
      <c r="A1326" t="s">
        <v>3133</v>
      </c>
      <c r="B1326" s="1">
        <v>45543</v>
      </c>
      <c r="C1326" t="s">
        <v>1341</v>
      </c>
      <c r="D1326" t="s">
        <v>1679</v>
      </c>
      <c r="E1326" t="s">
        <v>1790</v>
      </c>
      <c r="F1326">
        <v>4</v>
      </c>
      <c r="G1326">
        <v>529.04</v>
      </c>
      <c r="H1326">
        <v>0.1</v>
      </c>
      <c r="I1326" t="s">
        <v>1809</v>
      </c>
      <c r="J1326">
        <v>1904.5440000000001</v>
      </c>
    </row>
    <row r="1327" spans="1:10" x14ac:dyDescent="0.3">
      <c r="A1327" t="s">
        <v>3134</v>
      </c>
      <c r="B1327" s="1">
        <v>45326</v>
      </c>
      <c r="C1327" t="s">
        <v>1083</v>
      </c>
      <c r="D1327" t="s">
        <v>1591</v>
      </c>
      <c r="E1327" t="s">
        <v>1790</v>
      </c>
      <c r="F1327">
        <v>1</v>
      </c>
      <c r="G1327">
        <v>350.67</v>
      </c>
      <c r="H1327">
        <v>0.22</v>
      </c>
      <c r="I1327" t="s">
        <v>1809</v>
      </c>
      <c r="J1327">
        <v>273.52260000000001</v>
      </c>
    </row>
    <row r="1328" spans="1:10" x14ac:dyDescent="0.3">
      <c r="A1328" t="s">
        <v>3135</v>
      </c>
      <c r="B1328" s="1">
        <v>45498</v>
      </c>
      <c r="C1328" t="s">
        <v>1147</v>
      </c>
      <c r="D1328" t="s">
        <v>1721</v>
      </c>
      <c r="E1328" t="s">
        <v>1740</v>
      </c>
      <c r="F1328">
        <v>1</v>
      </c>
      <c r="G1328">
        <v>128.93</v>
      </c>
      <c r="H1328">
        <v>0.26</v>
      </c>
      <c r="I1328" t="s">
        <v>1807</v>
      </c>
      <c r="J1328">
        <v>95.408200000000008</v>
      </c>
    </row>
    <row r="1329" spans="1:10" x14ac:dyDescent="0.3">
      <c r="A1329" t="s">
        <v>3136</v>
      </c>
      <c r="B1329" s="1">
        <v>45544</v>
      </c>
      <c r="C1329" t="s">
        <v>485</v>
      </c>
      <c r="D1329" t="s">
        <v>1703</v>
      </c>
      <c r="E1329" t="s">
        <v>1784</v>
      </c>
      <c r="F1329">
        <v>2</v>
      </c>
      <c r="G1329">
        <v>384.92</v>
      </c>
      <c r="H1329">
        <v>0.09</v>
      </c>
      <c r="I1329" t="s">
        <v>1807</v>
      </c>
      <c r="J1329">
        <v>700.5544000000001</v>
      </c>
    </row>
    <row r="1330" spans="1:10" x14ac:dyDescent="0.3">
      <c r="A1330" t="s">
        <v>3137</v>
      </c>
      <c r="B1330" s="1">
        <v>45268</v>
      </c>
      <c r="C1330" t="s">
        <v>1039</v>
      </c>
      <c r="D1330" t="s">
        <v>1538</v>
      </c>
      <c r="E1330" t="s">
        <v>1765</v>
      </c>
      <c r="F1330">
        <v>3</v>
      </c>
      <c r="G1330">
        <v>120.77</v>
      </c>
      <c r="H1330">
        <v>0.28999999999999998</v>
      </c>
      <c r="I1330" t="s">
        <v>1809</v>
      </c>
      <c r="J1330">
        <v>257.24009999999998</v>
      </c>
    </row>
    <row r="1331" spans="1:10" x14ac:dyDescent="0.3">
      <c r="A1331" t="s">
        <v>3138</v>
      </c>
      <c r="B1331" s="1">
        <v>45824</v>
      </c>
      <c r="C1331" t="s">
        <v>713</v>
      </c>
      <c r="D1331" t="s">
        <v>1683</v>
      </c>
      <c r="E1331" t="s">
        <v>1790</v>
      </c>
      <c r="F1331">
        <v>4</v>
      </c>
      <c r="G1331">
        <v>661.39</v>
      </c>
      <c r="H1331">
        <v>7.0000000000000007E-2</v>
      </c>
      <c r="I1331" t="s">
        <v>1807</v>
      </c>
      <c r="J1331">
        <v>2460.3708000000001</v>
      </c>
    </row>
    <row r="1332" spans="1:10" x14ac:dyDescent="0.3">
      <c r="A1332" t="s">
        <v>3139</v>
      </c>
      <c r="B1332" s="1">
        <v>45261</v>
      </c>
      <c r="C1332" t="s">
        <v>1373</v>
      </c>
      <c r="D1332" t="s">
        <v>1655</v>
      </c>
      <c r="E1332" t="s">
        <v>1744</v>
      </c>
      <c r="F1332">
        <v>1</v>
      </c>
      <c r="G1332">
        <v>195.24</v>
      </c>
      <c r="H1332">
        <v>0.27</v>
      </c>
      <c r="I1332" t="s">
        <v>1809</v>
      </c>
      <c r="J1332">
        <v>142.52520000000001</v>
      </c>
    </row>
    <row r="1333" spans="1:10" x14ac:dyDescent="0.3">
      <c r="A1333" t="s">
        <v>3140</v>
      </c>
      <c r="B1333" s="1">
        <v>45233</v>
      </c>
      <c r="C1333" t="s">
        <v>27</v>
      </c>
      <c r="D1333" t="s">
        <v>1715</v>
      </c>
      <c r="E1333" t="s">
        <v>1793</v>
      </c>
      <c r="F1333">
        <v>2</v>
      </c>
      <c r="G1333">
        <v>177.4</v>
      </c>
      <c r="H1333">
        <v>0.19</v>
      </c>
      <c r="I1333" t="s">
        <v>1809</v>
      </c>
      <c r="J1333">
        <v>287.38799999999998</v>
      </c>
    </row>
    <row r="1334" spans="1:10" x14ac:dyDescent="0.3">
      <c r="A1334" t="s">
        <v>3141</v>
      </c>
      <c r="B1334" s="1">
        <v>45673</v>
      </c>
      <c r="C1334" t="s">
        <v>211</v>
      </c>
      <c r="D1334" t="s">
        <v>1727</v>
      </c>
      <c r="E1334" t="s">
        <v>1775</v>
      </c>
      <c r="F1334">
        <v>4</v>
      </c>
      <c r="G1334">
        <v>862.67</v>
      </c>
      <c r="H1334">
        <v>0.2</v>
      </c>
      <c r="I1334" t="s">
        <v>1809</v>
      </c>
      <c r="J1334">
        <v>2760.5439999999999</v>
      </c>
    </row>
    <row r="1335" spans="1:10" x14ac:dyDescent="0.3">
      <c r="A1335" t="s">
        <v>3142</v>
      </c>
      <c r="B1335" s="1">
        <v>45565</v>
      </c>
      <c r="C1335" t="s">
        <v>1358</v>
      </c>
      <c r="D1335" t="s">
        <v>1565</v>
      </c>
      <c r="E1335" t="s">
        <v>1759</v>
      </c>
      <c r="F1335">
        <v>1</v>
      </c>
      <c r="G1335">
        <v>55.04</v>
      </c>
      <c r="H1335">
        <v>0.01</v>
      </c>
      <c r="I1335" t="s">
        <v>1812</v>
      </c>
      <c r="J1335">
        <v>54.489600000000003</v>
      </c>
    </row>
    <row r="1336" spans="1:10" x14ac:dyDescent="0.3">
      <c r="A1336" t="s">
        <v>3143</v>
      </c>
      <c r="B1336" s="1">
        <v>45646</v>
      </c>
      <c r="C1336" t="s">
        <v>185</v>
      </c>
      <c r="D1336" t="s">
        <v>1621</v>
      </c>
      <c r="E1336" t="s">
        <v>1735</v>
      </c>
      <c r="F1336">
        <v>2</v>
      </c>
      <c r="G1336">
        <v>905.47</v>
      </c>
      <c r="H1336">
        <v>0.2</v>
      </c>
      <c r="I1336" t="s">
        <v>1812</v>
      </c>
      <c r="J1336">
        <v>1448.752</v>
      </c>
    </row>
    <row r="1337" spans="1:10" x14ac:dyDescent="0.3">
      <c r="A1337" t="s">
        <v>3144</v>
      </c>
      <c r="B1337" s="1">
        <v>45539</v>
      </c>
      <c r="C1337" t="s">
        <v>1406</v>
      </c>
      <c r="D1337" t="s">
        <v>1657</v>
      </c>
      <c r="E1337" t="s">
        <v>1780</v>
      </c>
      <c r="F1337">
        <v>3</v>
      </c>
      <c r="G1337">
        <v>217.13</v>
      </c>
      <c r="H1337">
        <v>0.28000000000000003</v>
      </c>
      <c r="I1337" t="s">
        <v>1807</v>
      </c>
      <c r="J1337">
        <v>469.00080000000003</v>
      </c>
    </row>
    <row r="1338" spans="1:10" x14ac:dyDescent="0.3">
      <c r="A1338" t="s">
        <v>3145</v>
      </c>
      <c r="B1338" s="1">
        <v>45936</v>
      </c>
      <c r="C1338" t="s">
        <v>1201</v>
      </c>
      <c r="D1338" t="s">
        <v>1681</v>
      </c>
      <c r="E1338" t="s">
        <v>1735</v>
      </c>
      <c r="F1338">
        <v>3</v>
      </c>
      <c r="G1338">
        <v>580.45000000000005</v>
      </c>
      <c r="H1338">
        <v>0</v>
      </c>
      <c r="I1338" t="s">
        <v>1809</v>
      </c>
      <c r="J1338">
        <v>1741.35</v>
      </c>
    </row>
    <row r="1339" spans="1:10" x14ac:dyDescent="0.3">
      <c r="A1339" t="s">
        <v>3146</v>
      </c>
      <c r="B1339" s="1">
        <v>45854</v>
      </c>
      <c r="C1339" t="s">
        <v>361</v>
      </c>
      <c r="D1339" t="s">
        <v>1536</v>
      </c>
      <c r="E1339" t="s">
        <v>1790</v>
      </c>
      <c r="F1339">
        <v>2</v>
      </c>
      <c r="G1339">
        <v>892.88</v>
      </c>
      <c r="H1339">
        <v>0.17</v>
      </c>
      <c r="I1339" t="s">
        <v>1809</v>
      </c>
      <c r="J1339">
        <v>1482.1808000000001</v>
      </c>
    </row>
    <row r="1340" spans="1:10" x14ac:dyDescent="0.3">
      <c r="A1340" t="s">
        <v>3147</v>
      </c>
      <c r="B1340" s="1">
        <v>45936</v>
      </c>
      <c r="C1340" t="s">
        <v>324</v>
      </c>
      <c r="D1340" t="s">
        <v>1611</v>
      </c>
      <c r="E1340" t="s">
        <v>1793</v>
      </c>
      <c r="F1340">
        <v>2</v>
      </c>
      <c r="G1340">
        <v>356.28</v>
      </c>
      <c r="H1340">
        <v>0.11</v>
      </c>
      <c r="I1340" t="s">
        <v>1812</v>
      </c>
      <c r="J1340">
        <v>634.17840000000001</v>
      </c>
    </row>
    <row r="1341" spans="1:10" x14ac:dyDescent="0.3">
      <c r="A1341" t="s">
        <v>3148</v>
      </c>
      <c r="B1341" s="1">
        <v>45921</v>
      </c>
      <c r="C1341" t="s">
        <v>1186</v>
      </c>
      <c r="D1341" t="s">
        <v>1691</v>
      </c>
      <c r="E1341" t="s">
        <v>1744</v>
      </c>
      <c r="F1341">
        <v>4</v>
      </c>
      <c r="G1341">
        <v>806.99</v>
      </c>
      <c r="H1341">
        <v>0.06</v>
      </c>
      <c r="I1341" t="s">
        <v>1807</v>
      </c>
      <c r="J1341">
        <v>3034.2824000000001</v>
      </c>
    </row>
    <row r="1342" spans="1:10" x14ac:dyDescent="0.3">
      <c r="A1342" t="s">
        <v>3149</v>
      </c>
      <c r="B1342" s="1">
        <v>45855</v>
      </c>
      <c r="C1342" t="s">
        <v>1344</v>
      </c>
      <c r="D1342" t="s">
        <v>1571</v>
      </c>
      <c r="E1342" t="s">
        <v>1740</v>
      </c>
      <c r="F1342">
        <v>3</v>
      </c>
      <c r="G1342">
        <v>684.22</v>
      </c>
      <c r="H1342">
        <v>0.09</v>
      </c>
      <c r="I1342" t="s">
        <v>1807</v>
      </c>
      <c r="J1342">
        <v>1867.9205999999999</v>
      </c>
    </row>
    <row r="1343" spans="1:10" x14ac:dyDescent="0.3">
      <c r="A1343" t="s">
        <v>3150</v>
      </c>
      <c r="B1343" s="1">
        <v>45837</v>
      </c>
      <c r="C1343" t="s">
        <v>1355</v>
      </c>
      <c r="D1343" t="s">
        <v>1717</v>
      </c>
      <c r="E1343" t="s">
        <v>1762</v>
      </c>
      <c r="F1343">
        <v>4</v>
      </c>
      <c r="G1343">
        <v>763.34</v>
      </c>
      <c r="H1343">
        <v>7.0000000000000007E-2</v>
      </c>
      <c r="I1343" t="s">
        <v>1809</v>
      </c>
      <c r="J1343">
        <v>2839.6248000000001</v>
      </c>
    </row>
    <row r="1344" spans="1:10" x14ac:dyDescent="0.3">
      <c r="A1344" t="s">
        <v>3151</v>
      </c>
      <c r="B1344" s="1">
        <v>45738</v>
      </c>
      <c r="C1344" t="s">
        <v>1118</v>
      </c>
      <c r="D1344" t="s">
        <v>1631</v>
      </c>
      <c r="E1344" t="s">
        <v>1749</v>
      </c>
      <c r="F1344">
        <v>3</v>
      </c>
      <c r="G1344">
        <v>721.94</v>
      </c>
      <c r="H1344">
        <v>0.26</v>
      </c>
      <c r="I1344" t="s">
        <v>1807</v>
      </c>
      <c r="J1344">
        <v>1602.7067999999999</v>
      </c>
    </row>
    <row r="1345" spans="1:10" x14ac:dyDescent="0.3">
      <c r="A1345" t="s">
        <v>3152</v>
      </c>
      <c r="B1345" s="1">
        <v>45323</v>
      </c>
      <c r="C1345" t="s">
        <v>1249</v>
      </c>
      <c r="D1345" t="s">
        <v>1725</v>
      </c>
      <c r="E1345" t="s">
        <v>1740</v>
      </c>
      <c r="F1345">
        <v>3</v>
      </c>
      <c r="G1345">
        <v>760.38</v>
      </c>
      <c r="H1345">
        <v>0</v>
      </c>
      <c r="I1345" t="s">
        <v>1812</v>
      </c>
      <c r="J1345">
        <v>2281.14</v>
      </c>
    </row>
    <row r="1346" spans="1:10" x14ac:dyDescent="0.3">
      <c r="A1346" t="s">
        <v>3153</v>
      </c>
      <c r="B1346" s="1">
        <v>45362</v>
      </c>
      <c r="C1346" t="s">
        <v>933</v>
      </c>
      <c r="D1346" t="s">
        <v>1725</v>
      </c>
      <c r="E1346" t="s">
        <v>1759</v>
      </c>
      <c r="F1346">
        <v>3</v>
      </c>
      <c r="G1346">
        <v>612.53</v>
      </c>
      <c r="H1346">
        <v>0.21</v>
      </c>
      <c r="I1346" t="s">
        <v>1812</v>
      </c>
      <c r="J1346">
        <v>1451.6960999999999</v>
      </c>
    </row>
    <row r="1347" spans="1:10" x14ac:dyDescent="0.3">
      <c r="A1347" t="s">
        <v>3154</v>
      </c>
      <c r="B1347" s="1">
        <v>45544</v>
      </c>
      <c r="C1347" t="s">
        <v>159</v>
      </c>
      <c r="D1347" t="s">
        <v>1657</v>
      </c>
      <c r="E1347" t="s">
        <v>1787</v>
      </c>
      <c r="F1347">
        <v>3</v>
      </c>
      <c r="G1347">
        <v>841.37</v>
      </c>
      <c r="H1347">
        <v>0.28999999999999998</v>
      </c>
      <c r="I1347" t="s">
        <v>1809</v>
      </c>
      <c r="J1347">
        <v>1792.1180999999999</v>
      </c>
    </row>
    <row r="1348" spans="1:10" x14ac:dyDescent="0.3">
      <c r="A1348" t="s">
        <v>3155</v>
      </c>
      <c r="B1348" s="1">
        <v>45249</v>
      </c>
      <c r="C1348" t="s">
        <v>826</v>
      </c>
      <c r="D1348" t="s">
        <v>1627</v>
      </c>
      <c r="E1348" t="s">
        <v>1769</v>
      </c>
      <c r="F1348">
        <v>2</v>
      </c>
      <c r="G1348">
        <v>636.51</v>
      </c>
      <c r="H1348">
        <v>0.25</v>
      </c>
      <c r="I1348" t="s">
        <v>1807</v>
      </c>
      <c r="J1348">
        <v>954.76499999999999</v>
      </c>
    </row>
    <row r="1349" spans="1:10" x14ac:dyDescent="0.3">
      <c r="A1349" t="s">
        <v>3156</v>
      </c>
      <c r="B1349" s="1">
        <v>45659</v>
      </c>
      <c r="C1349" t="s">
        <v>324</v>
      </c>
      <c r="D1349" t="s">
        <v>1621</v>
      </c>
      <c r="E1349" t="s">
        <v>1765</v>
      </c>
      <c r="F1349">
        <v>2</v>
      </c>
      <c r="G1349">
        <v>732.37</v>
      </c>
      <c r="H1349">
        <v>0.22</v>
      </c>
      <c r="I1349" t="s">
        <v>1812</v>
      </c>
      <c r="J1349">
        <v>1142.4972</v>
      </c>
    </row>
    <row r="1350" spans="1:10" x14ac:dyDescent="0.3">
      <c r="A1350" t="s">
        <v>3157</v>
      </c>
      <c r="B1350" s="1">
        <v>45927</v>
      </c>
      <c r="C1350" t="s">
        <v>542</v>
      </c>
      <c r="D1350" t="s">
        <v>1639</v>
      </c>
      <c r="E1350" t="s">
        <v>1787</v>
      </c>
      <c r="F1350">
        <v>3</v>
      </c>
      <c r="G1350">
        <v>183.44</v>
      </c>
      <c r="H1350">
        <v>0.28000000000000003</v>
      </c>
      <c r="I1350" t="s">
        <v>1812</v>
      </c>
      <c r="J1350">
        <v>396.23039999999992</v>
      </c>
    </row>
    <row r="1351" spans="1:10" x14ac:dyDescent="0.3">
      <c r="A1351" t="s">
        <v>3158</v>
      </c>
      <c r="B1351" s="1">
        <v>45373</v>
      </c>
      <c r="C1351" t="s">
        <v>238</v>
      </c>
      <c r="D1351" t="s">
        <v>1553</v>
      </c>
      <c r="E1351" t="s">
        <v>1780</v>
      </c>
      <c r="F1351">
        <v>4</v>
      </c>
      <c r="G1351">
        <v>898.58</v>
      </c>
      <c r="H1351">
        <v>0.16</v>
      </c>
      <c r="I1351" t="s">
        <v>1809</v>
      </c>
      <c r="J1351">
        <v>3019.2287999999999</v>
      </c>
    </row>
    <row r="1352" spans="1:10" x14ac:dyDescent="0.3">
      <c r="A1352" t="s">
        <v>3159</v>
      </c>
      <c r="B1352" s="1">
        <v>45529</v>
      </c>
      <c r="C1352" t="s">
        <v>1204</v>
      </c>
      <c r="D1352" t="s">
        <v>1577</v>
      </c>
      <c r="E1352" t="s">
        <v>1744</v>
      </c>
      <c r="F1352">
        <v>3</v>
      </c>
      <c r="G1352">
        <v>152.41</v>
      </c>
      <c r="H1352">
        <v>0.25</v>
      </c>
      <c r="I1352" t="s">
        <v>1807</v>
      </c>
      <c r="J1352">
        <v>342.92250000000001</v>
      </c>
    </row>
    <row r="1353" spans="1:10" x14ac:dyDescent="0.3">
      <c r="A1353" t="s">
        <v>3160</v>
      </c>
      <c r="B1353" s="1">
        <v>45872</v>
      </c>
      <c r="C1353" t="s">
        <v>716</v>
      </c>
      <c r="D1353" t="s">
        <v>1715</v>
      </c>
      <c r="E1353" t="s">
        <v>1782</v>
      </c>
      <c r="F1353">
        <v>3</v>
      </c>
      <c r="G1353">
        <v>972.58</v>
      </c>
      <c r="H1353">
        <v>0.28000000000000003</v>
      </c>
      <c r="I1353" t="s">
        <v>1812</v>
      </c>
      <c r="J1353">
        <v>2100.7728000000002</v>
      </c>
    </row>
    <row r="1354" spans="1:10" x14ac:dyDescent="0.3">
      <c r="A1354" t="s">
        <v>3161</v>
      </c>
      <c r="B1354" s="1">
        <v>45267</v>
      </c>
      <c r="C1354" t="s">
        <v>1421</v>
      </c>
      <c r="D1354" t="s">
        <v>1669</v>
      </c>
      <c r="E1354" t="s">
        <v>1775</v>
      </c>
      <c r="F1354">
        <v>4</v>
      </c>
      <c r="G1354">
        <v>136.4</v>
      </c>
      <c r="H1354">
        <v>0.04</v>
      </c>
      <c r="I1354" t="s">
        <v>1812</v>
      </c>
      <c r="J1354">
        <v>523.77599999999995</v>
      </c>
    </row>
    <row r="1355" spans="1:10" x14ac:dyDescent="0.3">
      <c r="A1355" t="s">
        <v>3162</v>
      </c>
      <c r="B1355" s="1">
        <v>45894</v>
      </c>
      <c r="C1355" t="s">
        <v>1232</v>
      </c>
      <c r="D1355" t="s">
        <v>1719</v>
      </c>
      <c r="E1355" t="s">
        <v>1784</v>
      </c>
      <c r="F1355">
        <v>1</v>
      </c>
      <c r="G1355">
        <v>509.63</v>
      </c>
      <c r="H1355">
        <v>0.27</v>
      </c>
      <c r="I1355" t="s">
        <v>1812</v>
      </c>
      <c r="J1355">
        <v>372.0299</v>
      </c>
    </row>
    <row r="1356" spans="1:10" x14ac:dyDescent="0.3">
      <c r="A1356" t="s">
        <v>3163</v>
      </c>
      <c r="B1356" s="1">
        <v>45331</v>
      </c>
      <c r="C1356" t="s">
        <v>23</v>
      </c>
      <c r="D1356" t="s">
        <v>1725</v>
      </c>
      <c r="E1356" t="s">
        <v>1749</v>
      </c>
      <c r="F1356">
        <v>4</v>
      </c>
      <c r="G1356">
        <v>360.28</v>
      </c>
      <c r="H1356">
        <v>0.09</v>
      </c>
      <c r="I1356" t="s">
        <v>1812</v>
      </c>
      <c r="J1356">
        <v>1311.4192</v>
      </c>
    </row>
    <row r="1357" spans="1:10" x14ac:dyDescent="0.3">
      <c r="A1357" t="s">
        <v>3164</v>
      </c>
      <c r="B1357" s="1">
        <v>45910</v>
      </c>
      <c r="C1357" t="s">
        <v>289</v>
      </c>
      <c r="D1357" t="s">
        <v>1709</v>
      </c>
      <c r="E1357" t="s">
        <v>1784</v>
      </c>
      <c r="F1357">
        <v>3</v>
      </c>
      <c r="G1357">
        <v>882.05</v>
      </c>
      <c r="H1357">
        <v>0.06</v>
      </c>
      <c r="I1357" t="s">
        <v>1809</v>
      </c>
      <c r="J1357">
        <v>2487.3809999999989</v>
      </c>
    </row>
    <row r="1358" spans="1:10" x14ac:dyDescent="0.3">
      <c r="A1358" t="s">
        <v>3165</v>
      </c>
      <c r="B1358" s="1">
        <v>45564</v>
      </c>
      <c r="C1358" t="s">
        <v>634</v>
      </c>
      <c r="D1358" t="s">
        <v>1689</v>
      </c>
      <c r="E1358" t="s">
        <v>1765</v>
      </c>
      <c r="F1358">
        <v>3</v>
      </c>
      <c r="G1358">
        <v>141.54</v>
      </c>
      <c r="H1358">
        <v>0.12</v>
      </c>
      <c r="I1358" t="s">
        <v>1809</v>
      </c>
      <c r="J1358">
        <v>373.66559999999998</v>
      </c>
    </row>
    <row r="1359" spans="1:10" x14ac:dyDescent="0.3">
      <c r="A1359" t="s">
        <v>3166</v>
      </c>
      <c r="B1359" s="1">
        <v>45461</v>
      </c>
      <c r="C1359" t="s">
        <v>167</v>
      </c>
      <c r="D1359" t="s">
        <v>1561</v>
      </c>
      <c r="E1359" t="s">
        <v>1752</v>
      </c>
      <c r="F1359">
        <v>3</v>
      </c>
      <c r="G1359">
        <v>83.5</v>
      </c>
      <c r="H1359">
        <v>0.23</v>
      </c>
      <c r="I1359" t="s">
        <v>1812</v>
      </c>
      <c r="J1359">
        <v>192.88499999999999</v>
      </c>
    </row>
    <row r="1360" spans="1:10" x14ac:dyDescent="0.3">
      <c r="A1360" t="s">
        <v>3167</v>
      </c>
      <c r="B1360" s="1">
        <v>45258</v>
      </c>
      <c r="C1360" t="s">
        <v>420</v>
      </c>
      <c r="D1360" t="s">
        <v>1559</v>
      </c>
      <c r="E1360" t="s">
        <v>1759</v>
      </c>
      <c r="F1360">
        <v>2</v>
      </c>
      <c r="G1360">
        <v>629.73</v>
      </c>
      <c r="H1360">
        <v>7.0000000000000007E-2</v>
      </c>
      <c r="I1360" t="s">
        <v>1809</v>
      </c>
      <c r="J1360">
        <v>1171.2978000000001</v>
      </c>
    </row>
    <row r="1361" spans="1:10" x14ac:dyDescent="0.3">
      <c r="A1361" t="s">
        <v>3168</v>
      </c>
      <c r="B1361" s="1">
        <v>45228</v>
      </c>
      <c r="C1361" t="s">
        <v>59</v>
      </c>
      <c r="D1361" t="s">
        <v>1597</v>
      </c>
      <c r="E1361" t="s">
        <v>1759</v>
      </c>
      <c r="F1361">
        <v>2</v>
      </c>
      <c r="G1361">
        <v>159.93</v>
      </c>
      <c r="H1361">
        <v>0.2</v>
      </c>
      <c r="I1361" t="s">
        <v>1812</v>
      </c>
      <c r="J1361">
        <v>255.88800000000001</v>
      </c>
    </row>
    <row r="1362" spans="1:10" x14ac:dyDescent="0.3">
      <c r="A1362" t="s">
        <v>3169</v>
      </c>
      <c r="B1362" s="1">
        <v>45858</v>
      </c>
      <c r="C1362" t="s">
        <v>59</v>
      </c>
      <c r="D1362" t="s">
        <v>1621</v>
      </c>
      <c r="E1362" t="s">
        <v>1793</v>
      </c>
      <c r="F1362">
        <v>1</v>
      </c>
      <c r="G1362">
        <v>459.89</v>
      </c>
      <c r="H1362">
        <v>0.18</v>
      </c>
      <c r="I1362" t="s">
        <v>1812</v>
      </c>
      <c r="J1362">
        <v>377.10980000000001</v>
      </c>
    </row>
    <row r="1363" spans="1:10" x14ac:dyDescent="0.3">
      <c r="A1363" t="s">
        <v>3170</v>
      </c>
      <c r="B1363" s="1">
        <v>45532</v>
      </c>
      <c r="C1363" t="s">
        <v>613</v>
      </c>
      <c r="D1363" t="s">
        <v>1597</v>
      </c>
      <c r="E1363" t="s">
        <v>1796</v>
      </c>
      <c r="F1363">
        <v>4</v>
      </c>
      <c r="G1363">
        <v>885.57</v>
      </c>
      <c r="H1363">
        <v>0.27</v>
      </c>
      <c r="I1363" t="s">
        <v>1807</v>
      </c>
      <c r="J1363">
        <v>2585.8643999999999</v>
      </c>
    </row>
    <row r="1364" spans="1:10" x14ac:dyDescent="0.3">
      <c r="A1364" t="s">
        <v>3171</v>
      </c>
      <c r="B1364" s="1">
        <v>45454</v>
      </c>
      <c r="C1364" t="s">
        <v>1238</v>
      </c>
      <c r="D1364" t="s">
        <v>1639</v>
      </c>
      <c r="E1364" t="s">
        <v>1784</v>
      </c>
      <c r="F1364">
        <v>3</v>
      </c>
      <c r="G1364">
        <v>789.05</v>
      </c>
      <c r="H1364">
        <v>0</v>
      </c>
      <c r="I1364" t="s">
        <v>1809</v>
      </c>
      <c r="J1364">
        <v>2367.15</v>
      </c>
    </row>
    <row r="1365" spans="1:10" x14ac:dyDescent="0.3">
      <c r="A1365" t="s">
        <v>3172</v>
      </c>
      <c r="B1365" s="1">
        <v>45244</v>
      </c>
      <c r="C1365" t="s">
        <v>512</v>
      </c>
      <c r="D1365" t="s">
        <v>1663</v>
      </c>
      <c r="E1365" t="s">
        <v>1735</v>
      </c>
      <c r="F1365">
        <v>1</v>
      </c>
      <c r="G1365">
        <v>570.52</v>
      </c>
      <c r="H1365">
        <v>0</v>
      </c>
      <c r="I1365" t="s">
        <v>1809</v>
      </c>
      <c r="J1365">
        <v>570.52</v>
      </c>
    </row>
    <row r="1366" spans="1:10" x14ac:dyDescent="0.3">
      <c r="A1366" t="s">
        <v>3173</v>
      </c>
      <c r="B1366" s="1">
        <v>45322</v>
      </c>
      <c r="C1366" t="s">
        <v>586</v>
      </c>
      <c r="D1366" t="s">
        <v>1585</v>
      </c>
      <c r="E1366" t="s">
        <v>1787</v>
      </c>
      <c r="F1366">
        <v>4</v>
      </c>
      <c r="G1366">
        <v>310.79000000000002</v>
      </c>
      <c r="H1366">
        <v>0.22</v>
      </c>
      <c r="I1366" t="s">
        <v>1812</v>
      </c>
      <c r="J1366">
        <v>969.66480000000013</v>
      </c>
    </row>
    <row r="1367" spans="1:10" x14ac:dyDescent="0.3">
      <c r="A1367" t="s">
        <v>3174</v>
      </c>
      <c r="B1367" s="1">
        <v>45757</v>
      </c>
      <c r="C1367" t="s">
        <v>211</v>
      </c>
      <c r="D1367" t="s">
        <v>1667</v>
      </c>
      <c r="E1367" t="s">
        <v>1790</v>
      </c>
      <c r="F1367">
        <v>4</v>
      </c>
      <c r="G1367">
        <v>255.67</v>
      </c>
      <c r="H1367">
        <v>0.17</v>
      </c>
      <c r="I1367" t="s">
        <v>1807</v>
      </c>
      <c r="J1367">
        <v>848.82439999999997</v>
      </c>
    </row>
    <row r="1368" spans="1:10" x14ac:dyDescent="0.3">
      <c r="A1368" t="s">
        <v>3175</v>
      </c>
      <c r="B1368" s="1">
        <v>45397</v>
      </c>
      <c r="C1368" t="s">
        <v>439</v>
      </c>
      <c r="D1368" t="s">
        <v>1585</v>
      </c>
      <c r="E1368" t="s">
        <v>1787</v>
      </c>
      <c r="F1368">
        <v>2</v>
      </c>
      <c r="G1368">
        <v>270.66000000000003</v>
      </c>
      <c r="H1368">
        <v>0.1</v>
      </c>
      <c r="I1368" t="s">
        <v>1812</v>
      </c>
      <c r="J1368">
        <v>487.18799999999999</v>
      </c>
    </row>
    <row r="1369" spans="1:10" x14ac:dyDescent="0.3">
      <c r="A1369" t="s">
        <v>3176</v>
      </c>
      <c r="B1369" s="1">
        <v>45914</v>
      </c>
      <c r="C1369" t="s">
        <v>936</v>
      </c>
      <c r="D1369" t="s">
        <v>1577</v>
      </c>
      <c r="E1369" t="s">
        <v>1790</v>
      </c>
      <c r="F1369">
        <v>3</v>
      </c>
      <c r="G1369">
        <v>373.35</v>
      </c>
      <c r="H1369">
        <v>0.2</v>
      </c>
      <c r="I1369" t="s">
        <v>1812</v>
      </c>
      <c r="J1369">
        <v>896.04000000000019</v>
      </c>
    </row>
    <row r="1370" spans="1:10" x14ac:dyDescent="0.3">
      <c r="A1370" t="s">
        <v>3177</v>
      </c>
      <c r="B1370" s="1">
        <v>45432</v>
      </c>
      <c r="C1370" t="s">
        <v>143</v>
      </c>
      <c r="D1370" t="s">
        <v>1649</v>
      </c>
      <c r="E1370" t="s">
        <v>1775</v>
      </c>
      <c r="F1370">
        <v>2</v>
      </c>
      <c r="G1370">
        <v>23.58</v>
      </c>
      <c r="H1370">
        <v>0.02</v>
      </c>
      <c r="I1370" t="s">
        <v>1809</v>
      </c>
      <c r="J1370">
        <v>46.216799999999999</v>
      </c>
    </row>
    <row r="1371" spans="1:10" x14ac:dyDescent="0.3">
      <c r="A1371" t="s">
        <v>3178</v>
      </c>
      <c r="B1371" s="1">
        <v>45798</v>
      </c>
      <c r="C1371" t="s">
        <v>32</v>
      </c>
      <c r="D1371" t="s">
        <v>1601</v>
      </c>
      <c r="E1371" t="s">
        <v>1762</v>
      </c>
      <c r="F1371">
        <v>4</v>
      </c>
      <c r="G1371">
        <v>185.67</v>
      </c>
      <c r="H1371">
        <v>0.21</v>
      </c>
      <c r="I1371" t="s">
        <v>1809</v>
      </c>
      <c r="J1371">
        <v>586.71719999999993</v>
      </c>
    </row>
    <row r="1372" spans="1:10" x14ac:dyDescent="0.3">
      <c r="A1372" t="s">
        <v>3179</v>
      </c>
      <c r="B1372" s="1">
        <v>45396</v>
      </c>
      <c r="C1372" t="s">
        <v>412</v>
      </c>
      <c r="D1372" t="s">
        <v>1567</v>
      </c>
      <c r="E1372" t="s">
        <v>1780</v>
      </c>
      <c r="F1372">
        <v>3</v>
      </c>
      <c r="G1372">
        <v>928.74</v>
      </c>
      <c r="H1372">
        <v>0.27</v>
      </c>
      <c r="I1372" t="s">
        <v>1809</v>
      </c>
      <c r="J1372">
        <v>2033.9405999999999</v>
      </c>
    </row>
    <row r="1373" spans="1:10" x14ac:dyDescent="0.3">
      <c r="A1373" t="s">
        <v>3180</v>
      </c>
      <c r="B1373" s="1">
        <v>45235</v>
      </c>
      <c r="C1373" t="s">
        <v>121</v>
      </c>
      <c r="D1373" t="s">
        <v>1699</v>
      </c>
      <c r="E1373" t="s">
        <v>1756</v>
      </c>
      <c r="F1373">
        <v>3</v>
      </c>
      <c r="G1373">
        <v>923.38</v>
      </c>
      <c r="H1373">
        <v>7.0000000000000007E-2</v>
      </c>
      <c r="I1373" t="s">
        <v>1812</v>
      </c>
      <c r="J1373">
        <v>2576.2302</v>
      </c>
    </row>
    <row r="1374" spans="1:10" x14ac:dyDescent="0.3">
      <c r="A1374" t="s">
        <v>3181</v>
      </c>
      <c r="B1374" s="1">
        <v>45499</v>
      </c>
      <c r="C1374" t="s">
        <v>1409</v>
      </c>
      <c r="D1374" t="s">
        <v>1536</v>
      </c>
      <c r="E1374" t="s">
        <v>1769</v>
      </c>
      <c r="F1374">
        <v>2</v>
      </c>
      <c r="G1374">
        <v>409.26</v>
      </c>
      <c r="H1374">
        <v>0.1</v>
      </c>
      <c r="I1374" t="s">
        <v>1809</v>
      </c>
      <c r="J1374">
        <v>736.66800000000001</v>
      </c>
    </row>
    <row r="1375" spans="1:10" x14ac:dyDescent="0.3">
      <c r="A1375" t="s">
        <v>3182</v>
      </c>
      <c r="B1375" s="1">
        <v>45272</v>
      </c>
      <c r="C1375" t="s">
        <v>805</v>
      </c>
      <c r="D1375" t="s">
        <v>1577</v>
      </c>
      <c r="E1375" t="s">
        <v>1762</v>
      </c>
      <c r="F1375">
        <v>2</v>
      </c>
      <c r="G1375">
        <v>608.46</v>
      </c>
      <c r="H1375">
        <v>0.16</v>
      </c>
      <c r="I1375" t="s">
        <v>1807</v>
      </c>
      <c r="J1375">
        <v>1022.2128</v>
      </c>
    </row>
    <row r="1376" spans="1:10" x14ac:dyDescent="0.3">
      <c r="A1376" t="s">
        <v>3183</v>
      </c>
      <c r="B1376" s="1">
        <v>45785</v>
      </c>
      <c r="C1376" t="s">
        <v>684</v>
      </c>
      <c r="D1376" t="s">
        <v>1615</v>
      </c>
      <c r="E1376" t="s">
        <v>1796</v>
      </c>
      <c r="F1376">
        <v>4</v>
      </c>
      <c r="G1376">
        <v>150.47999999999999</v>
      </c>
      <c r="H1376">
        <v>0.09</v>
      </c>
      <c r="I1376" t="s">
        <v>1807</v>
      </c>
      <c r="J1376">
        <v>547.74720000000002</v>
      </c>
    </row>
    <row r="1377" spans="1:10" x14ac:dyDescent="0.3">
      <c r="A1377" t="s">
        <v>3184</v>
      </c>
      <c r="B1377" s="1">
        <v>45534</v>
      </c>
      <c r="C1377" t="s">
        <v>779</v>
      </c>
      <c r="D1377" t="s">
        <v>1667</v>
      </c>
      <c r="E1377" t="s">
        <v>1782</v>
      </c>
      <c r="F1377">
        <v>4</v>
      </c>
      <c r="G1377">
        <v>207.41</v>
      </c>
      <c r="H1377">
        <v>0.02</v>
      </c>
      <c r="I1377" t="s">
        <v>1807</v>
      </c>
      <c r="J1377">
        <v>813.04719999999998</v>
      </c>
    </row>
    <row r="1378" spans="1:10" x14ac:dyDescent="0.3">
      <c r="A1378" t="s">
        <v>3185</v>
      </c>
      <c r="B1378" s="1">
        <v>45803</v>
      </c>
      <c r="C1378" t="s">
        <v>565</v>
      </c>
      <c r="D1378" t="s">
        <v>1553</v>
      </c>
      <c r="E1378" t="s">
        <v>1759</v>
      </c>
      <c r="F1378">
        <v>1</v>
      </c>
      <c r="G1378">
        <v>56.59</v>
      </c>
      <c r="H1378">
        <v>0.15</v>
      </c>
      <c r="I1378" t="s">
        <v>1809</v>
      </c>
      <c r="J1378">
        <v>48.101500000000001</v>
      </c>
    </row>
    <row r="1379" spans="1:10" x14ac:dyDescent="0.3">
      <c r="A1379" t="s">
        <v>3186</v>
      </c>
      <c r="B1379" s="1">
        <v>45667</v>
      </c>
      <c r="C1379" t="s">
        <v>1246</v>
      </c>
      <c r="D1379" t="s">
        <v>1609</v>
      </c>
      <c r="E1379" t="s">
        <v>1752</v>
      </c>
      <c r="F1379">
        <v>4</v>
      </c>
      <c r="G1379">
        <v>995.4</v>
      </c>
      <c r="H1379">
        <v>0.27</v>
      </c>
      <c r="I1379" t="s">
        <v>1807</v>
      </c>
      <c r="J1379">
        <v>2906.5680000000002</v>
      </c>
    </row>
    <row r="1380" spans="1:10" x14ac:dyDescent="0.3">
      <c r="A1380" t="s">
        <v>3187</v>
      </c>
      <c r="B1380" s="1">
        <v>45656</v>
      </c>
      <c r="C1380" t="s">
        <v>235</v>
      </c>
      <c r="D1380" t="s">
        <v>1625</v>
      </c>
      <c r="E1380" t="s">
        <v>1777</v>
      </c>
      <c r="F1380">
        <v>2</v>
      </c>
      <c r="G1380">
        <v>591.33000000000004</v>
      </c>
      <c r="H1380">
        <v>0.24</v>
      </c>
      <c r="I1380" t="s">
        <v>1807</v>
      </c>
      <c r="J1380">
        <v>898.8216000000001</v>
      </c>
    </row>
    <row r="1381" spans="1:10" x14ac:dyDescent="0.3">
      <c r="A1381" t="s">
        <v>3188</v>
      </c>
      <c r="B1381" s="1">
        <v>45869</v>
      </c>
      <c r="C1381" t="s">
        <v>1168</v>
      </c>
      <c r="D1381" t="s">
        <v>1627</v>
      </c>
      <c r="E1381" t="s">
        <v>1790</v>
      </c>
      <c r="F1381">
        <v>2</v>
      </c>
      <c r="G1381">
        <v>204.89</v>
      </c>
      <c r="H1381">
        <v>0.24</v>
      </c>
      <c r="I1381" t="s">
        <v>1807</v>
      </c>
      <c r="J1381">
        <v>311.43279999999999</v>
      </c>
    </row>
    <row r="1382" spans="1:10" x14ac:dyDescent="0.3">
      <c r="A1382" t="s">
        <v>3189</v>
      </c>
      <c r="B1382" s="1">
        <v>45549</v>
      </c>
      <c r="C1382" t="s">
        <v>320</v>
      </c>
      <c r="D1382" t="s">
        <v>1661</v>
      </c>
      <c r="E1382" t="s">
        <v>1782</v>
      </c>
      <c r="F1382">
        <v>2</v>
      </c>
      <c r="G1382">
        <v>546.41</v>
      </c>
      <c r="H1382">
        <v>0.08</v>
      </c>
      <c r="I1382" t="s">
        <v>1812</v>
      </c>
      <c r="J1382">
        <v>1005.3944</v>
      </c>
    </row>
    <row r="1383" spans="1:10" x14ac:dyDescent="0.3">
      <c r="A1383" t="s">
        <v>3190</v>
      </c>
      <c r="B1383" s="1">
        <v>45409</v>
      </c>
      <c r="C1383" t="s">
        <v>208</v>
      </c>
      <c r="D1383" t="s">
        <v>1567</v>
      </c>
      <c r="E1383" t="s">
        <v>1777</v>
      </c>
      <c r="F1383">
        <v>4</v>
      </c>
      <c r="G1383">
        <v>455.49</v>
      </c>
      <c r="H1383">
        <v>0.17</v>
      </c>
      <c r="I1383" t="s">
        <v>1807</v>
      </c>
      <c r="J1383">
        <v>1512.2267999999999</v>
      </c>
    </row>
    <row r="1384" spans="1:10" x14ac:dyDescent="0.3">
      <c r="A1384" t="s">
        <v>3191</v>
      </c>
      <c r="B1384" s="1">
        <v>45374</v>
      </c>
      <c r="C1384" t="s">
        <v>1295</v>
      </c>
      <c r="D1384" t="s">
        <v>1551</v>
      </c>
      <c r="E1384" t="s">
        <v>1787</v>
      </c>
      <c r="F1384">
        <v>2</v>
      </c>
      <c r="G1384">
        <v>700.27</v>
      </c>
      <c r="H1384">
        <v>0.16</v>
      </c>
      <c r="I1384" t="s">
        <v>1807</v>
      </c>
      <c r="J1384">
        <v>1176.4536000000001</v>
      </c>
    </row>
    <row r="1385" spans="1:10" x14ac:dyDescent="0.3">
      <c r="A1385" t="s">
        <v>3192</v>
      </c>
      <c r="B1385" s="1">
        <v>45282</v>
      </c>
      <c r="C1385" t="s">
        <v>1072</v>
      </c>
      <c r="D1385" t="s">
        <v>1695</v>
      </c>
      <c r="E1385" t="s">
        <v>1790</v>
      </c>
      <c r="F1385">
        <v>2</v>
      </c>
      <c r="G1385">
        <v>160.21</v>
      </c>
      <c r="H1385">
        <v>0.09</v>
      </c>
      <c r="I1385" t="s">
        <v>1807</v>
      </c>
      <c r="J1385">
        <v>291.5822</v>
      </c>
    </row>
    <row r="1386" spans="1:10" x14ac:dyDescent="0.3">
      <c r="A1386" t="s">
        <v>3193</v>
      </c>
      <c r="B1386" s="1">
        <v>45742</v>
      </c>
      <c r="C1386" t="s">
        <v>127</v>
      </c>
      <c r="D1386" t="s">
        <v>1625</v>
      </c>
      <c r="E1386" t="s">
        <v>1775</v>
      </c>
      <c r="F1386">
        <v>1</v>
      </c>
      <c r="G1386">
        <v>713.63</v>
      </c>
      <c r="H1386">
        <v>0.28000000000000003</v>
      </c>
      <c r="I1386" t="s">
        <v>1812</v>
      </c>
      <c r="J1386">
        <v>513.81359999999995</v>
      </c>
    </row>
    <row r="1387" spans="1:10" x14ac:dyDescent="0.3">
      <c r="A1387" t="s">
        <v>3194</v>
      </c>
      <c r="B1387" s="1">
        <v>45447</v>
      </c>
      <c r="C1387" t="s">
        <v>726</v>
      </c>
      <c r="D1387" t="s">
        <v>1717</v>
      </c>
      <c r="E1387" t="s">
        <v>1762</v>
      </c>
      <c r="F1387">
        <v>2</v>
      </c>
      <c r="G1387">
        <v>224.69</v>
      </c>
      <c r="H1387">
        <v>0.2</v>
      </c>
      <c r="I1387" t="s">
        <v>1812</v>
      </c>
      <c r="J1387">
        <v>359.50400000000002</v>
      </c>
    </row>
    <row r="1388" spans="1:10" x14ac:dyDescent="0.3">
      <c r="A1388" t="s">
        <v>3195</v>
      </c>
      <c r="B1388" s="1">
        <v>45733</v>
      </c>
      <c r="C1388" t="s">
        <v>1384</v>
      </c>
      <c r="D1388" t="s">
        <v>1571</v>
      </c>
      <c r="E1388" t="s">
        <v>1782</v>
      </c>
      <c r="F1388">
        <v>2</v>
      </c>
      <c r="G1388">
        <v>740.57</v>
      </c>
      <c r="H1388">
        <v>0.06</v>
      </c>
      <c r="I1388" t="s">
        <v>1807</v>
      </c>
      <c r="J1388">
        <v>1392.2716</v>
      </c>
    </row>
    <row r="1389" spans="1:10" x14ac:dyDescent="0.3">
      <c r="A1389" t="s">
        <v>3196</v>
      </c>
      <c r="B1389" s="1">
        <v>45373</v>
      </c>
      <c r="C1389" t="s">
        <v>476</v>
      </c>
      <c r="D1389" t="s">
        <v>1553</v>
      </c>
      <c r="E1389" t="s">
        <v>1749</v>
      </c>
      <c r="F1389">
        <v>3</v>
      </c>
      <c r="G1389">
        <v>250.14</v>
      </c>
      <c r="H1389">
        <v>0.23</v>
      </c>
      <c r="I1389" t="s">
        <v>1809</v>
      </c>
      <c r="J1389">
        <v>577.82339999999999</v>
      </c>
    </row>
    <row r="1390" spans="1:10" x14ac:dyDescent="0.3">
      <c r="A1390" t="s">
        <v>3197</v>
      </c>
      <c r="B1390" s="1">
        <v>45655</v>
      </c>
      <c r="C1390" t="s">
        <v>89</v>
      </c>
      <c r="D1390" t="s">
        <v>1727</v>
      </c>
      <c r="E1390" t="s">
        <v>1796</v>
      </c>
      <c r="F1390">
        <v>3</v>
      </c>
      <c r="G1390">
        <v>34.97</v>
      </c>
      <c r="H1390">
        <v>0.01</v>
      </c>
      <c r="I1390" t="s">
        <v>1807</v>
      </c>
      <c r="J1390">
        <v>103.8609</v>
      </c>
    </row>
    <row r="1391" spans="1:10" x14ac:dyDescent="0.3">
      <c r="A1391" t="s">
        <v>3198</v>
      </c>
      <c r="B1391" s="1">
        <v>45868</v>
      </c>
      <c r="C1391" t="s">
        <v>951</v>
      </c>
      <c r="D1391" t="s">
        <v>1615</v>
      </c>
      <c r="E1391" t="s">
        <v>1787</v>
      </c>
      <c r="F1391">
        <v>1</v>
      </c>
      <c r="G1391">
        <v>653.91</v>
      </c>
      <c r="H1391">
        <v>0.3</v>
      </c>
      <c r="I1391" t="s">
        <v>1809</v>
      </c>
      <c r="J1391">
        <v>457.73700000000002</v>
      </c>
    </row>
    <row r="1392" spans="1:10" x14ac:dyDescent="0.3">
      <c r="A1392" t="s">
        <v>3199</v>
      </c>
      <c r="B1392" s="1">
        <v>45338</v>
      </c>
      <c r="C1392" t="s">
        <v>1123</v>
      </c>
      <c r="D1392" t="s">
        <v>1663</v>
      </c>
      <c r="E1392" t="s">
        <v>1749</v>
      </c>
      <c r="F1392">
        <v>1</v>
      </c>
      <c r="G1392">
        <v>997.87</v>
      </c>
      <c r="H1392">
        <v>0.24</v>
      </c>
      <c r="I1392" t="s">
        <v>1807</v>
      </c>
      <c r="J1392">
        <v>758.38120000000004</v>
      </c>
    </row>
    <row r="1393" spans="1:10" x14ac:dyDescent="0.3">
      <c r="A1393" t="s">
        <v>3200</v>
      </c>
      <c r="B1393" s="1">
        <v>45349</v>
      </c>
      <c r="C1393" t="s">
        <v>672</v>
      </c>
      <c r="D1393" t="s">
        <v>1709</v>
      </c>
      <c r="E1393" t="s">
        <v>1782</v>
      </c>
      <c r="F1393">
        <v>1</v>
      </c>
      <c r="G1393">
        <v>174.27</v>
      </c>
      <c r="H1393">
        <v>0.27</v>
      </c>
      <c r="I1393" t="s">
        <v>1812</v>
      </c>
      <c r="J1393">
        <v>127.2171</v>
      </c>
    </row>
    <row r="1394" spans="1:10" x14ac:dyDescent="0.3">
      <c r="A1394" t="s">
        <v>3201</v>
      </c>
      <c r="B1394" s="1">
        <v>45368</v>
      </c>
      <c r="C1394" t="s">
        <v>397</v>
      </c>
      <c r="D1394" t="s">
        <v>1629</v>
      </c>
      <c r="E1394" t="s">
        <v>1762</v>
      </c>
      <c r="F1394">
        <v>3</v>
      </c>
      <c r="G1394">
        <v>847.44</v>
      </c>
      <c r="H1394">
        <v>0.17</v>
      </c>
      <c r="I1394" t="s">
        <v>1807</v>
      </c>
      <c r="J1394">
        <v>2110.1255999999998</v>
      </c>
    </row>
    <row r="1395" spans="1:10" x14ac:dyDescent="0.3">
      <c r="A1395" t="s">
        <v>3202</v>
      </c>
      <c r="B1395" s="1">
        <v>45243</v>
      </c>
      <c r="C1395" t="s">
        <v>1312</v>
      </c>
      <c r="D1395" t="s">
        <v>1532</v>
      </c>
      <c r="E1395" t="s">
        <v>1744</v>
      </c>
      <c r="F1395">
        <v>1</v>
      </c>
      <c r="G1395">
        <v>493.45</v>
      </c>
      <c r="H1395">
        <v>0.09</v>
      </c>
      <c r="I1395" t="s">
        <v>1807</v>
      </c>
      <c r="J1395">
        <v>449.03949999999998</v>
      </c>
    </row>
    <row r="1396" spans="1:10" x14ac:dyDescent="0.3">
      <c r="A1396" t="s">
        <v>3203</v>
      </c>
      <c r="B1396" s="1">
        <v>45577</v>
      </c>
      <c r="C1396" t="s">
        <v>740</v>
      </c>
      <c r="D1396" t="s">
        <v>1655</v>
      </c>
      <c r="E1396" t="s">
        <v>1744</v>
      </c>
      <c r="F1396">
        <v>4</v>
      </c>
      <c r="G1396">
        <v>111.66</v>
      </c>
      <c r="H1396">
        <v>0.14000000000000001</v>
      </c>
      <c r="I1396" t="s">
        <v>1807</v>
      </c>
      <c r="J1396">
        <v>384.11040000000003</v>
      </c>
    </row>
    <row r="1397" spans="1:10" x14ac:dyDescent="0.3">
      <c r="A1397" t="s">
        <v>3204</v>
      </c>
      <c r="B1397" s="1">
        <v>45343</v>
      </c>
      <c r="C1397" t="s">
        <v>876</v>
      </c>
      <c r="D1397" t="s">
        <v>1711</v>
      </c>
      <c r="E1397" t="s">
        <v>1775</v>
      </c>
      <c r="F1397">
        <v>1</v>
      </c>
      <c r="G1397">
        <v>413.65</v>
      </c>
      <c r="H1397">
        <v>0.1</v>
      </c>
      <c r="I1397" t="s">
        <v>1812</v>
      </c>
      <c r="J1397">
        <v>372.28500000000003</v>
      </c>
    </row>
    <row r="1398" spans="1:10" x14ac:dyDescent="0.3">
      <c r="A1398" t="s">
        <v>3205</v>
      </c>
      <c r="B1398" s="1">
        <v>45744</v>
      </c>
      <c r="C1398" t="s">
        <v>1448</v>
      </c>
      <c r="D1398" t="s">
        <v>1709</v>
      </c>
      <c r="E1398" t="s">
        <v>1769</v>
      </c>
      <c r="F1398">
        <v>1</v>
      </c>
      <c r="G1398">
        <v>317.14999999999998</v>
      </c>
      <c r="H1398">
        <v>0.24</v>
      </c>
      <c r="I1398" t="s">
        <v>1812</v>
      </c>
      <c r="J1398">
        <v>241.03399999999999</v>
      </c>
    </row>
    <row r="1399" spans="1:10" x14ac:dyDescent="0.3">
      <c r="A1399" t="s">
        <v>3206</v>
      </c>
      <c r="B1399" s="1">
        <v>45873</v>
      </c>
      <c r="C1399" t="s">
        <v>1112</v>
      </c>
      <c r="D1399" t="s">
        <v>1707</v>
      </c>
      <c r="E1399" t="s">
        <v>1740</v>
      </c>
      <c r="F1399">
        <v>3</v>
      </c>
      <c r="G1399">
        <v>642.94000000000005</v>
      </c>
      <c r="H1399">
        <v>0.05</v>
      </c>
      <c r="I1399" t="s">
        <v>1812</v>
      </c>
      <c r="J1399">
        <v>1832.3789999999999</v>
      </c>
    </row>
    <row r="1400" spans="1:10" x14ac:dyDescent="0.3">
      <c r="A1400" t="s">
        <v>3207</v>
      </c>
      <c r="B1400" s="1">
        <v>45601</v>
      </c>
      <c r="C1400" t="s">
        <v>450</v>
      </c>
      <c r="D1400" t="s">
        <v>1645</v>
      </c>
      <c r="E1400" t="s">
        <v>1772</v>
      </c>
      <c r="F1400">
        <v>4</v>
      </c>
      <c r="G1400">
        <v>559.59</v>
      </c>
      <c r="H1400">
        <v>0.19</v>
      </c>
      <c r="I1400" t="s">
        <v>1812</v>
      </c>
      <c r="J1400">
        <v>1813.0716</v>
      </c>
    </row>
    <row r="1401" spans="1:10" x14ac:dyDescent="0.3">
      <c r="A1401" t="s">
        <v>3208</v>
      </c>
      <c r="B1401" s="1">
        <v>45458</v>
      </c>
      <c r="C1401" t="s">
        <v>394</v>
      </c>
      <c r="D1401" t="s">
        <v>1589</v>
      </c>
      <c r="E1401" t="s">
        <v>1793</v>
      </c>
      <c r="F1401">
        <v>1</v>
      </c>
      <c r="G1401">
        <v>758.54</v>
      </c>
      <c r="H1401">
        <v>0.28999999999999998</v>
      </c>
      <c r="I1401" t="s">
        <v>1809</v>
      </c>
      <c r="J1401">
        <v>538.5634</v>
      </c>
    </row>
    <row r="1402" spans="1:10" x14ac:dyDescent="0.3">
      <c r="A1402" t="s">
        <v>3209</v>
      </c>
      <c r="B1402" s="1">
        <v>45649</v>
      </c>
      <c r="C1402" t="s">
        <v>1409</v>
      </c>
      <c r="D1402" t="s">
        <v>1691</v>
      </c>
      <c r="E1402" t="s">
        <v>1784</v>
      </c>
      <c r="F1402">
        <v>4</v>
      </c>
      <c r="G1402">
        <v>643.96</v>
      </c>
      <c r="H1402">
        <v>0.16</v>
      </c>
      <c r="I1402" t="s">
        <v>1809</v>
      </c>
      <c r="J1402">
        <v>2163.7055999999998</v>
      </c>
    </row>
    <row r="1403" spans="1:10" x14ac:dyDescent="0.3">
      <c r="A1403" t="s">
        <v>3210</v>
      </c>
      <c r="B1403" s="1">
        <v>45653</v>
      </c>
      <c r="C1403" t="s">
        <v>773</v>
      </c>
      <c r="D1403" t="s">
        <v>1579</v>
      </c>
      <c r="E1403" t="s">
        <v>1769</v>
      </c>
      <c r="F1403">
        <v>1</v>
      </c>
      <c r="G1403">
        <v>882.73</v>
      </c>
      <c r="H1403">
        <v>0.1</v>
      </c>
      <c r="I1403" t="s">
        <v>1807</v>
      </c>
      <c r="J1403">
        <v>794.45699999999999</v>
      </c>
    </row>
    <row r="1404" spans="1:10" x14ac:dyDescent="0.3">
      <c r="A1404" t="s">
        <v>3211</v>
      </c>
      <c r="B1404" s="1">
        <v>45378</v>
      </c>
      <c r="C1404" t="s">
        <v>1012</v>
      </c>
      <c r="D1404" t="s">
        <v>1713</v>
      </c>
      <c r="E1404" t="s">
        <v>1796</v>
      </c>
      <c r="F1404">
        <v>2</v>
      </c>
      <c r="G1404">
        <v>600.03</v>
      </c>
      <c r="H1404">
        <v>0.26</v>
      </c>
      <c r="I1404" t="s">
        <v>1809</v>
      </c>
      <c r="J1404">
        <v>888.0444</v>
      </c>
    </row>
    <row r="1405" spans="1:10" x14ac:dyDescent="0.3">
      <c r="A1405" t="s">
        <v>3212</v>
      </c>
      <c r="B1405" s="1">
        <v>45638</v>
      </c>
      <c r="C1405" t="s">
        <v>521</v>
      </c>
      <c r="D1405" t="s">
        <v>1639</v>
      </c>
      <c r="E1405" t="s">
        <v>1756</v>
      </c>
      <c r="F1405">
        <v>2</v>
      </c>
      <c r="G1405">
        <v>628.83000000000004</v>
      </c>
      <c r="H1405">
        <v>7.0000000000000007E-2</v>
      </c>
      <c r="I1405" t="s">
        <v>1809</v>
      </c>
      <c r="J1405">
        <v>1169.6238000000001</v>
      </c>
    </row>
    <row r="1406" spans="1:10" x14ac:dyDescent="0.3">
      <c r="A1406" t="s">
        <v>3213</v>
      </c>
      <c r="B1406" s="1">
        <v>45277</v>
      </c>
      <c r="C1406" t="s">
        <v>573</v>
      </c>
      <c r="D1406" t="s">
        <v>1693</v>
      </c>
      <c r="E1406" t="s">
        <v>1769</v>
      </c>
      <c r="F1406">
        <v>3</v>
      </c>
      <c r="G1406">
        <v>113.87</v>
      </c>
      <c r="H1406">
        <v>0.21</v>
      </c>
      <c r="I1406" t="s">
        <v>1812</v>
      </c>
      <c r="J1406">
        <v>269.87189999999998</v>
      </c>
    </row>
    <row r="1407" spans="1:10" x14ac:dyDescent="0.3">
      <c r="A1407" t="s">
        <v>3214</v>
      </c>
      <c r="B1407" s="1">
        <v>45351</v>
      </c>
      <c r="C1407" t="s">
        <v>1284</v>
      </c>
      <c r="D1407" t="s">
        <v>1675</v>
      </c>
      <c r="E1407" t="s">
        <v>1762</v>
      </c>
      <c r="F1407">
        <v>4</v>
      </c>
      <c r="G1407">
        <v>282.07</v>
      </c>
      <c r="H1407">
        <v>0.18</v>
      </c>
      <c r="I1407" t="s">
        <v>1809</v>
      </c>
      <c r="J1407">
        <v>925.18960000000004</v>
      </c>
    </row>
    <row r="1408" spans="1:10" x14ac:dyDescent="0.3">
      <c r="A1408" t="s">
        <v>3215</v>
      </c>
      <c r="B1408" s="1">
        <v>45290</v>
      </c>
      <c r="C1408" t="s">
        <v>518</v>
      </c>
      <c r="D1408" t="s">
        <v>1639</v>
      </c>
      <c r="E1408" t="s">
        <v>1759</v>
      </c>
      <c r="F1408">
        <v>3</v>
      </c>
      <c r="G1408">
        <v>676.77</v>
      </c>
      <c r="H1408">
        <v>0.17</v>
      </c>
      <c r="I1408" t="s">
        <v>1809</v>
      </c>
      <c r="J1408">
        <v>1685.1573000000001</v>
      </c>
    </row>
    <row r="1409" spans="1:10" x14ac:dyDescent="0.3">
      <c r="A1409" t="s">
        <v>3216</v>
      </c>
      <c r="B1409" s="1">
        <v>45638</v>
      </c>
      <c r="C1409" t="s">
        <v>707</v>
      </c>
      <c r="D1409" t="s">
        <v>1543</v>
      </c>
      <c r="E1409" t="s">
        <v>1787</v>
      </c>
      <c r="F1409">
        <v>2</v>
      </c>
      <c r="G1409">
        <v>362.7</v>
      </c>
      <c r="H1409">
        <v>0.09</v>
      </c>
      <c r="I1409" t="s">
        <v>1807</v>
      </c>
      <c r="J1409">
        <v>660.11400000000003</v>
      </c>
    </row>
    <row r="1410" spans="1:10" x14ac:dyDescent="0.3">
      <c r="A1410" t="s">
        <v>3217</v>
      </c>
      <c r="B1410" s="1">
        <v>45679</v>
      </c>
      <c r="C1410" t="s">
        <v>456</v>
      </c>
      <c r="D1410" t="s">
        <v>1557</v>
      </c>
      <c r="E1410" t="s">
        <v>1744</v>
      </c>
      <c r="F1410">
        <v>1</v>
      </c>
      <c r="G1410">
        <v>908.5</v>
      </c>
      <c r="H1410">
        <v>0.2</v>
      </c>
      <c r="I1410" t="s">
        <v>1812</v>
      </c>
      <c r="J1410">
        <v>726.80000000000007</v>
      </c>
    </row>
    <row r="1411" spans="1:10" x14ac:dyDescent="0.3">
      <c r="A1411" t="s">
        <v>3218</v>
      </c>
      <c r="B1411" s="1">
        <v>45296</v>
      </c>
      <c r="C1411" t="s">
        <v>244</v>
      </c>
      <c r="D1411" t="s">
        <v>1581</v>
      </c>
      <c r="E1411" t="s">
        <v>1784</v>
      </c>
      <c r="F1411">
        <v>2</v>
      </c>
      <c r="G1411">
        <v>795.37</v>
      </c>
      <c r="H1411">
        <v>0.2</v>
      </c>
      <c r="I1411" t="s">
        <v>1812</v>
      </c>
      <c r="J1411">
        <v>1272.5920000000001</v>
      </c>
    </row>
    <row r="1412" spans="1:10" x14ac:dyDescent="0.3">
      <c r="A1412" t="s">
        <v>3219</v>
      </c>
      <c r="B1412" s="1">
        <v>45760</v>
      </c>
      <c r="C1412" t="s">
        <v>482</v>
      </c>
      <c r="D1412" t="s">
        <v>1601</v>
      </c>
      <c r="E1412" t="s">
        <v>1752</v>
      </c>
      <c r="F1412">
        <v>2</v>
      </c>
      <c r="G1412">
        <v>326.85000000000002</v>
      </c>
      <c r="H1412">
        <v>0.17</v>
      </c>
      <c r="I1412" t="s">
        <v>1812</v>
      </c>
      <c r="J1412">
        <v>542.57100000000003</v>
      </c>
    </row>
    <row r="1413" spans="1:10" x14ac:dyDescent="0.3">
      <c r="A1413" t="s">
        <v>3220</v>
      </c>
      <c r="B1413" s="1">
        <v>45603</v>
      </c>
      <c r="C1413" t="s">
        <v>1086</v>
      </c>
      <c r="D1413" t="s">
        <v>1643</v>
      </c>
      <c r="E1413" t="s">
        <v>1782</v>
      </c>
      <c r="F1413">
        <v>3</v>
      </c>
      <c r="G1413">
        <v>169.43</v>
      </c>
      <c r="H1413">
        <v>0.19</v>
      </c>
      <c r="I1413" t="s">
        <v>1807</v>
      </c>
      <c r="J1413">
        <v>411.71490000000011</v>
      </c>
    </row>
    <row r="1414" spans="1:10" x14ac:dyDescent="0.3">
      <c r="A1414" t="s">
        <v>3221</v>
      </c>
      <c r="B1414" s="1">
        <v>45413</v>
      </c>
      <c r="C1414" t="s">
        <v>539</v>
      </c>
      <c r="D1414" t="s">
        <v>1697</v>
      </c>
      <c r="E1414" t="s">
        <v>1759</v>
      </c>
      <c r="F1414">
        <v>1</v>
      </c>
      <c r="G1414">
        <v>254.47</v>
      </c>
      <c r="H1414">
        <v>0.1</v>
      </c>
      <c r="I1414" t="s">
        <v>1807</v>
      </c>
      <c r="J1414">
        <v>229.023</v>
      </c>
    </row>
    <row r="1415" spans="1:10" x14ac:dyDescent="0.3">
      <c r="A1415" t="s">
        <v>3222</v>
      </c>
      <c r="B1415" s="1">
        <v>45506</v>
      </c>
      <c r="C1415" t="s">
        <v>1284</v>
      </c>
      <c r="D1415" t="s">
        <v>1581</v>
      </c>
      <c r="E1415" t="s">
        <v>1787</v>
      </c>
      <c r="F1415">
        <v>4</v>
      </c>
      <c r="G1415">
        <v>627.73</v>
      </c>
      <c r="H1415">
        <v>0.11</v>
      </c>
      <c r="I1415" t="s">
        <v>1812</v>
      </c>
      <c r="J1415">
        <v>2234.7188000000001</v>
      </c>
    </row>
    <row r="1416" spans="1:10" x14ac:dyDescent="0.3">
      <c r="A1416" t="s">
        <v>3223</v>
      </c>
      <c r="B1416" s="1">
        <v>45394</v>
      </c>
      <c r="C1416" t="s">
        <v>1147</v>
      </c>
      <c r="D1416" t="s">
        <v>1593</v>
      </c>
      <c r="E1416" t="s">
        <v>1796</v>
      </c>
      <c r="F1416">
        <v>4</v>
      </c>
      <c r="G1416">
        <v>327.25</v>
      </c>
      <c r="H1416">
        <v>0.13</v>
      </c>
      <c r="I1416" t="s">
        <v>1812</v>
      </c>
      <c r="J1416">
        <v>1138.83</v>
      </c>
    </row>
    <row r="1417" spans="1:10" x14ac:dyDescent="0.3">
      <c r="A1417" t="s">
        <v>3224</v>
      </c>
      <c r="B1417" s="1">
        <v>45755</v>
      </c>
      <c r="C1417" t="s">
        <v>485</v>
      </c>
      <c r="D1417" t="s">
        <v>1649</v>
      </c>
      <c r="E1417" t="s">
        <v>1775</v>
      </c>
      <c r="F1417">
        <v>4</v>
      </c>
      <c r="G1417">
        <v>511.43</v>
      </c>
      <c r="H1417">
        <v>0.18</v>
      </c>
      <c r="I1417" t="s">
        <v>1812</v>
      </c>
      <c r="J1417">
        <v>1677.4903999999999</v>
      </c>
    </row>
    <row r="1418" spans="1:10" x14ac:dyDescent="0.3">
      <c r="A1418" t="s">
        <v>3225</v>
      </c>
      <c r="B1418" s="1">
        <v>45473</v>
      </c>
      <c r="C1418" t="s">
        <v>545</v>
      </c>
      <c r="D1418" t="s">
        <v>1657</v>
      </c>
      <c r="E1418" t="s">
        <v>1790</v>
      </c>
      <c r="F1418">
        <v>4</v>
      </c>
      <c r="G1418">
        <v>194.67</v>
      </c>
      <c r="H1418">
        <v>0.23</v>
      </c>
      <c r="I1418" t="s">
        <v>1809</v>
      </c>
      <c r="J1418">
        <v>599.58359999999993</v>
      </c>
    </row>
    <row r="1419" spans="1:10" x14ac:dyDescent="0.3">
      <c r="A1419" t="s">
        <v>3226</v>
      </c>
      <c r="B1419" s="1">
        <v>45304</v>
      </c>
      <c r="C1419" t="s">
        <v>218</v>
      </c>
      <c r="D1419" t="s">
        <v>1577</v>
      </c>
      <c r="E1419" t="s">
        <v>1740</v>
      </c>
      <c r="F1419">
        <v>2</v>
      </c>
      <c r="G1419">
        <v>54.51</v>
      </c>
      <c r="H1419">
        <v>7.0000000000000007E-2</v>
      </c>
      <c r="I1419" t="s">
        <v>1807</v>
      </c>
      <c r="J1419">
        <v>101.3886</v>
      </c>
    </row>
    <row r="1420" spans="1:10" x14ac:dyDescent="0.3">
      <c r="A1420" t="s">
        <v>3227</v>
      </c>
      <c r="B1420" s="1">
        <v>45557</v>
      </c>
      <c r="C1420" t="s">
        <v>275</v>
      </c>
      <c r="D1420" t="s">
        <v>1655</v>
      </c>
      <c r="E1420" t="s">
        <v>1775</v>
      </c>
      <c r="F1420">
        <v>4</v>
      </c>
      <c r="G1420">
        <v>964</v>
      </c>
      <c r="H1420">
        <v>0.14000000000000001</v>
      </c>
      <c r="I1420" t="s">
        <v>1809</v>
      </c>
      <c r="J1420">
        <v>3316.16</v>
      </c>
    </row>
    <row r="1421" spans="1:10" x14ac:dyDescent="0.3">
      <c r="A1421" t="s">
        <v>3228</v>
      </c>
      <c r="B1421" s="1">
        <v>45527</v>
      </c>
      <c r="C1421" t="s">
        <v>156</v>
      </c>
      <c r="D1421" t="s">
        <v>1709</v>
      </c>
      <c r="E1421" t="s">
        <v>1752</v>
      </c>
      <c r="F1421">
        <v>1</v>
      </c>
      <c r="G1421">
        <v>170.12</v>
      </c>
      <c r="H1421">
        <v>0.26</v>
      </c>
      <c r="I1421" t="s">
        <v>1809</v>
      </c>
      <c r="J1421">
        <v>125.8888</v>
      </c>
    </row>
    <row r="1422" spans="1:10" x14ac:dyDescent="0.3">
      <c r="A1422" t="s">
        <v>3229</v>
      </c>
      <c r="B1422" s="1">
        <v>45875</v>
      </c>
      <c r="C1422" t="s">
        <v>506</v>
      </c>
      <c r="D1422" t="s">
        <v>1637</v>
      </c>
      <c r="E1422" t="s">
        <v>1796</v>
      </c>
      <c r="F1422">
        <v>2</v>
      </c>
      <c r="G1422">
        <v>664.5</v>
      </c>
      <c r="H1422">
        <v>0.23</v>
      </c>
      <c r="I1422" t="s">
        <v>1807</v>
      </c>
      <c r="J1422">
        <v>1023.33</v>
      </c>
    </row>
    <row r="1423" spans="1:10" x14ac:dyDescent="0.3">
      <c r="A1423" t="s">
        <v>3230</v>
      </c>
      <c r="B1423" s="1">
        <v>45936</v>
      </c>
      <c r="C1423" t="s">
        <v>1147</v>
      </c>
      <c r="D1423" t="s">
        <v>1621</v>
      </c>
      <c r="E1423" t="s">
        <v>1772</v>
      </c>
      <c r="F1423">
        <v>4</v>
      </c>
      <c r="G1423">
        <v>557.51</v>
      </c>
      <c r="H1423">
        <v>0.11</v>
      </c>
      <c r="I1423" t="s">
        <v>1807</v>
      </c>
      <c r="J1423">
        <v>1984.7356</v>
      </c>
    </row>
    <row r="1424" spans="1:10" x14ac:dyDescent="0.3">
      <c r="A1424" t="s">
        <v>3231</v>
      </c>
      <c r="B1424" s="1">
        <v>45807</v>
      </c>
      <c r="C1424" t="s">
        <v>1225</v>
      </c>
      <c r="D1424" t="s">
        <v>1711</v>
      </c>
      <c r="E1424" t="s">
        <v>1740</v>
      </c>
      <c r="F1424">
        <v>2</v>
      </c>
      <c r="G1424">
        <v>410</v>
      </c>
      <c r="H1424">
        <v>0.13</v>
      </c>
      <c r="I1424" t="s">
        <v>1812</v>
      </c>
      <c r="J1424">
        <v>713.4</v>
      </c>
    </row>
    <row r="1425" spans="1:10" x14ac:dyDescent="0.3">
      <c r="A1425" t="s">
        <v>3232</v>
      </c>
      <c r="B1425" s="1">
        <v>45473</v>
      </c>
      <c r="C1425" t="s">
        <v>956</v>
      </c>
      <c r="D1425" t="s">
        <v>1697</v>
      </c>
      <c r="E1425" t="s">
        <v>1756</v>
      </c>
      <c r="F1425">
        <v>2</v>
      </c>
      <c r="G1425">
        <v>879.93</v>
      </c>
      <c r="H1425">
        <v>0.28999999999999998</v>
      </c>
      <c r="I1425" t="s">
        <v>1812</v>
      </c>
      <c r="J1425">
        <v>1249.5006000000001</v>
      </c>
    </row>
    <row r="1426" spans="1:10" x14ac:dyDescent="0.3">
      <c r="A1426" t="s">
        <v>3233</v>
      </c>
      <c r="B1426" s="1">
        <v>45664</v>
      </c>
      <c r="C1426" t="s">
        <v>40</v>
      </c>
      <c r="D1426" t="s">
        <v>1557</v>
      </c>
      <c r="E1426" t="s">
        <v>1793</v>
      </c>
      <c r="F1426">
        <v>1</v>
      </c>
      <c r="G1426">
        <v>350.58</v>
      </c>
      <c r="H1426">
        <v>0.03</v>
      </c>
      <c r="I1426" t="s">
        <v>1812</v>
      </c>
      <c r="J1426">
        <v>340.06259999999997</v>
      </c>
    </row>
    <row r="1427" spans="1:10" x14ac:dyDescent="0.3">
      <c r="A1427" t="s">
        <v>3234</v>
      </c>
      <c r="B1427" s="1">
        <v>45633</v>
      </c>
      <c r="C1427" t="s">
        <v>1086</v>
      </c>
      <c r="D1427" t="s">
        <v>1647</v>
      </c>
      <c r="E1427" t="s">
        <v>1749</v>
      </c>
      <c r="F1427">
        <v>4</v>
      </c>
      <c r="G1427">
        <v>348.58</v>
      </c>
      <c r="H1427">
        <v>0.16</v>
      </c>
      <c r="I1427" t="s">
        <v>1807</v>
      </c>
      <c r="J1427">
        <v>1171.2288000000001</v>
      </c>
    </row>
    <row r="1428" spans="1:10" x14ac:dyDescent="0.3">
      <c r="A1428" t="s">
        <v>3235</v>
      </c>
      <c r="B1428" s="1">
        <v>45548</v>
      </c>
      <c r="C1428" t="s">
        <v>1401</v>
      </c>
      <c r="D1428" t="s">
        <v>1581</v>
      </c>
      <c r="E1428" t="s">
        <v>1749</v>
      </c>
      <c r="F1428">
        <v>3</v>
      </c>
      <c r="G1428">
        <v>247.66</v>
      </c>
      <c r="H1428">
        <v>0.02</v>
      </c>
      <c r="I1428" t="s">
        <v>1812</v>
      </c>
      <c r="J1428">
        <v>728.12040000000002</v>
      </c>
    </row>
    <row r="1429" spans="1:10" x14ac:dyDescent="0.3">
      <c r="A1429" t="s">
        <v>3236</v>
      </c>
      <c r="B1429" s="1">
        <v>45244</v>
      </c>
      <c r="C1429" t="s">
        <v>1198</v>
      </c>
      <c r="D1429" t="s">
        <v>1609</v>
      </c>
      <c r="E1429" t="s">
        <v>1784</v>
      </c>
      <c r="F1429">
        <v>3</v>
      </c>
      <c r="G1429">
        <v>836.27</v>
      </c>
      <c r="H1429">
        <v>0.16</v>
      </c>
      <c r="I1429" t="s">
        <v>1807</v>
      </c>
      <c r="J1429">
        <v>2107.4004</v>
      </c>
    </row>
    <row r="1430" spans="1:10" x14ac:dyDescent="0.3">
      <c r="A1430" t="s">
        <v>3237</v>
      </c>
      <c r="B1430" s="1">
        <v>45753</v>
      </c>
      <c r="C1430" t="s">
        <v>634</v>
      </c>
      <c r="D1430" t="s">
        <v>1559</v>
      </c>
      <c r="E1430" t="s">
        <v>1772</v>
      </c>
      <c r="F1430">
        <v>3</v>
      </c>
      <c r="G1430">
        <v>696.74</v>
      </c>
      <c r="H1430">
        <v>0.13</v>
      </c>
      <c r="I1430" t="s">
        <v>1812</v>
      </c>
      <c r="J1430">
        <v>1818.4914000000001</v>
      </c>
    </row>
    <row r="1431" spans="1:10" x14ac:dyDescent="0.3">
      <c r="A1431" t="s">
        <v>3238</v>
      </c>
      <c r="B1431" s="1">
        <v>45804</v>
      </c>
      <c r="C1431" t="s">
        <v>779</v>
      </c>
      <c r="D1431" t="s">
        <v>1719</v>
      </c>
      <c r="E1431" t="s">
        <v>1780</v>
      </c>
      <c r="F1431">
        <v>2</v>
      </c>
      <c r="G1431">
        <v>822.59</v>
      </c>
      <c r="H1431">
        <v>0.22</v>
      </c>
      <c r="I1431" t="s">
        <v>1809</v>
      </c>
      <c r="J1431">
        <v>1283.2403999999999</v>
      </c>
    </row>
    <row r="1432" spans="1:10" x14ac:dyDescent="0.3">
      <c r="A1432" t="s">
        <v>3239</v>
      </c>
      <c r="B1432" s="1">
        <v>45263</v>
      </c>
      <c r="C1432" t="s">
        <v>713</v>
      </c>
      <c r="D1432" t="s">
        <v>1689</v>
      </c>
      <c r="E1432" t="s">
        <v>1744</v>
      </c>
      <c r="F1432">
        <v>1</v>
      </c>
      <c r="G1432">
        <v>462.23</v>
      </c>
      <c r="H1432">
        <v>0.3</v>
      </c>
      <c r="I1432" t="s">
        <v>1809</v>
      </c>
      <c r="J1432">
        <v>323.56099999999998</v>
      </c>
    </row>
    <row r="1433" spans="1:10" x14ac:dyDescent="0.3">
      <c r="A1433" t="s">
        <v>3240</v>
      </c>
      <c r="B1433" s="1">
        <v>45906</v>
      </c>
      <c r="C1433" t="s">
        <v>1367</v>
      </c>
      <c r="D1433" t="s">
        <v>1615</v>
      </c>
      <c r="E1433" t="s">
        <v>1790</v>
      </c>
      <c r="F1433">
        <v>1</v>
      </c>
      <c r="G1433">
        <v>361.09</v>
      </c>
      <c r="H1433">
        <v>0.06</v>
      </c>
      <c r="I1433" t="s">
        <v>1809</v>
      </c>
      <c r="J1433">
        <v>339.42459999999988</v>
      </c>
    </row>
    <row r="1434" spans="1:10" x14ac:dyDescent="0.3">
      <c r="A1434" t="s">
        <v>3241</v>
      </c>
      <c r="B1434" s="1">
        <v>45243</v>
      </c>
      <c r="C1434" t="s">
        <v>1183</v>
      </c>
      <c r="D1434" t="s">
        <v>1677</v>
      </c>
      <c r="E1434" t="s">
        <v>1796</v>
      </c>
      <c r="F1434">
        <v>3</v>
      </c>
      <c r="G1434">
        <v>59.37</v>
      </c>
      <c r="H1434">
        <v>0.03</v>
      </c>
      <c r="I1434" t="s">
        <v>1809</v>
      </c>
      <c r="J1434">
        <v>172.76669999999999</v>
      </c>
    </row>
    <row r="1435" spans="1:10" x14ac:dyDescent="0.3">
      <c r="A1435" t="s">
        <v>3242</v>
      </c>
      <c r="B1435" s="1">
        <v>45686</v>
      </c>
      <c r="C1435" t="s">
        <v>143</v>
      </c>
      <c r="D1435" t="s">
        <v>1611</v>
      </c>
      <c r="E1435" t="s">
        <v>1740</v>
      </c>
      <c r="F1435">
        <v>3</v>
      </c>
      <c r="G1435">
        <v>765.21</v>
      </c>
      <c r="H1435">
        <v>0.14000000000000001</v>
      </c>
      <c r="I1435" t="s">
        <v>1812</v>
      </c>
      <c r="J1435">
        <v>1974.2418</v>
      </c>
    </row>
    <row r="1436" spans="1:10" x14ac:dyDescent="0.3">
      <c r="A1436" t="s">
        <v>3243</v>
      </c>
      <c r="B1436" s="1">
        <v>45472</v>
      </c>
      <c r="C1436" t="s">
        <v>773</v>
      </c>
      <c r="D1436" t="s">
        <v>1595</v>
      </c>
      <c r="E1436" t="s">
        <v>1777</v>
      </c>
      <c r="F1436">
        <v>4</v>
      </c>
      <c r="G1436">
        <v>303.56</v>
      </c>
      <c r="H1436">
        <v>0.2</v>
      </c>
      <c r="I1436" t="s">
        <v>1812</v>
      </c>
      <c r="J1436">
        <v>971.39200000000005</v>
      </c>
    </row>
    <row r="1437" spans="1:10" x14ac:dyDescent="0.3">
      <c r="A1437" t="s">
        <v>3244</v>
      </c>
      <c r="B1437" s="1">
        <v>45779</v>
      </c>
      <c r="C1437" t="s">
        <v>1355</v>
      </c>
      <c r="D1437" t="s">
        <v>1585</v>
      </c>
      <c r="E1437" t="s">
        <v>1735</v>
      </c>
      <c r="F1437">
        <v>1</v>
      </c>
      <c r="G1437">
        <v>640.92999999999995</v>
      </c>
      <c r="H1437">
        <v>0.19</v>
      </c>
      <c r="I1437" t="s">
        <v>1809</v>
      </c>
      <c r="J1437">
        <v>519.15329999999994</v>
      </c>
    </row>
    <row r="1438" spans="1:10" x14ac:dyDescent="0.3">
      <c r="A1438" t="s">
        <v>3245</v>
      </c>
      <c r="B1438" s="1">
        <v>45830</v>
      </c>
      <c r="C1438" t="s">
        <v>570</v>
      </c>
      <c r="D1438" t="s">
        <v>1703</v>
      </c>
      <c r="E1438" t="s">
        <v>1772</v>
      </c>
      <c r="F1438">
        <v>2</v>
      </c>
      <c r="G1438">
        <v>611.25</v>
      </c>
      <c r="H1438">
        <v>0.22</v>
      </c>
      <c r="I1438" t="s">
        <v>1807</v>
      </c>
      <c r="J1438">
        <v>953.55000000000007</v>
      </c>
    </row>
    <row r="1439" spans="1:10" x14ac:dyDescent="0.3">
      <c r="A1439" t="s">
        <v>3246</v>
      </c>
      <c r="B1439" s="1">
        <v>45756</v>
      </c>
      <c r="C1439" t="s">
        <v>1406</v>
      </c>
      <c r="D1439" t="s">
        <v>1663</v>
      </c>
      <c r="E1439" t="s">
        <v>1740</v>
      </c>
      <c r="F1439">
        <v>1</v>
      </c>
      <c r="G1439">
        <v>209.93</v>
      </c>
      <c r="H1439">
        <v>0.21</v>
      </c>
      <c r="I1439" t="s">
        <v>1807</v>
      </c>
      <c r="J1439">
        <v>165.84469999999999</v>
      </c>
    </row>
    <row r="1440" spans="1:10" x14ac:dyDescent="0.3">
      <c r="A1440" t="s">
        <v>3247</v>
      </c>
      <c r="B1440" s="1">
        <v>45847</v>
      </c>
      <c r="C1440" t="s">
        <v>382</v>
      </c>
      <c r="D1440" t="s">
        <v>1729</v>
      </c>
      <c r="E1440" t="s">
        <v>1772</v>
      </c>
      <c r="F1440">
        <v>3</v>
      </c>
      <c r="G1440">
        <v>130.38999999999999</v>
      </c>
      <c r="H1440">
        <v>0.24</v>
      </c>
      <c r="I1440" t="s">
        <v>1809</v>
      </c>
      <c r="J1440">
        <v>297.28919999999999</v>
      </c>
    </row>
    <row r="1441" spans="1:10" x14ac:dyDescent="0.3">
      <c r="A1441" t="s">
        <v>3248</v>
      </c>
      <c r="B1441" s="1">
        <v>45322</v>
      </c>
      <c r="C1441" t="s">
        <v>914</v>
      </c>
      <c r="D1441" t="s">
        <v>1717</v>
      </c>
      <c r="E1441" t="s">
        <v>1762</v>
      </c>
      <c r="F1441">
        <v>2</v>
      </c>
      <c r="G1441">
        <v>846.18</v>
      </c>
      <c r="H1441">
        <v>0.1</v>
      </c>
      <c r="I1441" t="s">
        <v>1812</v>
      </c>
      <c r="J1441">
        <v>1523.124</v>
      </c>
    </row>
    <row r="1442" spans="1:10" x14ac:dyDescent="0.3">
      <c r="A1442" t="s">
        <v>3249</v>
      </c>
      <c r="B1442" s="1">
        <v>45829</v>
      </c>
      <c r="C1442" t="s">
        <v>1097</v>
      </c>
      <c r="D1442" t="s">
        <v>1671</v>
      </c>
      <c r="E1442" t="s">
        <v>1782</v>
      </c>
      <c r="F1442">
        <v>2</v>
      </c>
      <c r="G1442">
        <v>424.53</v>
      </c>
      <c r="H1442">
        <v>0.14000000000000001</v>
      </c>
      <c r="I1442" t="s">
        <v>1812</v>
      </c>
      <c r="J1442">
        <v>730.19159999999999</v>
      </c>
    </row>
    <row r="1443" spans="1:10" x14ac:dyDescent="0.3">
      <c r="A1443" t="s">
        <v>3250</v>
      </c>
      <c r="B1443" s="1">
        <v>45539</v>
      </c>
      <c r="C1443" t="s">
        <v>817</v>
      </c>
      <c r="D1443" t="s">
        <v>1707</v>
      </c>
      <c r="E1443" t="s">
        <v>1782</v>
      </c>
      <c r="F1443">
        <v>4</v>
      </c>
      <c r="G1443">
        <v>450.42</v>
      </c>
      <c r="H1443">
        <v>0.08</v>
      </c>
      <c r="I1443" t="s">
        <v>1812</v>
      </c>
      <c r="J1443">
        <v>1657.5455999999999</v>
      </c>
    </row>
    <row r="1444" spans="1:10" x14ac:dyDescent="0.3">
      <c r="A1444" t="s">
        <v>3251</v>
      </c>
      <c r="B1444" s="1">
        <v>45893</v>
      </c>
      <c r="C1444" t="s">
        <v>518</v>
      </c>
      <c r="D1444" t="s">
        <v>1583</v>
      </c>
      <c r="E1444" t="s">
        <v>1769</v>
      </c>
      <c r="F1444">
        <v>4</v>
      </c>
      <c r="G1444">
        <v>896.91</v>
      </c>
      <c r="H1444">
        <v>0.1</v>
      </c>
      <c r="I1444" t="s">
        <v>1807</v>
      </c>
      <c r="J1444">
        <v>3228.8760000000002</v>
      </c>
    </row>
    <row r="1445" spans="1:10" x14ac:dyDescent="0.3">
      <c r="A1445" t="s">
        <v>3252</v>
      </c>
      <c r="B1445" s="1">
        <v>45814</v>
      </c>
      <c r="C1445" t="s">
        <v>1475</v>
      </c>
      <c r="D1445" t="s">
        <v>1725</v>
      </c>
      <c r="E1445" t="s">
        <v>1772</v>
      </c>
      <c r="F1445">
        <v>3</v>
      </c>
      <c r="G1445">
        <v>679.38</v>
      </c>
      <c r="H1445">
        <v>0.3</v>
      </c>
      <c r="I1445" t="s">
        <v>1812</v>
      </c>
      <c r="J1445">
        <v>1426.6980000000001</v>
      </c>
    </row>
    <row r="1446" spans="1:10" x14ac:dyDescent="0.3">
      <c r="A1446" t="s">
        <v>3253</v>
      </c>
      <c r="B1446" s="1">
        <v>45571</v>
      </c>
      <c r="C1446" t="s">
        <v>75</v>
      </c>
      <c r="D1446" t="s">
        <v>1691</v>
      </c>
      <c r="E1446" t="s">
        <v>1787</v>
      </c>
      <c r="F1446">
        <v>3</v>
      </c>
      <c r="G1446">
        <v>483.63</v>
      </c>
      <c r="H1446">
        <v>0</v>
      </c>
      <c r="I1446" t="s">
        <v>1807</v>
      </c>
      <c r="J1446">
        <v>1450.89</v>
      </c>
    </row>
    <row r="1447" spans="1:10" x14ac:dyDescent="0.3">
      <c r="A1447" t="s">
        <v>3254</v>
      </c>
      <c r="B1447" s="1">
        <v>45542</v>
      </c>
      <c r="C1447" t="s">
        <v>124</v>
      </c>
      <c r="D1447" t="s">
        <v>1609</v>
      </c>
      <c r="E1447" t="s">
        <v>1735</v>
      </c>
      <c r="F1447">
        <v>3</v>
      </c>
      <c r="G1447">
        <v>158.27000000000001</v>
      </c>
      <c r="H1447">
        <v>0.24</v>
      </c>
      <c r="I1447" t="s">
        <v>1812</v>
      </c>
      <c r="J1447">
        <v>360.85559999999998</v>
      </c>
    </row>
    <row r="1448" spans="1:10" x14ac:dyDescent="0.3">
      <c r="A1448" t="s">
        <v>3255</v>
      </c>
      <c r="B1448" s="1">
        <v>45758</v>
      </c>
      <c r="C1448" t="s">
        <v>397</v>
      </c>
      <c r="D1448" t="s">
        <v>1532</v>
      </c>
      <c r="E1448" t="s">
        <v>1784</v>
      </c>
      <c r="F1448">
        <v>4</v>
      </c>
      <c r="G1448">
        <v>601.5</v>
      </c>
      <c r="H1448">
        <v>0.18</v>
      </c>
      <c r="I1448" t="s">
        <v>1807</v>
      </c>
      <c r="J1448">
        <v>1972.92</v>
      </c>
    </row>
    <row r="1449" spans="1:10" x14ac:dyDescent="0.3">
      <c r="A1449" t="s">
        <v>3256</v>
      </c>
      <c r="B1449" s="1">
        <v>45709</v>
      </c>
      <c r="C1449" t="s">
        <v>252</v>
      </c>
      <c r="D1449" t="s">
        <v>1593</v>
      </c>
      <c r="E1449" t="s">
        <v>1793</v>
      </c>
      <c r="F1449">
        <v>2</v>
      </c>
      <c r="G1449">
        <v>46.39</v>
      </c>
      <c r="H1449">
        <v>7.0000000000000007E-2</v>
      </c>
      <c r="I1449" t="s">
        <v>1807</v>
      </c>
      <c r="J1449">
        <v>86.285399999999996</v>
      </c>
    </row>
    <row r="1450" spans="1:10" x14ac:dyDescent="0.3">
      <c r="A1450" t="s">
        <v>3257</v>
      </c>
      <c r="B1450" s="1">
        <v>45587</v>
      </c>
      <c r="C1450" t="s">
        <v>409</v>
      </c>
      <c r="D1450" t="s">
        <v>1695</v>
      </c>
      <c r="E1450" t="s">
        <v>1765</v>
      </c>
      <c r="F1450">
        <v>4</v>
      </c>
      <c r="G1450">
        <v>892.28</v>
      </c>
      <c r="H1450">
        <v>0.23</v>
      </c>
      <c r="I1450" t="s">
        <v>1807</v>
      </c>
      <c r="J1450">
        <v>2748.2224000000001</v>
      </c>
    </row>
    <row r="1451" spans="1:10" x14ac:dyDescent="0.3">
      <c r="A1451" t="s">
        <v>3258</v>
      </c>
      <c r="B1451" s="1">
        <v>45494</v>
      </c>
      <c r="C1451" t="s">
        <v>710</v>
      </c>
      <c r="D1451" t="s">
        <v>1551</v>
      </c>
      <c r="E1451" t="s">
        <v>1762</v>
      </c>
      <c r="F1451">
        <v>2</v>
      </c>
      <c r="G1451">
        <v>164.23</v>
      </c>
      <c r="H1451">
        <v>0.17</v>
      </c>
      <c r="I1451" t="s">
        <v>1807</v>
      </c>
      <c r="J1451">
        <v>272.62180000000001</v>
      </c>
    </row>
    <row r="1452" spans="1:10" x14ac:dyDescent="0.3">
      <c r="A1452" t="s">
        <v>3259</v>
      </c>
      <c r="B1452" s="1">
        <v>45305</v>
      </c>
      <c r="C1452" t="s">
        <v>1381</v>
      </c>
      <c r="D1452" t="s">
        <v>1548</v>
      </c>
      <c r="E1452" t="s">
        <v>1762</v>
      </c>
      <c r="F1452">
        <v>1</v>
      </c>
      <c r="G1452">
        <v>484.23</v>
      </c>
      <c r="H1452">
        <v>0.12</v>
      </c>
      <c r="I1452" t="s">
        <v>1812</v>
      </c>
      <c r="J1452">
        <v>426.12240000000003</v>
      </c>
    </row>
    <row r="1453" spans="1:10" x14ac:dyDescent="0.3">
      <c r="A1453" t="s">
        <v>3260</v>
      </c>
      <c r="B1453" s="1">
        <v>45383</v>
      </c>
      <c r="C1453" t="s">
        <v>32</v>
      </c>
      <c r="D1453" t="s">
        <v>1601</v>
      </c>
      <c r="E1453" t="s">
        <v>1793</v>
      </c>
      <c r="F1453">
        <v>3</v>
      </c>
      <c r="G1453">
        <v>341.51</v>
      </c>
      <c r="H1453">
        <v>0.22</v>
      </c>
      <c r="I1453" t="s">
        <v>1812</v>
      </c>
      <c r="J1453">
        <v>799.13340000000005</v>
      </c>
    </row>
    <row r="1454" spans="1:10" x14ac:dyDescent="0.3">
      <c r="A1454" t="s">
        <v>3261</v>
      </c>
      <c r="B1454" s="1">
        <v>45788</v>
      </c>
      <c r="C1454" t="s">
        <v>379</v>
      </c>
      <c r="D1454" t="s">
        <v>1727</v>
      </c>
      <c r="E1454" t="s">
        <v>1780</v>
      </c>
      <c r="F1454">
        <v>3</v>
      </c>
      <c r="G1454">
        <v>758.87</v>
      </c>
      <c r="H1454">
        <v>0.11</v>
      </c>
      <c r="I1454" t="s">
        <v>1809</v>
      </c>
      <c r="J1454">
        <v>2026.1829</v>
      </c>
    </row>
    <row r="1455" spans="1:10" x14ac:dyDescent="0.3">
      <c r="A1455" t="s">
        <v>3262</v>
      </c>
      <c r="B1455" s="1">
        <v>45855</v>
      </c>
      <c r="C1455" t="s">
        <v>1433</v>
      </c>
      <c r="D1455" t="s">
        <v>1643</v>
      </c>
      <c r="E1455" t="s">
        <v>1777</v>
      </c>
      <c r="F1455">
        <v>3</v>
      </c>
      <c r="G1455">
        <v>560.52</v>
      </c>
      <c r="H1455">
        <v>0.17</v>
      </c>
      <c r="I1455" t="s">
        <v>1807</v>
      </c>
      <c r="J1455">
        <v>1395.6948</v>
      </c>
    </row>
    <row r="1456" spans="1:10" x14ac:dyDescent="0.3">
      <c r="A1456" t="s">
        <v>3263</v>
      </c>
      <c r="B1456" s="1">
        <v>45533</v>
      </c>
      <c r="C1456" t="s">
        <v>1089</v>
      </c>
      <c r="D1456" t="s">
        <v>1723</v>
      </c>
      <c r="E1456" t="s">
        <v>1790</v>
      </c>
      <c r="F1456">
        <v>2</v>
      </c>
      <c r="G1456">
        <v>977.18</v>
      </c>
      <c r="H1456">
        <v>0.19</v>
      </c>
      <c r="I1456" t="s">
        <v>1807</v>
      </c>
      <c r="J1456">
        <v>1583.0316</v>
      </c>
    </row>
    <row r="1457" spans="1:10" x14ac:dyDescent="0.3">
      <c r="A1457" t="s">
        <v>3264</v>
      </c>
      <c r="B1457" s="1">
        <v>45763</v>
      </c>
      <c r="C1457" t="s">
        <v>752</v>
      </c>
      <c r="D1457" t="s">
        <v>1563</v>
      </c>
      <c r="E1457" t="s">
        <v>1782</v>
      </c>
      <c r="F1457">
        <v>4</v>
      </c>
      <c r="G1457">
        <v>761.35</v>
      </c>
      <c r="H1457">
        <v>0.08</v>
      </c>
      <c r="I1457" t="s">
        <v>1807</v>
      </c>
      <c r="J1457">
        <v>2801.768</v>
      </c>
    </row>
    <row r="1458" spans="1:10" x14ac:dyDescent="0.3">
      <c r="A1458" t="s">
        <v>3265</v>
      </c>
      <c r="B1458" s="1">
        <v>45900</v>
      </c>
      <c r="C1458" t="s">
        <v>586</v>
      </c>
      <c r="D1458" t="s">
        <v>1665</v>
      </c>
      <c r="E1458" t="s">
        <v>1793</v>
      </c>
      <c r="F1458">
        <v>2</v>
      </c>
      <c r="G1458">
        <v>947.56</v>
      </c>
      <c r="H1458">
        <v>0.02</v>
      </c>
      <c r="I1458" t="s">
        <v>1812</v>
      </c>
      <c r="J1458">
        <v>1857.2175999999999</v>
      </c>
    </row>
    <row r="1459" spans="1:10" x14ac:dyDescent="0.3">
      <c r="A1459" t="s">
        <v>3266</v>
      </c>
      <c r="B1459" s="1">
        <v>45943</v>
      </c>
      <c r="C1459" t="s">
        <v>758</v>
      </c>
      <c r="D1459" t="s">
        <v>1617</v>
      </c>
      <c r="E1459" t="s">
        <v>1793</v>
      </c>
      <c r="F1459">
        <v>4</v>
      </c>
      <c r="G1459">
        <v>975.47</v>
      </c>
      <c r="H1459">
        <v>0.04</v>
      </c>
      <c r="I1459" t="s">
        <v>1807</v>
      </c>
      <c r="J1459">
        <v>3745.8047999999999</v>
      </c>
    </row>
    <row r="1460" spans="1:10" x14ac:dyDescent="0.3">
      <c r="A1460" t="s">
        <v>3267</v>
      </c>
      <c r="B1460" s="1">
        <v>45448</v>
      </c>
      <c r="C1460" t="s">
        <v>1453</v>
      </c>
      <c r="D1460" t="s">
        <v>1557</v>
      </c>
      <c r="E1460" t="s">
        <v>1769</v>
      </c>
      <c r="F1460">
        <v>3</v>
      </c>
      <c r="G1460">
        <v>769.06</v>
      </c>
      <c r="H1460">
        <v>0.23</v>
      </c>
      <c r="I1460" t="s">
        <v>1812</v>
      </c>
      <c r="J1460">
        <v>1776.5286000000001</v>
      </c>
    </row>
    <row r="1461" spans="1:10" x14ac:dyDescent="0.3">
      <c r="A1461" t="s">
        <v>3268</v>
      </c>
      <c r="B1461" s="1">
        <v>45929</v>
      </c>
      <c r="C1461" t="s">
        <v>1478</v>
      </c>
      <c r="D1461" t="s">
        <v>1609</v>
      </c>
      <c r="E1461" t="s">
        <v>1744</v>
      </c>
      <c r="F1461">
        <v>3</v>
      </c>
      <c r="G1461">
        <v>824.75</v>
      </c>
      <c r="H1461">
        <v>0.23</v>
      </c>
      <c r="I1461" t="s">
        <v>1807</v>
      </c>
      <c r="J1461">
        <v>1905.1724999999999</v>
      </c>
    </row>
    <row r="1462" spans="1:10" x14ac:dyDescent="0.3">
      <c r="A1462" t="s">
        <v>3269</v>
      </c>
      <c r="B1462" s="1">
        <v>45478</v>
      </c>
      <c r="C1462" t="s">
        <v>1235</v>
      </c>
      <c r="D1462" t="s">
        <v>1667</v>
      </c>
      <c r="E1462" t="s">
        <v>1752</v>
      </c>
      <c r="F1462">
        <v>2</v>
      </c>
      <c r="G1462">
        <v>821.35</v>
      </c>
      <c r="H1462">
        <v>0.11</v>
      </c>
      <c r="I1462" t="s">
        <v>1809</v>
      </c>
      <c r="J1462">
        <v>1462.0029999999999</v>
      </c>
    </row>
    <row r="1463" spans="1:10" x14ac:dyDescent="0.3">
      <c r="A1463" t="s">
        <v>3270</v>
      </c>
      <c r="B1463" s="1">
        <v>45723</v>
      </c>
      <c r="C1463" t="s">
        <v>1246</v>
      </c>
      <c r="D1463" t="s">
        <v>1557</v>
      </c>
      <c r="E1463" t="s">
        <v>1772</v>
      </c>
      <c r="F1463">
        <v>1</v>
      </c>
      <c r="G1463">
        <v>120.57</v>
      </c>
      <c r="H1463">
        <v>0.06</v>
      </c>
      <c r="I1463" t="s">
        <v>1809</v>
      </c>
      <c r="J1463">
        <v>113.33580000000001</v>
      </c>
    </row>
    <row r="1464" spans="1:10" x14ac:dyDescent="0.3">
      <c r="A1464" t="s">
        <v>3271</v>
      </c>
      <c r="B1464" s="1">
        <v>45240</v>
      </c>
      <c r="C1464" t="s">
        <v>1042</v>
      </c>
      <c r="D1464" t="s">
        <v>1709</v>
      </c>
      <c r="E1464" t="s">
        <v>1740</v>
      </c>
      <c r="F1464">
        <v>1</v>
      </c>
      <c r="G1464">
        <v>122.27</v>
      </c>
      <c r="H1464">
        <v>0.26</v>
      </c>
      <c r="I1464" t="s">
        <v>1809</v>
      </c>
      <c r="J1464">
        <v>90.479799999999997</v>
      </c>
    </row>
    <row r="1465" spans="1:10" x14ac:dyDescent="0.3">
      <c r="A1465" t="s">
        <v>3272</v>
      </c>
      <c r="B1465" s="1">
        <v>45890</v>
      </c>
      <c r="C1465" t="s">
        <v>560</v>
      </c>
      <c r="D1465" t="s">
        <v>1583</v>
      </c>
      <c r="E1465" t="s">
        <v>1744</v>
      </c>
      <c r="F1465">
        <v>2</v>
      </c>
      <c r="G1465">
        <v>182.89</v>
      </c>
      <c r="H1465">
        <v>0.11</v>
      </c>
      <c r="I1465" t="s">
        <v>1807</v>
      </c>
      <c r="J1465">
        <v>325.54419999999999</v>
      </c>
    </row>
    <row r="1466" spans="1:10" x14ac:dyDescent="0.3">
      <c r="A1466" t="s">
        <v>3273</v>
      </c>
      <c r="B1466" s="1">
        <v>45796</v>
      </c>
      <c r="C1466" t="s">
        <v>1147</v>
      </c>
      <c r="D1466" t="s">
        <v>1623</v>
      </c>
      <c r="E1466" t="s">
        <v>1752</v>
      </c>
      <c r="F1466">
        <v>1</v>
      </c>
      <c r="G1466">
        <v>695.26</v>
      </c>
      <c r="H1466">
        <v>0.23</v>
      </c>
      <c r="I1466" t="s">
        <v>1809</v>
      </c>
      <c r="J1466">
        <v>535.35019999999997</v>
      </c>
    </row>
    <row r="1467" spans="1:10" x14ac:dyDescent="0.3">
      <c r="A1467" t="s">
        <v>3274</v>
      </c>
      <c r="B1467" s="1">
        <v>45895</v>
      </c>
      <c r="C1467" t="s">
        <v>114</v>
      </c>
      <c r="D1467" t="s">
        <v>1589</v>
      </c>
      <c r="E1467" t="s">
        <v>1759</v>
      </c>
      <c r="F1467">
        <v>2</v>
      </c>
      <c r="G1467">
        <v>408.8</v>
      </c>
      <c r="H1467">
        <v>0.17</v>
      </c>
      <c r="I1467" t="s">
        <v>1812</v>
      </c>
      <c r="J1467">
        <v>678.60799999999995</v>
      </c>
    </row>
    <row r="1468" spans="1:10" x14ac:dyDescent="0.3">
      <c r="A1468" t="s">
        <v>3275</v>
      </c>
      <c r="B1468" s="1">
        <v>45676</v>
      </c>
      <c r="C1468" t="s">
        <v>724</v>
      </c>
      <c r="D1468" t="s">
        <v>1629</v>
      </c>
      <c r="E1468" t="s">
        <v>1765</v>
      </c>
      <c r="F1468">
        <v>3</v>
      </c>
      <c r="G1468">
        <v>512.15</v>
      </c>
      <c r="H1468">
        <v>0.12</v>
      </c>
      <c r="I1468" t="s">
        <v>1807</v>
      </c>
      <c r="J1468">
        <v>1352.076</v>
      </c>
    </row>
    <row r="1469" spans="1:10" x14ac:dyDescent="0.3">
      <c r="A1469" t="s">
        <v>3276</v>
      </c>
      <c r="B1469" s="1">
        <v>45568</v>
      </c>
      <c r="C1469" t="s">
        <v>1258</v>
      </c>
      <c r="D1469" t="s">
        <v>1548</v>
      </c>
      <c r="E1469" t="s">
        <v>1765</v>
      </c>
      <c r="F1469">
        <v>3</v>
      </c>
      <c r="G1469">
        <v>136.4</v>
      </c>
      <c r="H1469">
        <v>0.15</v>
      </c>
      <c r="I1469" t="s">
        <v>1809</v>
      </c>
      <c r="J1469">
        <v>347.82000000000011</v>
      </c>
    </row>
    <row r="1470" spans="1:10" x14ac:dyDescent="0.3">
      <c r="A1470" t="s">
        <v>3277</v>
      </c>
      <c r="B1470" s="1">
        <v>45272</v>
      </c>
      <c r="C1470" t="s">
        <v>573</v>
      </c>
      <c r="D1470" t="s">
        <v>1540</v>
      </c>
      <c r="E1470" t="s">
        <v>1749</v>
      </c>
      <c r="F1470">
        <v>2</v>
      </c>
      <c r="G1470">
        <v>42.51</v>
      </c>
      <c r="H1470">
        <v>0.04</v>
      </c>
      <c r="I1470" t="s">
        <v>1812</v>
      </c>
      <c r="J1470">
        <v>81.619199999999992</v>
      </c>
    </row>
    <row r="1471" spans="1:10" x14ac:dyDescent="0.3">
      <c r="A1471" t="s">
        <v>3278</v>
      </c>
      <c r="B1471" s="1">
        <v>45718</v>
      </c>
      <c r="C1471" t="s">
        <v>1112</v>
      </c>
      <c r="D1471" t="s">
        <v>1681</v>
      </c>
      <c r="E1471" t="s">
        <v>1762</v>
      </c>
      <c r="F1471">
        <v>3</v>
      </c>
      <c r="G1471">
        <v>582.1</v>
      </c>
      <c r="H1471">
        <v>0.12</v>
      </c>
      <c r="I1471" t="s">
        <v>1809</v>
      </c>
      <c r="J1471">
        <v>1536.7439999999999</v>
      </c>
    </row>
    <row r="1472" spans="1:10" x14ac:dyDescent="0.3">
      <c r="A1472" t="s">
        <v>3279</v>
      </c>
      <c r="B1472" s="1">
        <v>45356</v>
      </c>
      <c r="C1472" t="s">
        <v>705</v>
      </c>
      <c r="D1472" t="s">
        <v>1695</v>
      </c>
      <c r="E1472" t="s">
        <v>1790</v>
      </c>
      <c r="F1472">
        <v>4</v>
      </c>
      <c r="G1472">
        <v>461.52</v>
      </c>
      <c r="H1472">
        <v>0</v>
      </c>
      <c r="I1472" t="s">
        <v>1812</v>
      </c>
      <c r="J1472">
        <v>1846.08</v>
      </c>
    </row>
    <row r="1473" spans="1:10" x14ac:dyDescent="0.3">
      <c r="A1473" t="s">
        <v>3280</v>
      </c>
      <c r="B1473" s="1">
        <v>45552</v>
      </c>
      <c r="C1473" t="s">
        <v>1507</v>
      </c>
      <c r="D1473" t="s">
        <v>1563</v>
      </c>
      <c r="E1473" t="s">
        <v>1775</v>
      </c>
      <c r="F1473">
        <v>1</v>
      </c>
      <c r="G1473">
        <v>558.41999999999996</v>
      </c>
      <c r="H1473">
        <v>0.03</v>
      </c>
      <c r="I1473" t="s">
        <v>1807</v>
      </c>
      <c r="J1473">
        <v>541.66739999999993</v>
      </c>
    </row>
    <row r="1474" spans="1:10" x14ac:dyDescent="0.3">
      <c r="A1474" t="s">
        <v>3281</v>
      </c>
      <c r="B1474" s="1">
        <v>45288</v>
      </c>
      <c r="C1474" t="s">
        <v>832</v>
      </c>
      <c r="D1474" t="s">
        <v>1555</v>
      </c>
      <c r="E1474" t="s">
        <v>1793</v>
      </c>
      <c r="F1474">
        <v>4</v>
      </c>
      <c r="G1474">
        <v>700.98</v>
      </c>
      <c r="H1474">
        <v>0.12</v>
      </c>
      <c r="I1474" t="s">
        <v>1809</v>
      </c>
      <c r="J1474">
        <v>2467.4495999999999</v>
      </c>
    </row>
    <row r="1475" spans="1:10" x14ac:dyDescent="0.3">
      <c r="A1475" t="s">
        <v>3282</v>
      </c>
      <c r="B1475" s="1">
        <v>45605</v>
      </c>
      <c r="C1475" t="s">
        <v>1246</v>
      </c>
      <c r="D1475" t="s">
        <v>1701</v>
      </c>
      <c r="E1475" t="s">
        <v>1793</v>
      </c>
      <c r="F1475">
        <v>2</v>
      </c>
      <c r="G1475">
        <v>227.97</v>
      </c>
      <c r="H1475">
        <v>0.08</v>
      </c>
      <c r="I1475" t="s">
        <v>1812</v>
      </c>
      <c r="J1475">
        <v>419.46480000000003</v>
      </c>
    </row>
    <row r="1476" spans="1:10" x14ac:dyDescent="0.3">
      <c r="A1476" t="s">
        <v>3283</v>
      </c>
      <c r="B1476" s="1">
        <v>45516</v>
      </c>
      <c r="C1476" t="s">
        <v>1445</v>
      </c>
      <c r="D1476" t="s">
        <v>1609</v>
      </c>
      <c r="E1476" t="s">
        <v>1775</v>
      </c>
      <c r="F1476">
        <v>4</v>
      </c>
      <c r="G1476">
        <v>278.70999999999998</v>
      </c>
      <c r="H1476">
        <v>0.2</v>
      </c>
      <c r="I1476" t="s">
        <v>1809</v>
      </c>
      <c r="J1476">
        <v>891.87199999999996</v>
      </c>
    </row>
    <row r="1477" spans="1:10" x14ac:dyDescent="0.3">
      <c r="A1477" t="s">
        <v>3284</v>
      </c>
      <c r="B1477" s="1">
        <v>45379</v>
      </c>
      <c r="C1477" t="s">
        <v>820</v>
      </c>
      <c r="D1477" t="s">
        <v>1729</v>
      </c>
      <c r="E1477" t="s">
        <v>1765</v>
      </c>
      <c r="F1477">
        <v>2</v>
      </c>
      <c r="G1477">
        <v>916.12</v>
      </c>
      <c r="H1477">
        <v>0.05</v>
      </c>
      <c r="I1477" t="s">
        <v>1809</v>
      </c>
      <c r="J1477">
        <v>1740.6279999999999</v>
      </c>
    </row>
    <row r="1478" spans="1:10" x14ac:dyDescent="0.3">
      <c r="A1478" t="s">
        <v>3285</v>
      </c>
      <c r="B1478" s="1">
        <v>45567</v>
      </c>
      <c r="C1478" t="s">
        <v>450</v>
      </c>
      <c r="D1478" t="s">
        <v>1551</v>
      </c>
      <c r="E1478" t="s">
        <v>1777</v>
      </c>
      <c r="F1478">
        <v>4</v>
      </c>
      <c r="G1478">
        <v>228.98</v>
      </c>
      <c r="H1478">
        <v>0.22</v>
      </c>
      <c r="I1478" t="s">
        <v>1809</v>
      </c>
      <c r="J1478">
        <v>714.41759999999999</v>
      </c>
    </row>
    <row r="1479" spans="1:10" x14ac:dyDescent="0.3">
      <c r="A1479" t="s">
        <v>3286</v>
      </c>
      <c r="B1479" s="1">
        <v>45510</v>
      </c>
      <c r="C1479" t="s">
        <v>746</v>
      </c>
      <c r="D1479" t="s">
        <v>1709</v>
      </c>
      <c r="E1479" t="s">
        <v>1784</v>
      </c>
      <c r="F1479">
        <v>4</v>
      </c>
      <c r="G1479">
        <v>904.82</v>
      </c>
      <c r="H1479">
        <v>0.09</v>
      </c>
      <c r="I1479" t="s">
        <v>1809</v>
      </c>
      <c r="J1479">
        <v>3293.5448000000001</v>
      </c>
    </row>
    <row r="1480" spans="1:10" x14ac:dyDescent="0.3">
      <c r="A1480" t="s">
        <v>3287</v>
      </c>
      <c r="B1480" s="1">
        <v>45806</v>
      </c>
      <c r="C1480" t="s">
        <v>292</v>
      </c>
      <c r="D1480" t="s">
        <v>1577</v>
      </c>
      <c r="E1480" t="s">
        <v>1775</v>
      </c>
      <c r="F1480">
        <v>1</v>
      </c>
      <c r="G1480">
        <v>588.61</v>
      </c>
      <c r="H1480">
        <v>0.1</v>
      </c>
      <c r="I1480" t="s">
        <v>1809</v>
      </c>
      <c r="J1480">
        <v>529.74900000000002</v>
      </c>
    </row>
    <row r="1481" spans="1:10" x14ac:dyDescent="0.3">
      <c r="A1481" t="s">
        <v>3288</v>
      </c>
      <c r="B1481" s="1">
        <v>45240</v>
      </c>
      <c r="C1481" t="s">
        <v>391</v>
      </c>
      <c r="D1481" t="s">
        <v>1597</v>
      </c>
      <c r="E1481" t="s">
        <v>1749</v>
      </c>
      <c r="F1481">
        <v>4</v>
      </c>
      <c r="G1481">
        <v>695.97</v>
      </c>
      <c r="H1481">
        <v>0.02</v>
      </c>
      <c r="I1481" t="s">
        <v>1807</v>
      </c>
      <c r="J1481">
        <v>2728.2024000000001</v>
      </c>
    </row>
    <row r="1482" spans="1:10" x14ac:dyDescent="0.3">
      <c r="A1482" t="s">
        <v>3289</v>
      </c>
      <c r="B1482" s="1">
        <v>45309</v>
      </c>
      <c r="C1482" t="s">
        <v>942</v>
      </c>
      <c r="D1482" t="s">
        <v>1725</v>
      </c>
      <c r="E1482" t="s">
        <v>1775</v>
      </c>
      <c r="F1482">
        <v>2</v>
      </c>
      <c r="G1482">
        <v>181.42</v>
      </c>
      <c r="H1482">
        <v>0.08</v>
      </c>
      <c r="I1482" t="s">
        <v>1809</v>
      </c>
      <c r="J1482">
        <v>333.81279999999998</v>
      </c>
    </row>
    <row r="1483" spans="1:10" x14ac:dyDescent="0.3">
      <c r="A1483" t="s">
        <v>3290</v>
      </c>
      <c r="B1483" s="1">
        <v>45375</v>
      </c>
      <c r="C1483" t="s">
        <v>100</v>
      </c>
      <c r="D1483" t="s">
        <v>1725</v>
      </c>
      <c r="E1483" t="s">
        <v>1780</v>
      </c>
      <c r="F1483">
        <v>1</v>
      </c>
      <c r="G1483">
        <v>439.55</v>
      </c>
      <c r="H1483">
        <v>0.28999999999999998</v>
      </c>
      <c r="I1483" t="s">
        <v>1812</v>
      </c>
      <c r="J1483">
        <v>312.08049999999997</v>
      </c>
    </row>
    <row r="1484" spans="1:10" x14ac:dyDescent="0.3">
      <c r="A1484" t="s">
        <v>3291</v>
      </c>
      <c r="B1484" s="1">
        <v>45733</v>
      </c>
      <c r="C1484" t="s">
        <v>394</v>
      </c>
      <c r="D1484" t="s">
        <v>1641</v>
      </c>
      <c r="E1484" t="s">
        <v>1793</v>
      </c>
      <c r="F1484">
        <v>3</v>
      </c>
      <c r="G1484">
        <v>471.27</v>
      </c>
      <c r="H1484">
        <v>0.27</v>
      </c>
      <c r="I1484" t="s">
        <v>1812</v>
      </c>
      <c r="J1484">
        <v>1032.0813000000001</v>
      </c>
    </row>
    <row r="1485" spans="1:10" x14ac:dyDescent="0.3">
      <c r="A1485" t="s">
        <v>3292</v>
      </c>
      <c r="B1485" s="1">
        <v>45435</v>
      </c>
      <c r="C1485" t="s">
        <v>171</v>
      </c>
      <c r="D1485" t="s">
        <v>1649</v>
      </c>
      <c r="E1485" t="s">
        <v>1777</v>
      </c>
      <c r="F1485">
        <v>1</v>
      </c>
      <c r="G1485">
        <v>758.89</v>
      </c>
      <c r="H1485">
        <v>0.1</v>
      </c>
      <c r="I1485" t="s">
        <v>1807</v>
      </c>
      <c r="J1485">
        <v>683.00099999999998</v>
      </c>
    </row>
    <row r="1486" spans="1:10" x14ac:dyDescent="0.3">
      <c r="A1486" t="s">
        <v>3293</v>
      </c>
      <c r="B1486" s="1">
        <v>45864</v>
      </c>
      <c r="C1486" t="s">
        <v>1475</v>
      </c>
      <c r="D1486" t="s">
        <v>1721</v>
      </c>
      <c r="E1486" t="s">
        <v>1784</v>
      </c>
      <c r="F1486">
        <v>4</v>
      </c>
      <c r="G1486">
        <v>918.1</v>
      </c>
      <c r="H1486">
        <v>0.19</v>
      </c>
      <c r="I1486" t="s">
        <v>1812</v>
      </c>
      <c r="J1486">
        <v>2974.6439999999998</v>
      </c>
    </row>
    <row r="1487" spans="1:10" x14ac:dyDescent="0.3">
      <c r="A1487" t="s">
        <v>3294</v>
      </c>
      <c r="B1487" s="1">
        <v>45569</v>
      </c>
      <c r="C1487" t="s">
        <v>820</v>
      </c>
      <c r="D1487" t="s">
        <v>1719</v>
      </c>
      <c r="E1487" t="s">
        <v>1775</v>
      </c>
      <c r="F1487">
        <v>1</v>
      </c>
      <c r="G1487">
        <v>861.5</v>
      </c>
      <c r="H1487">
        <v>0.05</v>
      </c>
      <c r="I1487" t="s">
        <v>1812</v>
      </c>
      <c r="J1487">
        <v>818.42499999999995</v>
      </c>
    </row>
    <row r="1488" spans="1:10" x14ac:dyDescent="0.3">
      <c r="A1488" t="s">
        <v>3295</v>
      </c>
      <c r="B1488" s="1">
        <v>45664</v>
      </c>
      <c r="C1488" t="s">
        <v>1409</v>
      </c>
      <c r="D1488" t="s">
        <v>1575</v>
      </c>
      <c r="E1488" t="s">
        <v>1782</v>
      </c>
      <c r="F1488">
        <v>1</v>
      </c>
      <c r="G1488">
        <v>588.29999999999995</v>
      </c>
      <c r="H1488">
        <v>0.26</v>
      </c>
      <c r="I1488" t="s">
        <v>1812</v>
      </c>
      <c r="J1488">
        <v>435.34199999999998</v>
      </c>
    </row>
    <row r="1489" spans="1:10" x14ac:dyDescent="0.3">
      <c r="A1489" t="s">
        <v>3296</v>
      </c>
      <c r="B1489" s="1">
        <v>45645</v>
      </c>
      <c r="C1489" t="s">
        <v>1409</v>
      </c>
      <c r="D1489" t="s">
        <v>1641</v>
      </c>
      <c r="E1489" t="s">
        <v>1762</v>
      </c>
      <c r="F1489">
        <v>1</v>
      </c>
      <c r="G1489">
        <v>917.26</v>
      </c>
      <c r="H1489">
        <v>0.05</v>
      </c>
      <c r="I1489" t="s">
        <v>1809</v>
      </c>
      <c r="J1489">
        <v>871.39699999999993</v>
      </c>
    </row>
    <row r="1490" spans="1:10" x14ac:dyDescent="0.3">
      <c r="A1490" t="s">
        <v>3297</v>
      </c>
      <c r="B1490" s="1">
        <v>45449</v>
      </c>
      <c r="C1490" t="s">
        <v>743</v>
      </c>
      <c r="D1490" t="s">
        <v>1540</v>
      </c>
      <c r="E1490" t="s">
        <v>1793</v>
      </c>
      <c r="F1490">
        <v>4</v>
      </c>
      <c r="G1490">
        <v>96.78</v>
      </c>
      <c r="H1490">
        <v>0.11</v>
      </c>
      <c r="I1490" t="s">
        <v>1809</v>
      </c>
      <c r="J1490">
        <v>344.53680000000003</v>
      </c>
    </row>
    <row r="1491" spans="1:10" x14ac:dyDescent="0.3">
      <c r="A1491" t="s">
        <v>3298</v>
      </c>
      <c r="B1491" s="1">
        <v>45629</v>
      </c>
      <c r="C1491" t="s">
        <v>1456</v>
      </c>
      <c r="D1491" t="s">
        <v>1587</v>
      </c>
      <c r="E1491" t="s">
        <v>1752</v>
      </c>
      <c r="F1491">
        <v>3</v>
      </c>
      <c r="G1491">
        <v>199.41</v>
      </c>
      <c r="H1491">
        <v>0.16</v>
      </c>
      <c r="I1491" t="s">
        <v>1812</v>
      </c>
      <c r="J1491">
        <v>502.51319999999998</v>
      </c>
    </row>
    <row r="1492" spans="1:10" x14ac:dyDescent="0.3">
      <c r="A1492" t="s">
        <v>3299</v>
      </c>
      <c r="B1492" s="1">
        <v>45739</v>
      </c>
      <c r="C1492" t="s">
        <v>85</v>
      </c>
      <c r="D1492" t="s">
        <v>1639</v>
      </c>
      <c r="E1492" t="s">
        <v>1769</v>
      </c>
      <c r="F1492">
        <v>1</v>
      </c>
      <c r="G1492">
        <v>687.91</v>
      </c>
      <c r="H1492">
        <v>0.25</v>
      </c>
      <c r="I1492" t="s">
        <v>1807</v>
      </c>
      <c r="J1492">
        <v>515.9325</v>
      </c>
    </row>
    <row r="1493" spans="1:10" x14ac:dyDescent="0.3">
      <c r="A1493" t="s">
        <v>3300</v>
      </c>
      <c r="B1493" s="1">
        <v>45849</v>
      </c>
      <c r="C1493" t="s">
        <v>152</v>
      </c>
      <c r="D1493" t="s">
        <v>1673</v>
      </c>
      <c r="E1493" t="s">
        <v>1744</v>
      </c>
      <c r="F1493">
        <v>3</v>
      </c>
      <c r="G1493">
        <v>769.62</v>
      </c>
      <c r="H1493">
        <v>0.09</v>
      </c>
      <c r="I1493" t="s">
        <v>1809</v>
      </c>
      <c r="J1493">
        <v>2101.0626000000002</v>
      </c>
    </row>
    <row r="1494" spans="1:10" x14ac:dyDescent="0.3">
      <c r="A1494" t="s">
        <v>3301</v>
      </c>
      <c r="B1494" s="1">
        <v>45230</v>
      </c>
      <c r="C1494" t="s">
        <v>707</v>
      </c>
      <c r="D1494" t="s">
        <v>1536</v>
      </c>
      <c r="E1494" t="s">
        <v>1749</v>
      </c>
      <c r="F1494">
        <v>1</v>
      </c>
      <c r="G1494">
        <v>492.05</v>
      </c>
      <c r="H1494">
        <v>0.27</v>
      </c>
      <c r="I1494" t="s">
        <v>1807</v>
      </c>
      <c r="J1494">
        <v>359.19650000000001</v>
      </c>
    </row>
    <row r="1495" spans="1:10" x14ac:dyDescent="0.3">
      <c r="A1495" t="s">
        <v>3302</v>
      </c>
      <c r="B1495" s="1">
        <v>45292</v>
      </c>
      <c r="C1495" t="s">
        <v>364</v>
      </c>
      <c r="D1495" t="s">
        <v>1565</v>
      </c>
      <c r="E1495" t="s">
        <v>1777</v>
      </c>
      <c r="F1495">
        <v>2</v>
      </c>
      <c r="G1495">
        <v>428.55</v>
      </c>
      <c r="H1495">
        <v>0</v>
      </c>
      <c r="I1495" t="s">
        <v>1809</v>
      </c>
      <c r="J1495">
        <v>857.1</v>
      </c>
    </row>
    <row r="1496" spans="1:10" x14ac:dyDescent="0.3">
      <c r="A1496" t="s">
        <v>3303</v>
      </c>
      <c r="B1496" s="1">
        <v>45251</v>
      </c>
      <c r="C1496" t="s">
        <v>731</v>
      </c>
      <c r="D1496" t="s">
        <v>1551</v>
      </c>
      <c r="E1496" t="s">
        <v>1784</v>
      </c>
      <c r="F1496">
        <v>4</v>
      </c>
      <c r="G1496">
        <v>316.18</v>
      </c>
      <c r="H1496">
        <v>0.12</v>
      </c>
      <c r="I1496" t="s">
        <v>1807</v>
      </c>
      <c r="J1496">
        <v>1112.9536000000001</v>
      </c>
    </row>
    <row r="1497" spans="1:10" x14ac:dyDescent="0.3">
      <c r="A1497" t="s">
        <v>3304</v>
      </c>
      <c r="B1497" s="1">
        <v>45555</v>
      </c>
      <c r="C1497" t="s">
        <v>40</v>
      </c>
      <c r="D1497" t="s">
        <v>1557</v>
      </c>
      <c r="E1497" t="s">
        <v>1749</v>
      </c>
      <c r="F1497">
        <v>3</v>
      </c>
      <c r="G1497">
        <v>162.16999999999999</v>
      </c>
      <c r="H1497">
        <v>0.15</v>
      </c>
      <c r="I1497" t="s">
        <v>1809</v>
      </c>
      <c r="J1497">
        <v>413.5335</v>
      </c>
    </row>
    <row r="1498" spans="1:10" x14ac:dyDescent="0.3">
      <c r="A1498" t="s">
        <v>3305</v>
      </c>
      <c r="B1498" s="1">
        <v>45385</v>
      </c>
      <c r="C1498" t="s">
        <v>1030</v>
      </c>
      <c r="D1498" t="s">
        <v>1536</v>
      </c>
      <c r="E1498" t="s">
        <v>1749</v>
      </c>
      <c r="F1498">
        <v>3</v>
      </c>
      <c r="G1498">
        <v>698.14</v>
      </c>
      <c r="H1498">
        <v>0.04</v>
      </c>
      <c r="I1498" t="s">
        <v>1809</v>
      </c>
      <c r="J1498">
        <v>2010.6432</v>
      </c>
    </row>
    <row r="1499" spans="1:10" x14ac:dyDescent="0.3">
      <c r="A1499" t="s">
        <v>3306</v>
      </c>
      <c r="B1499" s="1">
        <v>45787</v>
      </c>
      <c r="C1499" t="s">
        <v>968</v>
      </c>
      <c r="D1499" t="s">
        <v>1679</v>
      </c>
      <c r="E1499" t="s">
        <v>1793</v>
      </c>
      <c r="F1499">
        <v>1</v>
      </c>
      <c r="G1499">
        <v>478.08</v>
      </c>
      <c r="H1499">
        <v>7.0000000000000007E-2</v>
      </c>
      <c r="I1499" t="s">
        <v>1812</v>
      </c>
      <c r="J1499">
        <v>444.61439999999988</v>
      </c>
    </row>
    <row r="1500" spans="1:10" x14ac:dyDescent="0.3">
      <c r="A1500" t="s">
        <v>3307</v>
      </c>
      <c r="B1500" s="1">
        <v>45822</v>
      </c>
      <c r="C1500" t="s">
        <v>672</v>
      </c>
      <c r="D1500" t="s">
        <v>1649</v>
      </c>
      <c r="E1500" t="s">
        <v>1762</v>
      </c>
      <c r="F1500">
        <v>2</v>
      </c>
      <c r="G1500">
        <v>958.64</v>
      </c>
      <c r="H1500">
        <v>0.2</v>
      </c>
      <c r="I1500" t="s">
        <v>1809</v>
      </c>
      <c r="J1500">
        <v>1533.8240000000001</v>
      </c>
    </row>
    <row r="1501" spans="1:10" x14ac:dyDescent="0.3">
      <c r="A1501" t="s">
        <v>3308</v>
      </c>
      <c r="B1501" s="1">
        <v>45590</v>
      </c>
      <c r="C1501" t="s">
        <v>1415</v>
      </c>
      <c r="D1501" t="s">
        <v>1613</v>
      </c>
      <c r="E1501" t="s">
        <v>1777</v>
      </c>
      <c r="F1501">
        <v>2</v>
      </c>
      <c r="G1501">
        <v>581.19000000000005</v>
      </c>
      <c r="H1501">
        <v>7.0000000000000007E-2</v>
      </c>
      <c r="I1501" t="s">
        <v>1812</v>
      </c>
      <c r="J1501">
        <v>1081.0134</v>
      </c>
    </row>
    <row r="1502" spans="1:10" x14ac:dyDescent="0.3">
      <c r="A1502" t="s">
        <v>3309</v>
      </c>
      <c r="B1502" s="1">
        <v>45618</v>
      </c>
      <c r="C1502" t="s">
        <v>388</v>
      </c>
      <c r="D1502" t="s">
        <v>1729</v>
      </c>
      <c r="E1502" t="s">
        <v>1775</v>
      </c>
      <c r="F1502">
        <v>1</v>
      </c>
      <c r="G1502">
        <v>736.54</v>
      </c>
      <c r="H1502">
        <v>0.16</v>
      </c>
      <c r="I1502" t="s">
        <v>1809</v>
      </c>
      <c r="J1502">
        <v>618.69359999999995</v>
      </c>
    </row>
    <row r="1503" spans="1:10" x14ac:dyDescent="0.3">
      <c r="A1503" t="s">
        <v>3310</v>
      </c>
      <c r="B1503" s="1">
        <v>45586</v>
      </c>
      <c r="C1503" t="s">
        <v>1235</v>
      </c>
      <c r="D1503" t="s">
        <v>1661</v>
      </c>
      <c r="E1503" t="s">
        <v>1784</v>
      </c>
      <c r="F1503">
        <v>1</v>
      </c>
      <c r="G1503">
        <v>524</v>
      </c>
      <c r="H1503">
        <v>0.28000000000000003</v>
      </c>
      <c r="I1503" t="s">
        <v>1807</v>
      </c>
      <c r="J1503">
        <v>377.28</v>
      </c>
    </row>
    <row r="1504" spans="1:10" x14ac:dyDescent="0.3">
      <c r="A1504" t="s">
        <v>3311</v>
      </c>
      <c r="B1504" s="1">
        <v>45548</v>
      </c>
      <c r="C1504" t="s">
        <v>176</v>
      </c>
      <c r="D1504" t="s">
        <v>1587</v>
      </c>
      <c r="E1504" t="s">
        <v>1749</v>
      </c>
      <c r="F1504">
        <v>4</v>
      </c>
      <c r="G1504">
        <v>566.09</v>
      </c>
      <c r="H1504">
        <v>0.28000000000000003</v>
      </c>
      <c r="I1504" t="s">
        <v>1812</v>
      </c>
      <c r="J1504">
        <v>1630.3391999999999</v>
      </c>
    </row>
    <row r="1505" spans="1:10" x14ac:dyDescent="0.3">
      <c r="A1505" t="s">
        <v>3312</v>
      </c>
      <c r="B1505" s="1">
        <v>45772</v>
      </c>
      <c r="C1505" t="s">
        <v>820</v>
      </c>
      <c r="D1505" t="s">
        <v>1573</v>
      </c>
      <c r="E1505" t="s">
        <v>1772</v>
      </c>
      <c r="F1505">
        <v>1</v>
      </c>
      <c r="G1505">
        <v>251.99</v>
      </c>
      <c r="H1505">
        <v>0.09</v>
      </c>
      <c r="I1505" t="s">
        <v>1807</v>
      </c>
      <c r="J1505">
        <v>229.3109</v>
      </c>
    </row>
    <row r="1506" spans="1:10" x14ac:dyDescent="0.3">
      <c r="A1506" t="s">
        <v>3313</v>
      </c>
      <c r="B1506" s="1">
        <v>45361</v>
      </c>
      <c r="C1506" t="s">
        <v>710</v>
      </c>
      <c r="D1506" t="s">
        <v>1565</v>
      </c>
      <c r="E1506" t="s">
        <v>1796</v>
      </c>
      <c r="F1506">
        <v>1</v>
      </c>
      <c r="G1506">
        <v>259.2</v>
      </c>
      <c r="H1506">
        <v>0.27</v>
      </c>
      <c r="I1506" t="s">
        <v>1812</v>
      </c>
      <c r="J1506">
        <v>189.21600000000001</v>
      </c>
    </row>
    <row r="1507" spans="1:10" x14ac:dyDescent="0.3">
      <c r="A1507" t="s">
        <v>3314</v>
      </c>
      <c r="B1507" s="1">
        <v>45235</v>
      </c>
      <c r="C1507" t="s">
        <v>1364</v>
      </c>
      <c r="D1507" t="s">
        <v>1649</v>
      </c>
      <c r="E1507" t="s">
        <v>1784</v>
      </c>
      <c r="F1507">
        <v>1</v>
      </c>
      <c r="G1507">
        <v>935.66</v>
      </c>
      <c r="H1507">
        <v>0.26</v>
      </c>
      <c r="I1507" t="s">
        <v>1809</v>
      </c>
      <c r="J1507">
        <v>692.38839999999993</v>
      </c>
    </row>
    <row r="1508" spans="1:10" x14ac:dyDescent="0.3">
      <c r="A1508" t="s">
        <v>3315</v>
      </c>
      <c r="B1508" s="1">
        <v>45864</v>
      </c>
      <c r="C1508" t="s">
        <v>1430</v>
      </c>
      <c r="D1508" t="s">
        <v>1601</v>
      </c>
      <c r="E1508" t="s">
        <v>1765</v>
      </c>
      <c r="F1508">
        <v>4</v>
      </c>
      <c r="G1508">
        <v>480.75</v>
      </c>
      <c r="H1508">
        <v>0.02</v>
      </c>
      <c r="I1508" t="s">
        <v>1807</v>
      </c>
      <c r="J1508">
        <v>1884.54</v>
      </c>
    </row>
    <row r="1509" spans="1:10" x14ac:dyDescent="0.3">
      <c r="A1509" t="s">
        <v>3316</v>
      </c>
      <c r="B1509" s="1">
        <v>45681</v>
      </c>
      <c r="C1509" t="s">
        <v>1141</v>
      </c>
      <c r="D1509" t="s">
        <v>1693</v>
      </c>
      <c r="E1509" t="s">
        <v>1784</v>
      </c>
      <c r="F1509">
        <v>2</v>
      </c>
      <c r="G1509">
        <v>457.83</v>
      </c>
      <c r="H1509">
        <v>0.01</v>
      </c>
      <c r="I1509" t="s">
        <v>1812</v>
      </c>
      <c r="J1509">
        <v>906.50339999999994</v>
      </c>
    </row>
    <row r="1510" spans="1:10" x14ac:dyDescent="0.3">
      <c r="A1510" t="s">
        <v>3317</v>
      </c>
      <c r="B1510" s="1">
        <v>45905</v>
      </c>
      <c r="C1510" t="s">
        <v>542</v>
      </c>
      <c r="D1510" t="s">
        <v>1627</v>
      </c>
      <c r="E1510" t="s">
        <v>1782</v>
      </c>
      <c r="F1510">
        <v>1</v>
      </c>
      <c r="G1510">
        <v>994.63</v>
      </c>
      <c r="H1510">
        <v>0.28000000000000003</v>
      </c>
      <c r="I1510" t="s">
        <v>1807</v>
      </c>
      <c r="J1510">
        <v>716.1336</v>
      </c>
    </row>
    <row r="1511" spans="1:10" x14ac:dyDescent="0.3">
      <c r="A1511" t="s">
        <v>3318</v>
      </c>
      <c r="B1511" s="1">
        <v>45765</v>
      </c>
      <c r="C1511" t="s">
        <v>779</v>
      </c>
      <c r="D1511" t="s">
        <v>1711</v>
      </c>
      <c r="E1511" t="s">
        <v>1735</v>
      </c>
      <c r="F1511">
        <v>3</v>
      </c>
      <c r="G1511">
        <v>65.569999999999993</v>
      </c>
      <c r="H1511">
        <v>0.3</v>
      </c>
      <c r="I1511" t="s">
        <v>1812</v>
      </c>
      <c r="J1511">
        <v>137.697</v>
      </c>
    </row>
    <row r="1512" spans="1:10" x14ac:dyDescent="0.3">
      <c r="A1512" t="s">
        <v>3319</v>
      </c>
      <c r="B1512" s="1">
        <v>45821</v>
      </c>
      <c r="C1512" t="s">
        <v>530</v>
      </c>
      <c r="D1512" t="s">
        <v>1647</v>
      </c>
      <c r="E1512" t="s">
        <v>1790</v>
      </c>
      <c r="F1512">
        <v>3</v>
      </c>
      <c r="G1512">
        <v>622.98</v>
      </c>
      <c r="H1512">
        <v>0.28000000000000003</v>
      </c>
      <c r="I1512" t="s">
        <v>1809</v>
      </c>
      <c r="J1512">
        <v>1345.6368</v>
      </c>
    </row>
    <row r="1513" spans="1:10" x14ac:dyDescent="0.3">
      <c r="A1513" t="s">
        <v>3320</v>
      </c>
      <c r="B1513" s="1">
        <v>45691</v>
      </c>
      <c r="C1513" t="s">
        <v>794</v>
      </c>
      <c r="D1513" t="s">
        <v>1641</v>
      </c>
      <c r="E1513" t="s">
        <v>1780</v>
      </c>
      <c r="F1513">
        <v>1</v>
      </c>
      <c r="G1513">
        <v>170.68</v>
      </c>
      <c r="H1513">
        <v>0.13</v>
      </c>
      <c r="I1513" t="s">
        <v>1809</v>
      </c>
      <c r="J1513">
        <v>148.49160000000001</v>
      </c>
    </row>
    <row r="1514" spans="1:10" x14ac:dyDescent="0.3">
      <c r="A1514" t="s">
        <v>3321</v>
      </c>
      <c r="B1514" s="1">
        <v>45860</v>
      </c>
      <c r="C1514" t="s">
        <v>339</v>
      </c>
      <c r="D1514" t="s">
        <v>1543</v>
      </c>
      <c r="E1514" t="s">
        <v>1765</v>
      </c>
      <c r="F1514">
        <v>4</v>
      </c>
      <c r="G1514">
        <v>797.83</v>
      </c>
      <c r="H1514">
        <v>0.08</v>
      </c>
      <c r="I1514" t="s">
        <v>1807</v>
      </c>
      <c r="J1514">
        <v>2936.0144</v>
      </c>
    </row>
    <row r="1515" spans="1:10" x14ac:dyDescent="0.3">
      <c r="A1515" t="s">
        <v>3322</v>
      </c>
      <c r="B1515" s="1">
        <v>45922</v>
      </c>
      <c r="C1515" t="s">
        <v>345</v>
      </c>
      <c r="D1515" t="s">
        <v>1532</v>
      </c>
      <c r="E1515" t="s">
        <v>1787</v>
      </c>
      <c r="F1515">
        <v>1</v>
      </c>
      <c r="G1515">
        <v>372.75</v>
      </c>
      <c r="H1515">
        <v>0.12</v>
      </c>
      <c r="I1515" t="s">
        <v>1807</v>
      </c>
      <c r="J1515">
        <v>328.02</v>
      </c>
    </row>
    <row r="1516" spans="1:10" x14ac:dyDescent="0.3">
      <c r="A1516" t="s">
        <v>3323</v>
      </c>
      <c r="B1516" s="1">
        <v>45477</v>
      </c>
      <c r="C1516" t="s">
        <v>1222</v>
      </c>
      <c r="D1516" t="s">
        <v>1653</v>
      </c>
      <c r="E1516" t="s">
        <v>1752</v>
      </c>
      <c r="F1516">
        <v>1</v>
      </c>
      <c r="G1516">
        <v>994.18</v>
      </c>
      <c r="H1516">
        <v>0.05</v>
      </c>
      <c r="I1516" t="s">
        <v>1809</v>
      </c>
      <c r="J1516">
        <v>944.47099999999989</v>
      </c>
    </row>
    <row r="1517" spans="1:10" x14ac:dyDescent="0.3">
      <c r="A1517" t="s">
        <v>3324</v>
      </c>
      <c r="B1517" s="1">
        <v>45504</v>
      </c>
      <c r="C1517" t="s">
        <v>1295</v>
      </c>
      <c r="D1517" t="s">
        <v>1571</v>
      </c>
      <c r="E1517" t="s">
        <v>1780</v>
      </c>
      <c r="F1517">
        <v>1</v>
      </c>
      <c r="G1517">
        <v>136.12</v>
      </c>
      <c r="H1517">
        <v>7.0000000000000007E-2</v>
      </c>
      <c r="I1517" t="s">
        <v>1807</v>
      </c>
      <c r="J1517">
        <v>126.5916</v>
      </c>
    </row>
    <row r="1518" spans="1:10" x14ac:dyDescent="0.3">
      <c r="A1518" t="s">
        <v>3325</v>
      </c>
      <c r="B1518" s="1">
        <v>45862</v>
      </c>
      <c r="C1518" t="s">
        <v>124</v>
      </c>
      <c r="D1518" t="s">
        <v>1635</v>
      </c>
      <c r="E1518" t="s">
        <v>1793</v>
      </c>
      <c r="F1518">
        <v>3</v>
      </c>
      <c r="G1518">
        <v>634.45000000000005</v>
      </c>
      <c r="H1518">
        <v>0.17</v>
      </c>
      <c r="I1518" t="s">
        <v>1809</v>
      </c>
      <c r="J1518">
        <v>1579.7805000000001</v>
      </c>
    </row>
    <row r="1519" spans="1:10" x14ac:dyDescent="0.3">
      <c r="A1519" t="s">
        <v>3326</v>
      </c>
      <c r="B1519" s="1">
        <v>45579</v>
      </c>
      <c r="C1519" t="s">
        <v>1024</v>
      </c>
      <c r="D1519" t="s">
        <v>1659</v>
      </c>
      <c r="E1519" t="s">
        <v>1735</v>
      </c>
      <c r="F1519">
        <v>4</v>
      </c>
      <c r="G1519">
        <v>179.62</v>
      </c>
      <c r="H1519">
        <v>0.05</v>
      </c>
      <c r="I1519" t="s">
        <v>1807</v>
      </c>
      <c r="J1519">
        <v>682.55600000000004</v>
      </c>
    </row>
    <row r="1520" spans="1:10" x14ac:dyDescent="0.3">
      <c r="A1520" t="s">
        <v>3327</v>
      </c>
      <c r="B1520" s="1">
        <v>45658</v>
      </c>
      <c r="C1520" t="s">
        <v>923</v>
      </c>
      <c r="D1520" t="s">
        <v>1571</v>
      </c>
      <c r="E1520" t="s">
        <v>1793</v>
      </c>
      <c r="F1520">
        <v>4</v>
      </c>
      <c r="G1520">
        <v>558.83000000000004</v>
      </c>
      <c r="H1520">
        <v>0.16</v>
      </c>
      <c r="I1520" t="s">
        <v>1809</v>
      </c>
      <c r="J1520">
        <v>1877.6687999999999</v>
      </c>
    </row>
    <row r="1521" spans="1:10" x14ac:dyDescent="0.3">
      <c r="A1521" t="s">
        <v>3328</v>
      </c>
      <c r="B1521" s="1">
        <v>45664</v>
      </c>
      <c r="C1521" t="s">
        <v>562</v>
      </c>
      <c r="D1521" t="s">
        <v>1719</v>
      </c>
      <c r="E1521" t="s">
        <v>1759</v>
      </c>
      <c r="F1521">
        <v>2</v>
      </c>
      <c r="G1521">
        <v>859.74</v>
      </c>
      <c r="H1521">
        <v>0.25</v>
      </c>
      <c r="I1521" t="s">
        <v>1812</v>
      </c>
      <c r="J1521">
        <v>1289.6099999999999</v>
      </c>
    </row>
    <row r="1522" spans="1:10" x14ac:dyDescent="0.3">
      <c r="A1522" t="s">
        <v>3329</v>
      </c>
      <c r="B1522" s="1">
        <v>45936</v>
      </c>
      <c r="C1522" t="s">
        <v>370</v>
      </c>
      <c r="D1522" t="s">
        <v>1661</v>
      </c>
      <c r="E1522" t="s">
        <v>1787</v>
      </c>
      <c r="F1522">
        <v>3</v>
      </c>
      <c r="G1522">
        <v>578.47</v>
      </c>
      <c r="H1522">
        <v>0.06</v>
      </c>
      <c r="I1522" t="s">
        <v>1812</v>
      </c>
      <c r="J1522">
        <v>1631.2854</v>
      </c>
    </row>
    <row r="1523" spans="1:10" x14ac:dyDescent="0.3">
      <c r="A1523" t="s">
        <v>3330</v>
      </c>
      <c r="B1523" s="1">
        <v>45344</v>
      </c>
      <c r="C1523" t="s">
        <v>205</v>
      </c>
      <c r="D1523" t="s">
        <v>1573</v>
      </c>
      <c r="E1523" t="s">
        <v>1777</v>
      </c>
      <c r="F1523">
        <v>1</v>
      </c>
      <c r="G1523">
        <v>440.48</v>
      </c>
      <c r="H1523">
        <v>0.11</v>
      </c>
      <c r="I1523" t="s">
        <v>1812</v>
      </c>
      <c r="J1523">
        <v>392.02720000000011</v>
      </c>
    </row>
    <row r="1524" spans="1:10" x14ac:dyDescent="0.3">
      <c r="A1524" t="s">
        <v>3331</v>
      </c>
      <c r="B1524" s="1">
        <v>45329</v>
      </c>
      <c r="C1524" t="s">
        <v>75</v>
      </c>
      <c r="D1524" t="s">
        <v>1563</v>
      </c>
      <c r="E1524" t="s">
        <v>1796</v>
      </c>
      <c r="F1524">
        <v>2</v>
      </c>
      <c r="G1524">
        <v>303.67</v>
      </c>
      <c r="H1524">
        <v>0.05</v>
      </c>
      <c r="I1524" t="s">
        <v>1809</v>
      </c>
      <c r="J1524">
        <v>576.97299999999996</v>
      </c>
    </row>
    <row r="1525" spans="1:10" x14ac:dyDescent="0.3">
      <c r="A1525" t="s">
        <v>3332</v>
      </c>
      <c r="B1525" s="1">
        <v>45895</v>
      </c>
      <c r="C1525" t="s">
        <v>1045</v>
      </c>
      <c r="D1525" t="s">
        <v>1679</v>
      </c>
      <c r="E1525" t="s">
        <v>1782</v>
      </c>
      <c r="F1525">
        <v>2</v>
      </c>
      <c r="G1525">
        <v>611.21</v>
      </c>
      <c r="H1525">
        <v>0.22</v>
      </c>
      <c r="I1525" t="s">
        <v>1812</v>
      </c>
      <c r="J1525">
        <v>953.48760000000004</v>
      </c>
    </row>
    <row r="1526" spans="1:10" x14ac:dyDescent="0.3">
      <c r="A1526" t="s">
        <v>3333</v>
      </c>
      <c r="B1526" s="1">
        <v>45239</v>
      </c>
      <c r="C1526" t="s">
        <v>654</v>
      </c>
      <c r="D1526" t="s">
        <v>1609</v>
      </c>
      <c r="E1526" t="s">
        <v>1784</v>
      </c>
      <c r="F1526">
        <v>2</v>
      </c>
      <c r="G1526">
        <v>768.08</v>
      </c>
      <c r="H1526">
        <v>0.26</v>
      </c>
      <c r="I1526" t="s">
        <v>1809</v>
      </c>
      <c r="J1526">
        <v>1136.7583999999999</v>
      </c>
    </row>
    <row r="1527" spans="1:10" x14ac:dyDescent="0.3">
      <c r="A1527" t="s">
        <v>3334</v>
      </c>
      <c r="B1527" s="1">
        <v>45296</v>
      </c>
      <c r="C1527" t="s">
        <v>928</v>
      </c>
      <c r="D1527" t="s">
        <v>1577</v>
      </c>
      <c r="E1527" t="s">
        <v>1793</v>
      </c>
      <c r="F1527">
        <v>1</v>
      </c>
      <c r="G1527">
        <v>616.82000000000005</v>
      </c>
      <c r="H1527">
        <v>0.24</v>
      </c>
      <c r="I1527" t="s">
        <v>1807</v>
      </c>
      <c r="J1527">
        <v>468.78320000000002</v>
      </c>
    </row>
    <row r="1528" spans="1:10" x14ac:dyDescent="0.3">
      <c r="A1528" t="s">
        <v>3335</v>
      </c>
      <c r="B1528" s="1">
        <v>45672</v>
      </c>
      <c r="C1528" t="s">
        <v>598</v>
      </c>
      <c r="D1528" t="s">
        <v>1611</v>
      </c>
      <c r="E1528" t="s">
        <v>1793</v>
      </c>
      <c r="F1528">
        <v>1</v>
      </c>
      <c r="G1528">
        <v>470.34</v>
      </c>
      <c r="H1528">
        <v>0.18</v>
      </c>
      <c r="I1528" t="s">
        <v>1812</v>
      </c>
      <c r="J1528">
        <v>385.67880000000002</v>
      </c>
    </row>
    <row r="1529" spans="1:10" x14ac:dyDescent="0.3">
      <c r="A1529" t="s">
        <v>3336</v>
      </c>
      <c r="B1529" s="1">
        <v>45499</v>
      </c>
      <c r="C1529" t="s">
        <v>705</v>
      </c>
      <c r="D1529" t="s">
        <v>1637</v>
      </c>
      <c r="E1529" t="s">
        <v>1765</v>
      </c>
      <c r="F1529">
        <v>2</v>
      </c>
      <c r="G1529">
        <v>616.36</v>
      </c>
      <c r="H1529">
        <v>0.12</v>
      </c>
      <c r="I1529" t="s">
        <v>1809</v>
      </c>
      <c r="J1529">
        <v>1084.7936</v>
      </c>
    </row>
    <row r="1530" spans="1:10" x14ac:dyDescent="0.3">
      <c r="A1530" t="s">
        <v>3337</v>
      </c>
      <c r="B1530" s="1">
        <v>45434</v>
      </c>
      <c r="C1530" t="s">
        <v>295</v>
      </c>
      <c r="D1530" t="s">
        <v>1534</v>
      </c>
      <c r="E1530" t="s">
        <v>1769</v>
      </c>
      <c r="F1530">
        <v>3</v>
      </c>
      <c r="G1530">
        <v>657.24</v>
      </c>
      <c r="H1530">
        <v>0.18</v>
      </c>
      <c r="I1530" t="s">
        <v>1809</v>
      </c>
      <c r="J1530">
        <v>1616.8104000000001</v>
      </c>
    </row>
    <row r="1531" spans="1:10" x14ac:dyDescent="0.3">
      <c r="A1531" t="s">
        <v>3338</v>
      </c>
      <c r="B1531" s="1">
        <v>45893</v>
      </c>
      <c r="C1531" t="s">
        <v>136</v>
      </c>
      <c r="D1531" t="s">
        <v>1613</v>
      </c>
      <c r="E1531" t="s">
        <v>1796</v>
      </c>
      <c r="F1531">
        <v>2</v>
      </c>
      <c r="G1531">
        <v>392.45</v>
      </c>
      <c r="H1531">
        <v>0.04</v>
      </c>
      <c r="I1531" t="s">
        <v>1809</v>
      </c>
      <c r="J1531">
        <v>753.50399999999991</v>
      </c>
    </row>
    <row r="1532" spans="1:10" x14ac:dyDescent="0.3">
      <c r="A1532" t="s">
        <v>3339</v>
      </c>
      <c r="B1532" s="1">
        <v>45346</v>
      </c>
      <c r="C1532" t="s">
        <v>779</v>
      </c>
      <c r="D1532" t="s">
        <v>1611</v>
      </c>
      <c r="E1532" t="s">
        <v>1782</v>
      </c>
      <c r="F1532">
        <v>3</v>
      </c>
      <c r="G1532">
        <v>62.03</v>
      </c>
      <c r="H1532">
        <v>0.01</v>
      </c>
      <c r="I1532" t="s">
        <v>1812</v>
      </c>
      <c r="J1532">
        <v>184.22909999999999</v>
      </c>
    </row>
    <row r="1533" spans="1:10" x14ac:dyDescent="0.3">
      <c r="A1533" t="s">
        <v>3340</v>
      </c>
      <c r="B1533" s="1">
        <v>45613</v>
      </c>
      <c r="C1533" t="s">
        <v>327</v>
      </c>
      <c r="D1533" t="s">
        <v>1723</v>
      </c>
      <c r="E1533" t="s">
        <v>1749</v>
      </c>
      <c r="F1533">
        <v>4</v>
      </c>
      <c r="G1533">
        <v>933.73</v>
      </c>
      <c r="H1533">
        <v>0.25</v>
      </c>
      <c r="I1533" t="s">
        <v>1809</v>
      </c>
      <c r="J1533">
        <v>2801.19</v>
      </c>
    </row>
    <row r="1534" spans="1:10" x14ac:dyDescent="0.3">
      <c r="A1534" t="s">
        <v>3341</v>
      </c>
      <c r="B1534" s="1">
        <v>45928</v>
      </c>
      <c r="C1534" t="s">
        <v>515</v>
      </c>
      <c r="D1534" t="s">
        <v>1701</v>
      </c>
      <c r="E1534" t="s">
        <v>1787</v>
      </c>
      <c r="F1534">
        <v>3</v>
      </c>
      <c r="G1534">
        <v>615.30999999999995</v>
      </c>
      <c r="H1534">
        <v>0.14000000000000001</v>
      </c>
      <c r="I1534" t="s">
        <v>1809</v>
      </c>
      <c r="J1534">
        <v>1587.4998000000001</v>
      </c>
    </row>
    <row r="1535" spans="1:10" x14ac:dyDescent="0.3">
      <c r="A1535" t="s">
        <v>3342</v>
      </c>
      <c r="B1535" s="1">
        <v>45619</v>
      </c>
      <c r="C1535" t="s">
        <v>1153</v>
      </c>
      <c r="D1535" t="s">
        <v>1649</v>
      </c>
      <c r="E1535" t="s">
        <v>1793</v>
      </c>
      <c r="F1535">
        <v>4</v>
      </c>
      <c r="G1535">
        <v>790.38</v>
      </c>
      <c r="H1535">
        <v>0.22</v>
      </c>
      <c r="I1535" t="s">
        <v>1812</v>
      </c>
      <c r="J1535">
        <v>2465.9856</v>
      </c>
    </row>
    <row r="1536" spans="1:10" x14ac:dyDescent="0.3">
      <c r="A1536" t="s">
        <v>3343</v>
      </c>
      <c r="B1536" s="1">
        <v>45533</v>
      </c>
      <c r="C1536" t="s">
        <v>850</v>
      </c>
      <c r="D1536" t="s">
        <v>1649</v>
      </c>
      <c r="E1536" t="s">
        <v>1790</v>
      </c>
      <c r="F1536">
        <v>2</v>
      </c>
      <c r="G1536">
        <v>102.85</v>
      </c>
      <c r="H1536">
        <v>0.08</v>
      </c>
      <c r="I1536" t="s">
        <v>1809</v>
      </c>
      <c r="J1536">
        <v>189.244</v>
      </c>
    </row>
    <row r="1537" spans="1:10" x14ac:dyDescent="0.3">
      <c r="A1537" t="s">
        <v>3344</v>
      </c>
      <c r="B1537" s="1">
        <v>45781</v>
      </c>
      <c r="C1537" t="s">
        <v>152</v>
      </c>
      <c r="D1537" t="s">
        <v>1553</v>
      </c>
      <c r="E1537" t="s">
        <v>1787</v>
      </c>
      <c r="F1537">
        <v>3</v>
      </c>
      <c r="G1537">
        <v>866.78</v>
      </c>
      <c r="H1537">
        <v>0.27</v>
      </c>
      <c r="I1537" t="s">
        <v>1809</v>
      </c>
      <c r="J1537">
        <v>1898.2482</v>
      </c>
    </row>
    <row r="1538" spans="1:10" x14ac:dyDescent="0.3">
      <c r="A1538" t="s">
        <v>3345</v>
      </c>
      <c r="B1538" s="1">
        <v>45378</v>
      </c>
      <c r="C1538" t="s">
        <v>672</v>
      </c>
      <c r="D1538" t="s">
        <v>1687</v>
      </c>
      <c r="E1538" t="s">
        <v>1787</v>
      </c>
      <c r="F1538">
        <v>3</v>
      </c>
      <c r="G1538">
        <v>392.84</v>
      </c>
      <c r="H1538">
        <v>0.27</v>
      </c>
      <c r="I1538" t="s">
        <v>1809</v>
      </c>
      <c r="J1538">
        <v>860.31959999999992</v>
      </c>
    </row>
    <row r="1539" spans="1:10" x14ac:dyDescent="0.3">
      <c r="A1539" t="s">
        <v>3346</v>
      </c>
      <c r="B1539" s="1">
        <v>45688</v>
      </c>
      <c r="C1539" t="s">
        <v>1007</v>
      </c>
      <c r="D1539" t="s">
        <v>1548</v>
      </c>
      <c r="E1539" t="s">
        <v>1756</v>
      </c>
      <c r="F1539">
        <v>2</v>
      </c>
      <c r="G1539">
        <v>753.1</v>
      </c>
      <c r="H1539">
        <v>0.19</v>
      </c>
      <c r="I1539" t="s">
        <v>1809</v>
      </c>
      <c r="J1539">
        <v>1220.0219999999999</v>
      </c>
    </row>
    <row r="1540" spans="1:10" x14ac:dyDescent="0.3">
      <c r="A1540" t="s">
        <v>3347</v>
      </c>
      <c r="B1540" s="1">
        <v>45927</v>
      </c>
      <c r="C1540" t="s">
        <v>40</v>
      </c>
      <c r="D1540" t="s">
        <v>1639</v>
      </c>
      <c r="E1540" t="s">
        <v>1790</v>
      </c>
      <c r="F1540">
        <v>2</v>
      </c>
      <c r="G1540">
        <v>700.91</v>
      </c>
      <c r="H1540">
        <v>0.1</v>
      </c>
      <c r="I1540" t="s">
        <v>1809</v>
      </c>
      <c r="J1540">
        <v>1261.6379999999999</v>
      </c>
    </row>
    <row r="1541" spans="1:10" x14ac:dyDescent="0.3">
      <c r="A1541" t="s">
        <v>3348</v>
      </c>
      <c r="B1541" s="1">
        <v>45775</v>
      </c>
      <c r="C1541" t="s">
        <v>261</v>
      </c>
      <c r="D1541" t="s">
        <v>1561</v>
      </c>
      <c r="E1541" t="s">
        <v>1777</v>
      </c>
      <c r="F1541">
        <v>4</v>
      </c>
      <c r="G1541">
        <v>935.98</v>
      </c>
      <c r="H1541">
        <v>0.11</v>
      </c>
      <c r="I1541" t="s">
        <v>1809</v>
      </c>
      <c r="J1541">
        <v>3332.0888</v>
      </c>
    </row>
    <row r="1542" spans="1:10" x14ac:dyDescent="0.3">
      <c r="A1542" t="s">
        <v>3349</v>
      </c>
      <c r="B1542" s="1">
        <v>45849</v>
      </c>
      <c r="C1542" t="s">
        <v>1475</v>
      </c>
      <c r="D1542" t="s">
        <v>1683</v>
      </c>
      <c r="E1542" t="s">
        <v>1787</v>
      </c>
      <c r="F1542">
        <v>1</v>
      </c>
      <c r="G1542">
        <v>539.9</v>
      </c>
      <c r="H1542">
        <v>7.0000000000000007E-2</v>
      </c>
      <c r="I1542" t="s">
        <v>1807</v>
      </c>
      <c r="J1542">
        <v>502.10700000000003</v>
      </c>
    </row>
    <row r="1543" spans="1:10" x14ac:dyDescent="0.3">
      <c r="A1543" t="s">
        <v>3350</v>
      </c>
      <c r="B1543" s="1">
        <v>45573</v>
      </c>
      <c r="C1543" t="s">
        <v>562</v>
      </c>
      <c r="D1543" t="s">
        <v>1611</v>
      </c>
      <c r="E1543" t="s">
        <v>1759</v>
      </c>
      <c r="F1543">
        <v>1</v>
      </c>
      <c r="G1543">
        <v>312.81</v>
      </c>
      <c r="H1543">
        <v>0.14000000000000001</v>
      </c>
      <c r="I1543" t="s">
        <v>1809</v>
      </c>
      <c r="J1543">
        <v>269.01659999999998</v>
      </c>
    </row>
    <row r="1544" spans="1:10" x14ac:dyDescent="0.3">
      <c r="A1544" t="s">
        <v>3351</v>
      </c>
      <c r="B1544" s="1">
        <v>45356</v>
      </c>
      <c r="C1544" t="s">
        <v>791</v>
      </c>
      <c r="D1544" t="s">
        <v>1627</v>
      </c>
      <c r="E1544" t="s">
        <v>1762</v>
      </c>
      <c r="F1544">
        <v>3</v>
      </c>
      <c r="G1544">
        <v>855.96</v>
      </c>
      <c r="H1544">
        <v>0.28999999999999998</v>
      </c>
      <c r="I1544" t="s">
        <v>1812</v>
      </c>
      <c r="J1544">
        <v>1823.1948</v>
      </c>
    </row>
    <row r="1545" spans="1:10" x14ac:dyDescent="0.3">
      <c r="A1545" t="s">
        <v>3352</v>
      </c>
      <c r="B1545" s="1">
        <v>45326</v>
      </c>
      <c r="C1545" t="s">
        <v>1100</v>
      </c>
      <c r="D1545" t="s">
        <v>1529</v>
      </c>
      <c r="E1545" t="s">
        <v>1775</v>
      </c>
      <c r="F1545">
        <v>3</v>
      </c>
      <c r="G1545">
        <v>305</v>
      </c>
      <c r="H1545">
        <v>0.01</v>
      </c>
      <c r="I1545" t="s">
        <v>1812</v>
      </c>
      <c r="J1545">
        <v>905.85</v>
      </c>
    </row>
    <row r="1546" spans="1:10" x14ac:dyDescent="0.3">
      <c r="A1546" t="s">
        <v>3353</v>
      </c>
      <c r="B1546" s="1">
        <v>45361</v>
      </c>
      <c r="C1546" t="s">
        <v>1427</v>
      </c>
      <c r="D1546" t="s">
        <v>1729</v>
      </c>
      <c r="E1546" t="s">
        <v>1777</v>
      </c>
      <c r="F1546">
        <v>3</v>
      </c>
      <c r="G1546">
        <v>831.15</v>
      </c>
      <c r="H1546">
        <v>0.19</v>
      </c>
      <c r="I1546" t="s">
        <v>1807</v>
      </c>
      <c r="J1546">
        <v>2019.6945000000001</v>
      </c>
    </row>
    <row r="1547" spans="1:10" x14ac:dyDescent="0.3">
      <c r="A1547" t="s">
        <v>3354</v>
      </c>
      <c r="B1547" s="1">
        <v>45926</v>
      </c>
      <c r="C1547" t="s">
        <v>669</v>
      </c>
      <c r="D1547" t="s">
        <v>1723</v>
      </c>
      <c r="E1547" t="s">
        <v>1749</v>
      </c>
      <c r="F1547">
        <v>2</v>
      </c>
      <c r="G1547">
        <v>644.97</v>
      </c>
      <c r="H1547">
        <v>0.24</v>
      </c>
      <c r="I1547" t="s">
        <v>1812</v>
      </c>
      <c r="J1547">
        <v>980.35440000000006</v>
      </c>
    </row>
    <row r="1548" spans="1:10" x14ac:dyDescent="0.3">
      <c r="A1548" t="s">
        <v>3355</v>
      </c>
      <c r="B1548" s="1">
        <v>45839</v>
      </c>
      <c r="C1548" t="s">
        <v>336</v>
      </c>
      <c r="D1548" t="s">
        <v>1707</v>
      </c>
      <c r="E1548" t="s">
        <v>1740</v>
      </c>
      <c r="F1548">
        <v>1</v>
      </c>
      <c r="G1548">
        <v>149.56</v>
      </c>
      <c r="H1548">
        <v>0.09</v>
      </c>
      <c r="I1548" t="s">
        <v>1807</v>
      </c>
      <c r="J1548">
        <v>136.09960000000001</v>
      </c>
    </row>
    <row r="1549" spans="1:10" x14ac:dyDescent="0.3">
      <c r="A1549" t="s">
        <v>3356</v>
      </c>
      <c r="B1549" s="1">
        <v>45434</v>
      </c>
      <c r="C1549" t="s">
        <v>699</v>
      </c>
      <c r="D1549" t="s">
        <v>1617</v>
      </c>
      <c r="E1549" t="s">
        <v>1796</v>
      </c>
      <c r="F1549">
        <v>1</v>
      </c>
      <c r="G1549">
        <v>661.77</v>
      </c>
      <c r="H1549">
        <v>0.03</v>
      </c>
      <c r="I1549" t="s">
        <v>1809</v>
      </c>
      <c r="J1549">
        <v>641.91689999999994</v>
      </c>
    </row>
    <row r="1550" spans="1:10" x14ac:dyDescent="0.3">
      <c r="A1550" t="s">
        <v>3357</v>
      </c>
      <c r="B1550" s="1">
        <v>45819</v>
      </c>
      <c r="C1550" t="s">
        <v>376</v>
      </c>
      <c r="D1550" t="s">
        <v>1719</v>
      </c>
      <c r="E1550" t="s">
        <v>1762</v>
      </c>
      <c r="F1550">
        <v>3</v>
      </c>
      <c r="G1550">
        <v>99.67</v>
      </c>
      <c r="H1550">
        <v>0.17</v>
      </c>
      <c r="I1550" t="s">
        <v>1807</v>
      </c>
      <c r="J1550">
        <v>248.17830000000001</v>
      </c>
    </row>
    <row r="1551" spans="1:10" x14ac:dyDescent="0.3">
      <c r="A1551" t="s">
        <v>3358</v>
      </c>
      <c r="B1551" s="1">
        <v>45553</v>
      </c>
      <c r="C1551" t="s">
        <v>710</v>
      </c>
      <c r="D1551" t="s">
        <v>1655</v>
      </c>
      <c r="E1551" t="s">
        <v>1740</v>
      </c>
      <c r="F1551">
        <v>3</v>
      </c>
      <c r="G1551">
        <v>103.66</v>
      </c>
      <c r="H1551">
        <v>0.26</v>
      </c>
      <c r="I1551" t="s">
        <v>1812</v>
      </c>
      <c r="J1551">
        <v>230.12520000000001</v>
      </c>
    </row>
    <row r="1552" spans="1:10" x14ac:dyDescent="0.3">
      <c r="A1552" t="s">
        <v>3359</v>
      </c>
      <c r="B1552" s="1">
        <v>45258</v>
      </c>
      <c r="C1552" t="s">
        <v>1336</v>
      </c>
      <c r="D1552" t="s">
        <v>1611</v>
      </c>
      <c r="E1552" t="s">
        <v>1744</v>
      </c>
      <c r="F1552">
        <v>4</v>
      </c>
      <c r="G1552">
        <v>54.4</v>
      </c>
      <c r="H1552">
        <v>0.22</v>
      </c>
      <c r="I1552" t="s">
        <v>1807</v>
      </c>
      <c r="J1552">
        <v>169.72800000000001</v>
      </c>
    </row>
    <row r="1553" spans="1:10" x14ac:dyDescent="0.3">
      <c r="A1553" t="s">
        <v>3360</v>
      </c>
      <c r="B1553" s="1">
        <v>45435</v>
      </c>
      <c r="C1553" t="s">
        <v>1490</v>
      </c>
      <c r="D1553" t="s">
        <v>1699</v>
      </c>
      <c r="E1553" t="s">
        <v>1782</v>
      </c>
      <c r="F1553">
        <v>1</v>
      </c>
      <c r="G1553">
        <v>46.66</v>
      </c>
      <c r="H1553">
        <v>0.2</v>
      </c>
      <c r="I1553" t="s">
        <v>1807</v>
      </c>
      <c r="J1553">
        <v>37.328000000000003</v>
      </c>
    </row>
    <row r="1554" spans="1:10" x14ac:dyDescent="0.3">
      <c r="A1554" t="s">
        <v>3361</v>
      </c>
      <c r="B1554" s="1">
        <v>45447</v>
      </c>
      <c r="C1554" t="s">
        <v>40</v>
      </c>
      <c r="D1554" t="s">
        <v>1677</v>
      </c>
      <c r="E1554" t="s">
        <v>1775</v>
      </c>
      <c r="F1554">
        <v>4</v>
      </c>
      <c r="G1554">
        <v>871.2</v>
      </c>
      <c r="H1554">
        <v>0.28999999999999998</v>
      </c>
      <c r="I1554" t="s">
        <v>1807</v>
      </c>
      <c r="J1554">
        <v>2474.2080000000001</v>
      </c>
    </row>
    <row r="1555" spans="1:10" x14ac:dyDescent="0.3">
      <c r="A1555" t="s">
        <v>3362</v>
      </c>
      <c r="B1555" s="1">
        <v>45724</v>
      </c>
      <c r="C1555" t="s">
        <v>1171</v>
      </c>
      <c r="D1555" t="s">
        <v>1567</v>
      </c>
      <c r="E1555" t="s">
        <v>1782</v>
      </c>
      <c r="F1555">
        <v>4</v>
      </c>
      <c r="G1555">
        <v>317.11</v>
      </c>
      <c r="H1555">
        <v>0.16</v>
      </c>
      <c r="I1555" t="s">
        <v>1809</v>
      </c>
      <c r="J1555">
        <v>1065.4896000000001</v>
      </c>
    </row>
    <row r="1556" spans="1:10" x14ac:dyDescent="0.3">
      <c r="A1556" t="s">
        <v>3363</v>
      </c>
      <c r="B1556" s="1">
        <v>45338</v>
      </c>
      <c r="C1556" t="s">
        <v>817</v>
      </c>
      <c r="D1556" t="s">
        <v>1581</v>
      </c>
      <c r="E1556" t="s">
        <v>1780</v>
      </c>
      <c r="F1556">
        <v>2</v>
      </c>
      <c r="G1556">
        <v>388.34</v>
      </c>
      <c r="H1556">
        <v>0.09</v>
      </c>
      <c r="I1556" t="s">
        <v>1809</v>
      </c>
      <c r="J1556">
        <v>706.77879999999993</v>
      </c>
    </row>
    <row r="1557" spans="1:10" x14ac:dyDescent="0.3">
      <c r="A1557" t="s">
        <v>3364</v>
      </c>
      <c r="B1557" s="1">
        <v>45252</v>
      </c>
      <c r="C1557" t="s">
        <v>995</v>
      </c>
      <c r="D1557" t="s">
        <v>1591</v>
      </c>
      <c r="E1557" t="s">
        <v>1759</v>
      </c>
      <c r="F1557">
        <v>4</v>
      </c>
      <c r="G1557">
        <v>998.2</v>
      </c>
      <c r="H1557">
        <v>0.15</v>
      </c>
      <c r="I1557" t="s">
        <v>1807</v>
      </c>
      <c r="J1557">
        <v>3393.88</v>
      </c>
    </row>
    <row r="1558" spans="1:10" x14ac:dyDescent="0.3">
      <c r="A1558" t="s">
        <v>3365</v>
      </c>
      <c r="B1558" s="1">
        <v>45606</v>
      </c>
      <c r="C1558" t="s">
        <v>1499</v>
      </c>
      <c r="D1558" t="s">
        <v>1603</v>
      </c>
      <c r="E1558" t="s">
        <v>1735</v>
      </c>
      <c r="F1558">
        <v>1</v>
      </c>
      <c r="G1558">
        <v>887.38</v>
      </c>
      <c r="H1558">
        <v>0.01</v>
      </c>
      <c r="I1558" t="s">
        <v>1812</v>
      </c>
      <c r="J1558">
        <v>878.50620000000004</v>
      </c>
    </row>
    <row r="1559" spans="1:10" x14ac:dyDescent="0.3">
      <c r="A1559" t="s">
        <v>3366</v>
      </c>
      <c r="B1559" s="1">
        <v>45524</v>
      </c>
      <c r="C1559" t="s">
        <v>974</v>
      </c>
      <c r="D1559" t="s">
        <v>1605</v>
      </c>
      <c r="E1559" t="s">
        <v>1777</v>
      </c>
      <c r="F1559">
        <v>4</v>
      </c>
      <c r="G1559">
        <v>332.97</v>
      </c>
      <c r="H1559">
        <v>0.28000000000000003</v>
      </c>
      <c r="I1559" t="s">
        <v>1807</v>
      </c>
      <c r="J1559">
        <v>958.95360000000005</v>
      </c>
    </row>
    <row r="1560" spans="1:10" x14ac:dyDescent="0.3">
      <c r="A1560" t="s">
        <v>3367</v>
      </c>
      <c r="B1560" s="1">
        <v>45934</v>
      </c>
      <c r="C1560" t="s">
        <v>93</v>
      </c>
      <c r="D1560" t="s">
        <v>1623</v>
      </c>
      <c r="E1560" t="s">
        <v>1735</v>
      </c>
      <c r="F1560">
        <v>2</v>
      </c>
      <c r="G1560">
        <v>157.91</v>
      </c>
      <c r="H1560">
        <v>0.09</v>
      </c>
      <c r="I1560" t="s">
        <v>1812</v>
      </c>
      <c r="J1560">
        <v>287.39620000000002</v>
      </c>
    </row>
    <row r="1561" spans="1:10" x14ac:dyDescent="0.3">
      <c r="A1561" t="s">
        <v>3368</v>
      </c>
      <c r="B1561" s="1">
        <v>45539</v>
      </c>
      <c r="C1561" t="s">
        <v>1103</v>
      </c>
      <c r="D1561" t="s">
        <v>1555</v>
      </c>
      <c r="E1561" t="s">
        <v>1793</v>
      </c>
      <c r="F1561">
        <v>1</v>
      </c>
      <c r="G1561">
        <v>548.15</v>
      </c>
      <c r="H1561">
        <v>0.11</v>
      </c>
      <c r="I1561" t="s">
        <v>1807</v>
      </c>
      <c r="J1561">
        <v>487.8535</v>
      </c>
    </row>
    <row r="1562" spans="1:10" x14ac:dyDescent="0.3">
      <c r="A1562" t="s">
        <v>3369</v>
      </c>
      <c r="B1562" s="1">
        <v>45555</v>
      </c>
      <c r="C1562" t="s">
        <v>675</v>
      </c>
      <c r="D1562" t="s">
        <v>1627</v>
      </c>
      <c r="E1562" t="s">
        <v>1784</v>
      </c>
      <c r="F1562">
        <v>1</v>
      </c>
      <c r="G1562">
        <v>135.13</v>
      </c>
      <c r="H1562">
        <v>0.04</v>
      </c>
      <c r="I1562" t="s">
        <v>1807</v>
      </c>
      <c r="J1562">
        <v>129.72479999999999</v>
      </c>
    </row>
    <row r="1563" spans="1:10" x14ac:dyDescent="0.3">
      <c r="A1563" t="s">
        <v>3370</v>
      </c>
      <c r="B1563" s="1">
        <v>45281</v>
      </c>
      <c r="C1563" t="s">
        <v>705</v>
      </c>
      <c r="D1563" t="s">
        <v>1643</v>
      </c>
      <c r="E1563" t="s">
        <v>1749</v>
      </c>
      <c r="F1563">
        <v>3</v>
      </c>
      <c r="G1563">
        <v>579.26</v>
      </c>
      <c r="H1563">
        <v>0.19</v>
      </c>
      <c r="I1563" t="s">
        <v>1807</v>
      </c>
      <c r="J1563">
        <v>1407.6017999999999</v>
      </c>
    </row>
    <row r="1564" spans="1:10" x14ac:dyDescent="0.3">
      <c r="A1564" t="s">
        <v>3371</v>
      </c>
      <c r="B1564" s="1">
        <v>45582</v>
      </c>
      <c r="C1564" t="s">
        <v>1201</v>
      </c>
      <c r="D1564" t="s">
        <v>1565</v>
      </c>
      <c r="E1564" t="s">
        <v>1735</v>
      </c>
      <c r="F1564">
        <v>1</v>
      </c>
      <c r="G1564">
        <v>465.63</v>
      </c>
      <c r="H1564">
        <v>0.25</v>
      </c>
      <c r="I1564" t="s">
        <v>1807</v>
      </c>
      <c r="J1564">
        <v>349.22250000000003</v>
      </c>
    </row>
    <row r="1565" spans="1:10" x14ac:dyDescent="0.3">
      <c r="A1565" t="s">
        <v>3372</v>
      </c>
      <c r="B1565" s="1">
        <v>45372</v>
      </c>
      <c r="C1565" t="s">
        <v>178</v>
      </c>
      <c r="D1565" t="s">
        <v>1683</v>
      </c>
      <c r="E1565" t="s">
        <v>1787</v>
      </c>
      <c r="F1565">
        <v>2</v>
      </c>
      <c r="G1565">
        <v>675.61</v>
      </c>
      <c r="H1565">
        <v>0.08</v>
      </c>
      <c r="I1565" t="s">
        <v>1812</v>
      </c>
      <c r="J1565">
        <v>1243.1224</v>
      </c>
    </row>
    <row r="1566" spans="1:10" x14ac:dyDescent="0.3">
      <c r="A1566" t="s">
        <v>3373</v>
      </c>
      <c r="B1566" s="1">
        <v>45458</v>
      </c>
      <c r="C1566" t="s">
        <v>1278</v>
      </c>
      <c r="D1566" t="s">
        <v>1597</v>
      </c>
      <c r="E1566" t="s">
        <v>1759</v>
      </c>
      <c r="F1566">
        <v>1</v>
      </c>
      <c r="G1566">
        <v>718.99</v>
      </c>
      <c r="H1566">
        <v>0.08</v>
      </c>
      <c r="I1566" t="s">
        <v>1809</v>
      </c>
      <c r="J1566">
        <v>661.47080000000005</v>
      </c>
    </row>
    <row r="1567" spans="1:10" x14ac:dyDescent="0.3">
      <c r="A1567" t="s">
        <v>3374</v>
      </c>
      <c r="B1567" s="1">
        <v>45943</v>
      </c>
      <c r="C1567" t="s">
        <v>1162</v>
      </c>
      <c r="D1567" t="s">
        <v>1559</v>
      </c>
      <c r="E1567" t="s">
        <v>1772</v>
      </c>
      <c r="F1567">
        <v>2</v>
      </c>
      <c r="G1567">
        <v>675.65</v>
      </c>
      <c r="H1567">
        <v>0.2</v>
      </c>
      <c r="I1567" t="s">
        <v>1812</v>
      </c>
      <c r="J1567">
        <v>1081.04</v>
      </c>
    </row>
    <row r="1568" spans="1:10" x14ac:dyDescent="0.3">
      <c r="A1568" t="s">
        <v>3375</v>
      </c>
      <c r="B1568" s="1">
        <v>45374</v>
      </c>
      <c r="C1568" t="s">
        <v>1045</v>
      </c>
      <c r="D1568" t="s">
        <v>1721</v>
      </c>
      <c r="E1568" t="s">
        <v>1784</v>
      </c>
      <c r="F1568">
        <v>4</v>
      </c>
      <c r="G1568">
        <v>284.24</v>
      </c>
      <c r="H1568">
        <v>0.1</v>
      </c>
      <c r="I1568" t="s">
        <v>1807</v>
      </c>
      <c r="J1568">
        <v>1023.264</v>
      </c>
    </row>
    <row r="1569" spans="1:10" x14ac:dyDescent="0.3">
      <c r="A1569" t="s">
        <v>3376</v>
      </c>
      <c r="B1569" s="1">
        <v>45374</v>
      </c>
      <c r="C1569" t="s">
        <v>687</v>
      </c>
      <c r="D1569" t="s">
        <v>1529</v>
      </c>
      <c r="E1569" t="s">
        <v>1749</v>
      </c>
      <c r="F1569">
        <v>1</v>
      </c>
      <c r="G1569">
        <v>94.26</v>
      </c>
      <c r="H1569">
        <v>0.18</v>
      </c>
      <c r="I1569" t="s">
        <v>1809</v>
      </c>
      <c r="J1569">
        <v>77.293200000000013</v>
      </c>
    </row>
    <row r="1570" spans="1:10" x14ac:dyDescent="0.3">
      <c r="A1570" t="s">
        <v>3377</v>
      </c>
      <c r="B1570" s="1">
        <v>45789</v>
      </c>
      <c r="C1570" t="s">
        <v>1278</v>
      </c>
      <c r="D1570" t="s">
        <v>1540</v>
      </c>
      <c r="E1570" t="s">
        <v>1772</v>
      </c>
      <c r="F1570">
        <v>4</v>
      </c>
      <c r="G1570">
        <v>458.58</v>
      </c>
      <c r="H1570">
        <v>0.28999999999999998</v>
      </c>
      <c r="I1570" t="s">
        <v>1812</v>
      </c>
      <c r="J1570">
        <v>1302.3671999999999</v>
      </c>
    </row>
    <row r="1571" spans="1:10" x14ac:dyDescent="0.3">
      <c r="A1571" t="s">
        <v>3378</v>
      </c>
      <c r="B1571" s="1">
        <v>45452</v>
      </c>
      <c r="C1571" t="s">
        <v>391</v>
      </c>
      <c r="D1571" t="s">
        <v>1661</v>
      </c>
      <c r="E1571" t="s">
        <v>1772</v>
      </c>
      <c r="F1571">
        <v>4</v>
      </c>
      <c r="G1571">
        <v>704.49</v>
      </c>
      <c r="H1571">
        <v>0.05</v>
      </c>
      <c r="I1571" t="s">
        <v>1812</v>
      </c>
      <c r="J1571">
        <v>2677.0619999999999</v>
      </c>
    </row>
    <row r="1572" spans="1:10" x14ac:dyDescent="0.3">
      <c r="A1572" t="s">
        <v>3379</v>
      </c>
      <c r="B1572" s="1">
        <v>45284</v>
      </c>
      <c r="C1572" t="s">
        <v>130</v>
      </c>
      <c r="D1572" t="s">
        <v>1585</v>
      </c>
      <c r="E1572" t="s">
        <v>1796</v>
      </c>
      <c r="F1572">
        <v>4</v>
      </c>
      <c r="G1572">
        <v>822.32</v>
      </c>
      <c r="H1572">
        <v>0.26</v>
      </c>
      <c r="I1572" t="s">
        <v>1809</v>
      </c>
      <c r="J1572">
        <v>2434.0672</v>
      </c>
    </row>
    <row r="1573" spans="1:10" x14ac:dyDescent="0.3">
      <c r="A1573" t="s">
        <v>3380</v>
      </c>
      <c r="B1573" s="1">
        <v>45325</v>
      </c>
      <c r="C1573" t="s">
        <v>779</v>
      </c>
      <c r="D1573" t="s">
        <v>1534</v>
      </c>
      <c r="E1573" t="s">
        <v>1780</v>
      </c>
      <c r="F1573">
        <v>4</v>
      </c>
      <c r="G1573">
        <v>785.41</v>
      </c>
      <c r="H1573">
        <v>0.13</v>
      </c>
      <c r="I1573" t="s">
        <v>1812</v>
      </c>
      <c r="J1573">
        <v>2733.2267999999999</v>
      </c>
    </row>
    <row r="1574" spans="1:10" x14ac:dyDescent="0.3">
      <c r="A1574" t="s">
        <v>3381</v>
      </c>
      <c r="B1574" s="1">
        <v>45465</v>
      </c>
      <c r="C1574" t="s">
        <v>127</v>
      </c>
      <c r="D1574" t="s">
        <v>1609</v>
      </c>
      <c r="E1574" t="s">
        <v>1782</v>
      </c>
      <c r="F1574">
        <v>1</v>
      </c>
      <c r="G1574">
        <v>405.8</v>
      </c>
      <c r="H1574">
        <v>0.11</v>
      </c>
      <c r="I1574" t="s">
        <v>1809</v>
      </c>
      <c r="J1574">
        <v>361.16199999999998</v>
      </c>
    </row>
    <row r="1575" spans="1:10" x14ac:dyDescent="0.3">
      <c r="A1575" t="s">
        <v>3382</v>
      </c>
      <c r="B1575" s="1">
        <v>45612</v>
      </c>
      <c r="C1575" t="s">
        <v>1327</v>
      </c>
      <c r="D1575" t="s">
        <v>1713</v>
      </c>
      <c r="E1575" t="s">
        <v>1769</v>
      </c>
      <c r="F1575">
        <v>2</v>
      </c>
      <c r="G1575">
        <v>976.83</v>
      </c>
      <c r="H1575">
        <v>0.1</v>
      </c>
      <c r="I1575" t="s">
        <v>1809</v>
      </c>
      <c r="J1575">
        <v>1758.2940000000001</v>
      </c>
    </row>
    <row r="1576" spans="1:10" x14ac:dyDescent="0.3">
      <c r="A1576" t="s">
        <v>3383</v>
      </c>
      <c r="B1576" s="1">
        <v>45472</v>
      </c>
      <c r="C1576" t="s">
        <v>861</v>
      </c>
      <c r="D1576" t="s">
        <v>1659</v>
      </c>
      <c r="E1576" t="s">
        <v>1744</v>
      </c>
      <c r="F1576">
        <v>1</v>
      </c>
      <c r="G1576">
        <v>644.15</v>
      </c>
      <c r="H1576">
        <v>0.06</v>
      </c>
      <c r="I1576" t="s">
        <v>1807</v>
      </c>
      <c r="J1576">
        <v>605.50099999999998</v>
      </c>
    </row>
    <row r="1577" spans="1:10" x14ac:dyDescent="0.3">
      <c r="A1577" t="s">
        <v>3384</v>
      </c>
      <c r="B1577" s="1">
        <v>45897</v>
      </c>
      <c r="C1577" t="s">
        <v>1048</v>
      </c>
      <c r="D1577" t="s">
        <v>1665</v>
      </c>
      <c r="E1577" t="s">
        <v>1780</v>
      </c>
      <c r="F1577">
        <v>1</v>
      </c>
      <c r="G1577">
        <v>470.55</v>
      </c>
      <c r="H1577">
        <v>0.23</v>
      </c>
      <c r="I1577" t="s">
        <v>1809</v>
      </c>
      <c r="J1577">
        <v>362.32350000000002</v>
      </c>
    </row>
    <row r="1578" spans="1:10" x14ac:dyDescent="0.3">
      <c r="A1578" t="s">
        <v>3385</v>
      </c>
      <c r="B1578" s="1">
        <v>45241</v>
      </c>
      <c r="C1578" t="s">
        <v>1456</v>
      </c>
      <c r="D1578" t="s">
        <v>1543</v>
      </c>
      <c r="E1578" t="s">
        <v>1759</v>
      </c>
      <c r="F1578">
        <v>3</v>
      </c>
      <c r="G1578">
        <v>598.82000000000005</v>
      </c>
      <c r="H1578">
        <v>0.19</v>
      </c>
      <c r="I1578" t="s">
        <v>1812</v>
      </c>
      <c r="J1578">
        <v>1455.1325999999999</v>
      </c>
    </row>
    <row r="1579" spans="1:10" x14ac:dyDescent="0.3">
      <c r="A1579" t="s">
        <v>3386</v>
      </c>
      <c r="B1579" s="1">
        <v>45851</v>
      </c>
      <c r="C1579" t="s">
        <v>355</v>
      </c>
      <c r="D1579" t="s">
        <v>1571</v>
      </c>
      <c r="E1579" t="s">
        <v>1777</v>
      </c>
      <c r="F1579">
        <v>4</v>
      </c>
      <c r="G1579">
        <v>659.17</v>
      </c>
      <c r="H1579">
        <v>0.12</v>
      </c>
      <c r="I1579" t="s">
        <v>1807</v>
      </c>
      <c r="J1579">
        <v>2320.2784000000001</v>
      </c>
    </row>
    <row r="1580" spans="1:10" x14ac:dyDescent="0.3">
      <c r="A1580" t="s">
        <v>3387</v>
      </c>
      <c r="B1580" s="1">
        <v>45572</v>
      </c>
      <c r="C1580" t="s">
        <v>364</v>
      </c>
      <c r="D1580" t="s">
        <v>1623</v>
      </c>
      <c r="E1580" t="s">
        <v>1740</v>
      </c>
      <c r="F1580">
        <v>2</v>
      </c>
      <c r="G1580">
        <v>216.02</v>
      </c>
      <c r="H1580">
        <v>0.25</v>
      </c>
      <c r="I1580" t="s">
        <v>1807</v>
      </c>
      <c r="J1580">
        <v>324.02999999999997</v>
      </c>
    </row>
    <row r="1581" spans="1:10" x14ac:dyDescent="0.3">
      <c r="A1581" t="s">
        <v>3388</v>
      </c>
      <c r="B1581" s="1">
        <v>45774</v>
      </c>
      <c r="C1581" t="s">
        <v>124</v>
      </c>
      <c r="D1581" t="s">
        <v>1593</v>
      </c>
      <c r="E1581" t="s">
        <v>1772</v>
      </c>
      <c r="F1581">
        <v>2</v>
      </c>
      <c r="G1581">
        <v>613.47</v>
      </c>
      <c r="H1581">
        <v>0.02</v>
      </c>
      <c r="I1581" t="s">
        <v>1809</v>
      </c>
      <c r="J1581">
        <v>1202.4012</v>
      </c>
    </row>
    <row r="1582" spans="1:10" x14ac:dyDescent="0.3">
      <c r="A1582" t="s">
        <v>3389</v>
      </c>
      <c r="B1582" s="1">
        <v>45921</v>
      </c>
      <c r="C1582" t="s">
        <v>345</v>
      </c>
      <c r="D1582" t="s">
        <v>1647</v>
      </c>
      <c r="E1582" t="s">
        <v>1777</v>
      </c>
      <c r="F1582">
        <v>2</v>
      </c>
      <c r="G1582">
        <v>485.17</v>
      </c>
      <c r="H1582">
        <v>0.11</v>
      </c>
      <c r="I1582" t="s">
        <v>1809</v>
      </c>
      <c r="J1582">
        <v>863.60260000000005</v>
      </c>
    </row>
    <row r="1583" spans="1:10" x14ac:dyDescent="0.3">
      <c r="A1583" t="s">
        <v>3390</v>
      </c>
      <c r="B1583" s="1">
        <v>45268</v>
      </c>
      <c r="C1583" t="s">
        <v>959</v>
      </c>
      <c r="D1583" t="s">
        <v>1623</v>
      </c>
      <c r="E1583" t="s">
        <v>1772</v>
      </c>
      <c r="F1583">
        <v>1</v>
      </c>
      <c r="G1583">
        <v>209.7</v>
      </c>
      <c r="H1583">
        <v>0.2</v>
      </c>
      <c r="I1583" t="s">
        <v>1809</v>
      </c>
      <c r="J1583">
        <v>167.76</v>
      </c>
    </row>
    <row r="1584" spans="1:10" x14ac:dyDescent="0.3">
      <c r="A1584" t="s">
        <v>3391</v>
      </c>
      <c r="B1584" s="1">
        <v>45402</v>
      </c>
      <c r="C1584" t="s">
        <v>1015</v>
      </c>
      <c r="D1584" t="s">
        <v>1715</v>
      </c>
      <c r="E1584" t="s">
        <v>1735</v>
      </c>
      <c r="F1584">
        <v>1</v>
      </c>
      <c r="G1584">
        <v>681.47</v>
      </c>
      <c r="H1584">
        <v>0.15</v>
      </c>
      <c r="I1584" t="s">
        <v>1807</v>
      </c>
      <c r="J1584">
        <v>579.24950000000001</v>
      </c>
    </row>
    <row r="1585" spans="1:10" x14ac:dyDescent="0.3">
      <c r="A1585" t="s">
        <v>3392</v>
      </c>
      <c r="B1585" s="1">
        <v>45667</v>
      </c>
      <c r="C1585" t="s">
        <v>1346</v>
      </c>
      <c r="D1585" t="s">
        <v>1683</v>
      </c>
      <c r="E1585" t="s">
        <v>1790</v>
      </c>
      <c r="F1585">
        <v>2</v>
      </c>
      <c r="G1585">
        <v>877.21</v>
      </c>
      <c r="H1585">
        <v>0.1</v>
      </c>
      <c r="I1585" t="s">
        <v>1807</v>
      </c>
      <c r="J1585">
        <v>1578.9780000000001</v>
      </c>
    </row>
    <row r="1586" spans="1:10" x14ac:dyDescent="0.3">
      <c r="A1586" t="s">
        <v>3393</v>
      </c>
      <c r="B1586" s="1">
        <v>45902</v>
      </c>
      <c r="C1586" t="s">
        <v>992</v>
      </c>
      <c r="D1586" t="s">
        <v>1687</v>
      </c>
      <c r="E1586" t="s">
        <v>1756</v>
      </c>
      <c r="F1586">
        <v>2</v>
      </c>
      <c r="G1586">
        <v>479.77</v>
      </c>
      <c r="H1586">
        <v>0.21</v>
      </c>
      <c r="I1586" t="s">
        <v>1809</v>
      </c>
      <c r="J1586">
        <v>758.03660000000002</v>
      </c>
    </row>
    <row r="1587" spans="1:10" x14ac:dyDescent="0.3">
      <c r="A1587" t="s">
        <v>3394</v>
      </c>
      <c r="B1587" s="1">
        <v>45589</v>
      </c>
      <c r="C1587" t="s">
        <v>1004</v>
      </c>
      <c r="D1587" t="s">
        <v>1697</v>
      </c>
      <c r="E1587" t="s">
        <v>1784</v>
      </c>
      <c r="F1587">
        <v>1</v>
      </c>
      <c r="G1587">
        <v>140.72</v>
      </c>
      <c r="H1587">
        <v>0</v>
      </c>
      <c r="I1587" t="s">
        <v>1812</v>
      </c>
      <c r="J1587">
        <v>140.72</v>
      </c>
    </row>
    <row r="1588" spans="1:10" x14ac:dyDescent="0.3">
      <c r="A1588" t="s">
        <v>3395</v>
      </c>
      <c r="B1588" s="1">
        <v>45668</v>
      </c>
      <c r="C1588" t="s">
        <v>114</v>
      </c>
      <c r="D1588" t="s">
        <v>1569</v>
      </c>
      <c r="E1588" t="s">
        <v>1759</v>
      </c>
      <c r="F1588">
        <v>2</v>
      </c>
      <c r="G1588">
        <v>764.25</v>
      </c>
      <c r="H1588">
        <v>0.23</v>
      </c>
      <c r="I1588" t="s">
        <v>1809</v>
      </c>
      <c r="J1588">
        <v>1176.9449999999999</v>
      </c>
    </row>
    <row r="1589" spans="1:10" x14ac:dyDescent="0.3">
      <c r="A1589" t="s">
        <v>3396</v>
      </c>
      <c r="B1589" s="1">
        <v>45300</v>
      </c>
      <c r="C1589" t="s">
        <v>713</v>
      </c>
      <c r="D1589" t="s">
        <v>1697</v>
      </c>
      <c r="E1589" t="s">
        <v>1756</v>
      </c>
      <c r="F1589">
        <v>3</v>
      </c>
      <c r="G1589">
        <v>107.8</v>
      </c>
      <c r="H1589">
        <v>0.28999999999999998</v>
      </c>
      <c r="I1589" t="s">
        <v>1809</v>
      </c>
      <c r="J1589">
        <v>229.614</v>
      </c>
    </row>
    <row r="1590" spans="1:10" x14ac:dyDescent="0.3">
      <c r="A1590" t="s">
        <v>3397</v>
      </c>
      <c r="B1590" s="1">
        <v>45757</v>
      </c>
      <c r="C1590" t="s">
        <v>491</v>
      </c>
      <c r="D1590" t="s">
        <v>1575</v>
      </c>
      <c r="E1590" t="s">
        <v>1765</v>
      </c>
      <c r="F1590">
        <v>4</v>
      </c>
      <c r="G1590">
        <v>565.37</v>
      </c>
      <c r="H1590">
        <v>7.0000000000000007E-2</v>
      </c>
      <c r="I1590" t="s">
        <v>1809</v>
      </c>
      <c r="J1590">
        <v>2103.1763999999998</v>
      </c>
    </row>
    <row r="1591" spans="1:10" x14ac:dyDescent="0.3">
      <c r="A1591" t="s">
        <v>3398</v>
      </c>
      <c r="B1591" s="1">
        <v>45235</v>
      </c>
      <c r="C1591" t="s">
        <v>136</v>
      </c>
      <c r="D1591" t="s">
        <v>1603</v>
      </c>
      <c r="E1591" t="s">
        <v>1752</v>
      </c>
      <c r="F1591">
        <v>3</v>
      </c>
      <c r="G1591">
        <v>811.45</v>
      </c>
      <c r="H1591">
        <v>0.26</v>
      </c>
      <c r="I1591" t="s">
        <v>1807</v>
      </c>
      <c r="J1591">
        <v>1801.4190000000001</v>
      </c>
    </row>
    <row r="1592" spans="1:10" x14ac:dyDescent="0.3">
      <c r="A1592" t="s">
        <v>3399</v>
      </c>
      <c r="B1592" s="1">
        <v>45749</v>
      </c>
      <c r="C1592" t="s">
        <v>1261</v>
      </c>
      <c r="D1592" t="s">
        <v>1597</v>
      </c>
      <c r="E1592" t="s">
        <v>1796</v>
      </c>
      <c r="F1592">
        <v>4</v>
      </c>
      <c r="G1592">
        <v>62.25</v>
      </c>
      <c r="H1592">
        <v>0.11</v>
      </c>
      <c r="I1592" t="s">
        <v>1809</v>
      </c>
      <c r="J1592">
        <v>221.61</v>
      </c>
    </row>
    <row r="1593" spans="1:10" x14ac:dyDescent="0.3">
      <c r="A1593" t="s">
        <v>3400</v>
      </c>
      <c r="B1593" s="1">
        <v>45807</v>
      </c>
      <c r="C1593" t="s">
        <v>107</v>
      </c>
      <c r="D1593" t="s">
        <v>1721</v>
      </c>
      <c r="E1593" t="s">
        <v>1772</v>
      </c>
      <c r="F1593">
        <v>1</v>
      </c>
      <c r="G1593">
        <v>749.78</v>
      </c>
      <c r="H1593">
        <v>0.03</v>
      </c>
      <c r="I1593" t="s">
        <v>1807</v>
      </c>
      <c r="J1593">
        <v>727.28659999999991</v>
      </c>
    </row>
    <row r="1594" spans="1:10" x14ac:dyDescent="0.3">
      <c r="A1594" t="s">
        <v>3401</v>
      </c>
      <c r="B1594" s="1">
        <v>45496</v>
      </c>
      <c r="C1594" t="s">
        <v>1086</v>
      </c>
      <c r="D1594" t="s">
        <v>1649</v>
      </c>
      <c r="E1594" t="s">
        <v>1756</v>
      </c>
      <c r="F1594">
        <v>3</v>
      </c>
      <c r="G1594">
        <v>630.28</v>
      </c>
      <c r="H1594">
        <v>7.0000000000000007E-2</v>
      </c>
      <c r="I1594" t="s">
        <v>1812</v>
      </c>
      <c r="J1594">
        <v>1758.4811999999999</v>
      </c>
    </row>
    <row r="1595" spans="1:10" x14ac:dyDescent="0.3">
      <c r="A1595" t="s">
        <v>3402</v>
      </c>
      <c r="B1595" s="1">
        <v>45355</v>
      </c>
      <c r="C1595" t="s">
        <v>479</v>
      </c>
      <c r="D1595" t="s">
        <v>1591</v>
      </c>
      <c r="E1595" t="s">
        <v>1787</v>
      </c>
      <c r="F1595">
        <v>1</v>
      </c>
      <c r="G1595">
        <v>101.84</v>
      </c>
      <c r="H1595">
        <v>0.17</v>
      </c>
      <c r="I1595" t="s">
        <v>1807</v>
      </c>
      <c r="J1595">
        <v>84.527199999999993</v>
      </c>
    </row>
    <row r="1596" spans="1:10" x14ac:dyDescent="0.3">
      <c r="A1596" t="s">
        <v>3403</v>
      </c>
      <c r="B1596" s="1">
        <v>45256</v>
      </c>
      <c r="C1596" t="s">
        <v>205</v>
      </c>
      <c r="D1596" t="s">
        <v>1579</v>
      </c>
      <c r="E1596" t="s">
        <v>1793</v>
      </c>
      <c r="F1596">
        <v>4</v>
      </c>
      <c r="G1596">
        <v>641.45000000000005</v>
      </c>
      <c r="H1596">
        <v>0.16</v>
      </c>
      <c r="I1596" t="s">
        <v>1812</v>
      </c>
      <c r="J1596">
        <v>2155.2719999999999</v>
      </c>
    </row>
    <row r="1597" spans="1:10" x14ac:dyDescent="0.3">
      <c r="A1597" t="s">
        <v>3404</v>
      </c>
      <c r="B1597" s="1">
        <v>45849</v>
      </c>
      <c r="C1597" t="s">
        <v>1436</v>
      </c>
      <c r="D1597" t="s">
        <v>1617</v>
      </c>
      <c r="E1597" t="s">
        <v>1740</v>
      </c>
      <c r="F1597">
        <v>1</v>
      </c>
      <c r="G1597">
        <v>135.87</v>
      </c>
      <c r="H1597">
        <v>0.23</v>
      </c>
      <c r="I1597" t="s">
        <v>1809</v>
      </c>
      <c r="J1597">
        <v>104.6199</v>
      </c>
    </row>
    <row r="1598" spans="1:10" x14ac:dyDescent="0.3">
      <c r="A1598" t="s">
        <v>3405</v>
      </c>
      <c r="B1598" s="1">
        <v>45344</v>
      </c>
      <c r="C1598" t="s">
        <v>336</v>
      </c>
      <c r="D1598" t="s">
        <v>1573</v>
      </c>
      <c r="E1598" t="s">
        <v>1759</v>
      </c>
      <c r="F1598">
        <v>1</v>
      </c>
      <c r="G1598">
        <v>388.35</v>
      </c>
      <c r="H1598">
        <v>0.01</v>
      </c>
      <c r="I1598" t="s">
        <v>1809</v>
      </c>
      <c r="J1598">
        <v>384.4665</v>
      </c>
    </row>
    <row r="1599" spans="1:10" x14ac:dyDescent="0.3">
      <c r="A1599" t="s">
        <v>3406</v>
      </c>
      <c r="B1599" s="1">
        <v>45367</v>
      </c>
      <c r="C1599" t="s">
        <v>1478</v>
      </c>
      <c r="D1599" t="s">
        <v>1607</v>
      </c>
      <c r="E1599" t="s">
        <v>1769</v>
      </c>
      <c r="F1599">
        <v>2</v>
      </c>
      <c r="G1599">
        <v>999.08</v>
      </c>
      <c r="H1599">
        <v>0.3</v>
      </c>
      <c r="I1599" t="s">
        <v>1809</v>
      </c>
      <c r="J1599">
        <v>1398.712</v>
      </c>
    </row>
    <row r="1600" spans="1:10" x14ac:dyDescent="0.3">
      <c r="A1600" t="s">
        <v>3407</v>
      </c>
      <c r="B1600" s="1">
        <v>45887</v>
      </c>
      <c r="C1600" t="s">
        <v>560</v>
      </c>
      <c r="D1600" t="s">
        <v>1607</v>
      </c>
      <c r="E1600" t="s">
        <v>1790</v>
      </c>
      <c r="F1600">
        <v>3</v>
      </c>
      <c r="G1600">
        <v>453.19</v>
      </c>
      <c r="H1600">
        <v>0.08</v>
      </c>
      <c r="I1600" t="s">
        <v>1812</v>
      </c>
      <c r="J1600">
        <v>1250.8044</v>
      </c>
    </row>
    <row r="1601" spans="1:10" x14ac:dyDescent="0.3">
      <c r="A1601" t="s">
        <v>3408</v>
      </c>
      <c r="B1601" s="1">
        <v>45567</v>
      </c>
      <c r="C1601" t="s">
        <v>749</v>
      </c>
      <c r="D1601" t="s">
        <v>1691</v>
      </c>
      <c r="E1601" t="s">
        <v>1772</v>
      </c>
      <c r="F1601">
        <v>2</v>
      </c>
      <c r="G1601">
        <v>61.31</v>
      </c>
      <c r="H1601">
        <v>0.15</v>
      </c>
      <c r="I1601" t="s">
        <v>1812</v>
      </c>
      <c r="J1601">
        <v>104.227</v>
      </c>
    </row>
    <row r="1602" spans="1:10" x14ac:dyDescent="0.3">
      <c r="A1602" t="s">
        <v>3409</v>
      </c>
      <c r="B1602" s="1">
        <v>45223</v>
      </c>
      <c r="C1602" t="s">
        <v>1063</v>
      </c>
      <c r="D1602" t="s">
        <v>1693</v>
      </c>
      <c r="E1602" t="s">
        <v>1772</v>
      </c>
      <c r="F1602">
        <v>2</v>
      </c>
      <c r="G1602">
        <v>870.13</v>
      </c>
      <c r="H1602">
        <v>0.23</v>
      </c>
      <c r="I1602" t="s">
        <v>1807</v>
      </c>
      <c r="J1602">
        <v>1340.0001999999999</v>
      </c>
    </row>
    <row r="1603" spans="1:10" x14ac:dyDescent="0.3">
      <c r="A1603" t="s">
        <v>3410</v>
      </c>
      <c r="B1603" s="1">
        <v>45664</v>
      </c>
      <c r="C1603" t="s">
        <v>244</v>
      </c>
      <c r="D1603" t="s">
        <v>1561</v>
      </c>
      <c r="E1603" t="s">
        <v>1796</v>
      </c>
      <c r="F1603">
        <v>1</v>
      </c>
      <c r="G1603">
        <v>336.51</v>
      </c>
      <c r="H1603">
        <v>0.11</v>
      </c>
      <c r="I1603" t="s">
        <v>1809</v>
      </c>
      <c r="J1603">
        <v>299.4939</v>
      </c>
    </row>
    <row r="1604" spans="1:10" x14ac:dyDescent="0.3">
      <c r="A1604" t="s">
        <v>3411</v>
      </c>
      <c r="B1604" s="1">
        <v>45313</v>
      </c>
      <c r="C1604" t="s">
        <v>592</v>
      </c>
      <c r="D1604" t="s">
        <v>1665</v>
      </c>
      <c r="E1604" t="s">
        <v>1735</v>
      </c>
      <c r="F1604">
        <v>1</v>
      </c>
      <c r="G1604">
        <v>305.70999999999998</v>
      </c>
      <c r="H1604">
        <v>0.26</v>
      </c>
      <c r="I1604" t="s">
        <v>1812</v>
      </c>
      <c r="J1604">
        <v>226.22540000000001</v>
      </c>
    </row>
    <row r="1605" spans="1:10" x14ac:dyDescent="0.3">
      <c r="A1605" t="s">
        <v>3412</v>
      </c>
      <c r="B1605" s="1">
        <v>45224</v>
      </c>
      <c r="C1605" t="s">
        <v>414</v>
      </c>
      <c r="D1605" t="s">
        <v>1551</v>
      </c>
      <c r="E1605" t="s">
        <v>1793</v>
      </c>
      <c r="F1605">
        <v>2</v>
      </c>
      <c r="G1605">
        <v>635.39</v>
      </c>
      <c r="H1605">
        <v>0.28999999999999998</v>
      </c>
      <c r="I1605" t="s">
        <v>1812</v>
      </c>
      <c r="J1605">
        <v>902.25379999999996</v>
      </c>
    </row>
    <row r="1606" spans="1:10" x14ac:dyDescent="0.3">
      <c r="A1606" t="s">
        <v>3413</v>
      </c>
      <c r="B1606" s="1">
        <v>45491</v>
      </c>
      <c r="C1606" t="s">
        <v>400</v>
      </c>
      <c r="D1606" t="s">
        <v>1715</v>
      </c>
      <c r="E1606" t="s">
        <v>1796</v>
      </c>
      <c r="F1606">
        <v>2</v>
      </c>
      <c r="G1606">
        <v>253.87</v>
      </c>
      <c r="H1606">
        <v>0.23</v>
      </c>
      <c r="I1606" t="s">
        <v>1812</v>
      </c>
      <c r="J1606">
        <v>390.95979999999997</v>
      </c>
    </row>
    <row r="1607" spans="1:10" x14ac:dyDescent="0.3">
      <c r="A1607" t="s">
        <v>3414</v>
      </c>
      <c r="B1607" s="1">
        <v>45472</v>
      </c>
      <c r="C1607" t="s">
        <v>1472</v>
      </c>
      <c r="D1607" t="s">
        <v>1683</v>
      </c>
      <c r="E1607" t="s">
        <v>1790</v>
      </c>
      <c r="F1607">
        <v>3</v>
      </c>
      <c r="G1607">
        <v>915.81</v>
      </c>
      <c r="H1607">
        <v>0.17</v>
      </c>
      <c r="I1607" t="s">
        <v>1812</v>
      </c>
      <c r="J1607">
        <v>2280.3669</v>
      </c>
    </row>
    <row r="1608" spans="1:10" x14ac:dyDescent="0.3">
      <c r="A1608" t="s">
        <v>3415</v>
      </c>
      <c r="B1608" s="1">
        <v>45795</v>
      </c>
      <c r="C1608" t="s">
        <v>675</v>
      </c>
      <c r="D1608" t="s">
        <v>1615</v>
      </c>
      <c r="E1608" t="s">
        <v>1765</v>
      </c>
      <c r="F1608">
        <v>3</v>
      </c>
      <c r="G1608">
        <v>779.5</v>
      </c>
      <c r="H1608">
        <v>0.02</v>
      </c>
      <c r="I1608" t="s">
        <v>1807</v>
      </c>
      <c r="J1608">
        <v>2291.73</v>
      </c>
    </row>
    <row r="1609" spans="1:10" x14ac:dyDescent="0.3">
      <c r="A1609" t="s">
        <v>3416</v>
      </c>
      <c r="B1609" s="1">
        <v>45470</v>
      </c>
      <c r="C1609" t="s">
        <v>1430</v>
      </c>
      <c r="D1609" t="s">
        <v>1653</v>
      </c>
      <c r="E1609" t="s">
        <v>1787</v>
      </c>
      <c r="F1609">
        <v>2</v>
      </c>
      <c r="G1609">
        <v>780.57</v>
      </c>
      <c r="H1609">
        <v>0.26</v>
      </c>
      <c r="I1609" t="s">
        <v>1807</v>
      </c>
      <c r="J1609">
        <v>1155.2436</v>
      </c>
    </row>
    <row r="1610" spans="1:10" x14ac:dyDescent="0.3">
      <c r="A1610" t="s">
        <v>3417</v>
      </c>
      <c r="B1610" s="1">
        <v>45390</v>
      </c>
      <c r="C1610" t="s">
        <v>1183</v>
      </c>
      <c r="D1610" t="s">
        <v>1721</v>
      </c>
      <c r="E1610" t="s">
        <v>1796</v>
      </c>
      <c r="F1610">
        <v>1</v>
      </c>
      <c r="G1610">
        <v>511.35</v>
      </c>
      <c r="H1610">
        <v>0</v>
      </c>
      <c r="I1610" t="s">
        <v>1807</v>
      </c>
      <c r="J1610">
        <v>511.35</v>
      </c>
    </row>
    <row r="1611" spans="1:10" x14ac:dyDescent="0.3">
      <c r="A1611" t="s">
        <v>3418</v>
      </c>
      <c r="B1611" s="1">
        <v>45803</v>
      </c>
      <c r="C1611" t="s">
        <v>75</v>
      </c>
      <c r="D1611" t="s">
        <v>1725</v>
      </c>
      <c r="E1611" t="s">
        <v>1749</v>
      </c>
      <c r="F1611">
        <v>4</v>
      </c>
      <c r="G1611">
        <v>44.07</v>
      </c>
      <c r="H1611">
        <v>0.28999999999999998</v>
      </c>
      <c r="I1611" t="s">
        <v>1812</v>
      </c>
      <c r="J1611">
        <v>125.1588</v>
      </c>
    </row>
    <row r="1612" spans="1:10" x14ac:dyDescent="0.3">
      <c r="A1612" t="s">
        <v>3419</v>
      </c>
      <c r="B1612" s="1">
        <v>45320</v>
      </c>
      <c r="C1612" t="s">
        <v>640</v>
      </c>
      <c r="D1612" t="s">
        <v>1669</v>
      </c>
      <c r="E1612" t="s">
        <v>1775</v>
      </c>
      <c r="F1612">
        <v>2</v>
      </c>
      <c r="G1612">
        <v>895.92</v>
      </c>
      <c r="H1612">
        <v>0.15</v>
      </c>
      <c r="I1612" t="s">
        <v>1807</v>
      </c>
      <c r="J1612">
        <v>1523.0640000000001</v>
      </c>
    </row>
    <row r="1613" spans="1:10" x14ac:dyDescent="0.3">
      <c r="A1613" t="s">
        <v>3420</v>
      </c>
      <c r="B1613" s="1">
        <v>45619</v>
      </c>
      <c r="C1613" t="s">
        <v>953</v>
      </c>
      <c r="D1613" t="s">
        <v>1637</v>
      </c>
      <c r="E1613" t="s">
        <v>1744</v>
      </c>
      <c r="F1613">
        <v>4</v>
      </c>
      <c r="G1613">
        <v>456.32</v>
      </c>
      <c r="H1613">
        <v>0.22</v>
      </c>
      <c r="I1613" t="s">
        <v>1812</v>
      </c>
      <c r="J1613">
        <v>1423.7184</v>
      </c>
    </row>
    <row r="1614" spans="1:10" x14ac:dyDescent="0.3">
      <c r="A1614" t="s">
        <v>3421</v>
      </c>
      <c r="B1614" s="1">
        <v>45777</v>
      </c>
      <c r="C1614" t="s">
        <v>1290</v>
      </c>
      <c r="D1614" t="s">
        <v>1599</v>
      </c>
      <c r="E1614" t="s">
        <v>1735</v>
      </c>
      <c r="F1614">
        <v>1</v>
      </c>
      <c r="G1614">
        <v>905.5</v>
      </c>
      <c r="H1614">
        <v>0.28999999999999998</v>
      </c>
      <c r="I1614" t="s">
        <v>1812</v>
      </c>
      <c r="J1614">
        <v>642.90499999999997</v>
      </c>
    </row>
    <row r="1615" spans="1:10" x14ac:dyDescent="0.3">
      <c r="A1615" t="s">
        <v>3422</v>
      </c>
      <c r="B1615" s="1">
        <v>45523</v>
      </c>
      <c r="C1615" t="s">
        <v>660</v>
      </c>
      <c r="D1615" t="s">
        <v>1563</v>
      </c>
      <c r="E1615" t="s">
        <v>1780</v>
      </c>
      <c r="F1615">
        <v>3</v>
      </c>
      <c r="G1615">
        <v>63.19</v>
      </c>
      <c r="H1615">
        <v>0.08</v>
      </c>
      <c r="I1615" t="s">
        <v>1807</v>
      </c>
      <c r="J1615">
        <v>174.40440000000001</v>
      </c>
    </row>
    <row r="1616" spans="1:10" x14ac:dyDescent="0.3">
      <c r="A1616" t="s">
        <v>3423</v>
      </c>
      <c r="B1616" s="1">
        <v>45628</v>
      </c>
      <c r="C1616" t="s">
        <v>188</v>
      </c>
      <c r="D1616" t="s">
        <v>1671</v>
      </c>
      <c r="E1616" t="s">
        <v>1762</v>
      </c>
      <c r="F1616">
        <v>3</v>
      </c>
      <c r="G1616">
        <v>687.66</v>
      </c>
      <c r="H1616">
        <v>0.06</v>
      </c>
      <c r="I1616" t="s">
        <v>1809</v>
      </c>
      <c r="J1616">
        <v>1939.2012</v>
      </c>
    </row>
    <row r="1617" spans="1:10" x14ac:dyDescent="0.3">
      <c r="A1617" t="s">
        <v>3424</v>
      </c>
      <c r="B1617" s="1">
        <v>45742</v>
      </c>
      <c r="C1617" t="s">
        <v>705</v>
      </c>
      <c r="D1617" t="s">
        <v>1617</v>
      </c>
      <c r="E1617" t="s">
        <v>1769</v>
      </c>
      <c r="F1617">
        <v>4</v>
      </c>
      <c r="G1617">
        <v>639.05999999999995</v>
      </c>
      <c r="H1617">
        <v>0.12</v>
      </c>
      <c r="I1617" t="s">
        <v>1809</v>
      </c>
      <c r="J1617">
        <v>2249.4911999999999</v>
      </c>
    </row>
    <row r="1618" spans="1:10" x14ac:dyDescent="0.3">
      <c r="A1618" t="s">
        <v>3425</v>
      </c>
      <c r="B1618" s="1">
        <v>45456</v>
      </c>
      <c r="C1618" t="s">
        <v>244</v>
      </c>
      <c r="D1618" t="s">
        <v>1673</v>
      </c>
      <c r="E1618" t="s">
        <v>1762</v>
      </c>
      <c r="F1618">
        <v>1</v>
      </c>
      <c r="G1618">
        <v>475.15</v>
      </c>
      <c r="H1618">
        <v>0.04</v>
      </c>
      <c r="I1618" t="s">
        <v>1812</v>
      </c>
      <c r="J1618">
        <v>456.14399999999989</v>
      </c>
    </row>
    <row r="1619" spans="1:10" x14ac:dyDescent="0.3">
      <c r="A1619" t="s">
        <v>3426</v>
      </c>
      <c r="B1619" s="1">
        <v>45534</v>
      </c>
      <c r="C1619" t="s">
        <v>619</v>
      </c>
      <c r="D1619" t="s">
        <v>1619</v>
      </c>
      <c r="E1619" t="s">
        <v>1759</v>
      </c>
      <c r="F1619">
        <v>1</v>
      </c>
      <c r="G1619">
        <v>62.38</v>
      </c>
      <c r="H1619">
        <v>0.08</v>
      </c>
      <c r="I1619" t="s">
        <v>1812</v>
      </c>
      <c r="J1619">
        <v>57.389600000000002</v>
      </c>
    </row>
    <row r="1620" spans="1:10" x14ac:dyDescent="0.3">
      <c r="A1620" t="s">
        <v>3427</v>
      </c>
      <c r="B1620" s="1">
        <v>45375</v>
      </c>
      <c r="C1620" t="s">
        <v>1097</v>
      </c>
      <c r="D1620" t="s">
        <v>1561</v>
      </c>
      <c r="E1620" t="s">
        <v>1762</v>
      </c>
      <c r="F1620">
        <v>1</v>
      </c>
      <c r="G1620">
        <v>977.02</v>
      </c>
      <c r="H1620">
        <v>0.2</v>
      </c>
      <c r="I1620" t="s">
        <v>1812</v>
      </c>
      <c r="J1620">
        <v>781.61599999999999</v>
      </c>
    </row>
    <row r="1621" spans="1:10" x14ac:dyDescent="0.3">
      <c r="A1621" t="s">
        <v>3428</v>
      </c>
      <c r="B1621" s="1">
        <v>45546</v>
      </c>
      <c r="C1621" t="s">
        <v>268</v>
      </c>
      <c r="D1621" t="s">
        <v>1697</v>
      </c>
      <c r="E1621" t="s">
        <v>1752</v>
      </c>
      <c r="F1621">
        <v>2</v>
      </c>
      <c r="G1621">
        <v>898.81</v>
      </c>
      <c r="H1621">
        <v>0.25</v>
      </c>
      <c r="I1621" t="s">
        <v>1807</v>
      </c>
      <c r="J1621">
        <v>1348.2149999999999</v>
      </c>
    </row>
    <row r="1622" spans="1:10" x14ac:dyDescent="0.3">
      <c r="A1622" t="s">
        <v>3429</v>
      </c>
      <c r="B1622" s="1">
        <v>45769</v>
      </c>
      <c r="C1622" t="s">
        <v>1089</v>
      </c>
      <c r="D1622" t="s">
        <v>1645</v>
      </c>
      <c r="E1622" t="s">
        <v>1749</v>
      </c>
      <c r="F1622">
        <v>2</v>
      </c>
      <c r="G1622">
        <v>422.13</v>
      </c>
      <c r="H1622">
        <v>0.28000000000000003</v>
      </c>
      <c r="I1622" t="s">
        <v>1807</v>
      </c>
      <c r="J1622">
        <v>607.86720000000003</v>
      </c>
    </row>
    <row r="1623" spans="1:10" x14ac:dyDescent="0.3">
      <c r="A1623" t="s">
        <v>3430</v>
      </c>
      <c r="B1623" s="1">
        <v>45524</v>
      </c>
      <c r="C1623" t="s">
        <v>188</v>
      </c>
      <c r="D1623" t="s">
        <v>1599</v>
      </c>
      <c r="E1623" t="s">
        <v>1775</v>
      </c>
      <c r="F1623">
        <v>1</v>
      </c>
      <c r="G1623">
        <v>324.56</v>
      </c>
      <c r="H1623">
        <v>0.03</v>
      </c>
      <c r="I1623" t="s">
        <v>1812</v>
      </c>
      <c r="J1623">
        <v>314.82319999999999</v>
      </c>
    </row>
    <row r="1624" spans="1:10" x14ac:dyDescent="0.3">
      <c r="A1624" t="s">
        <v>3431</v>
      </c>
      <c r="B1624" s="1">
        <v>45531</v>
      </c>
      <c r="C1624" t="s">
        <v>1427</v>
      </c>
      <c r="D1624" t="s">
        <v>1641</v>
      </c>
      <c r="E1624" t="s">
        <v>1787</v>
      </c>
      <c r="F1624">
        <v>4</v>
      </c>
      <c r="G1624">
        <v>570.38</v>
      </c>
      <c r="H1624">
        <v>0.26</v>
      </c>
      <c r="I1624" t="s">
        <v>1809</v>
      </c>
      <c r="J1624">
        <v>1688.3248000000001</v>
      </c>
    </row>
    <row r="1625" spans="1:10" x14ac:dyDescent="0.3">
      <c r="A1625" t="s">
        <v>3432</v>
      </c>
      <c r="B1625" s="1">
        <v>45479</v>
      </c>
      <c r="C1625" t="s">
        <v>1216</v>
      </c>
      <c r="D1625" t="s">
        <v>1599</v>
      </c>
      <c r="E1625" t="s">
        <v>1784</v>
      </c>
      <c r="F1625">
        <v>2</v>
      </c>
      <c r="G1625">
        <v>223.73</v>
      </c>
      <c r="H1625">
        <v>0.11</v>
      </c>
      <c r="I1625" t="s">
        <v>1809</v>
      </c>
      <c r="J1625">
        <v>398.23939999999999</v>
      </c>
    </row>
    <row r="1626" spans="1:10" x14ac:dyDescent="0.3">
      <c r="A1626" t="s">
        <v>3433</v>
      </c>
      <c r="B1626" s="1">
        <v>45868</v>
      </c>
      <c r="C1626" t="s">
        <v>1089</v>
      </c>
      <c r="D1626" t="s">
        <v>1703</v>
      </c>
      <c r="E1626" t="s">
        <v>1787</v>
      </c>
      <c r="F1626">
        <v>4</v>
      </c>
      <c r="G1626">
        <v>164.93</v>
      </c>
      <c r="H1626">
        <v>0.11</v>
      </c>
      <c r="I1626" t="s">
        <v>1807</v>
      </c>
      <c r="J1626">
        <v>587.1508</v>
      </c>
    </row>
    <row r="1627" spans="1:10" x14ac:dyDescent="0.3">
      <c r="A1627" t="s">
        <v>3434</v>
      </c>
      <c r="B1627" s="1">
        <v>45569</v>
      </c>
      <c r="C1627" t="s">
        <v>791</v>
      </c>
      <c r="D1627" t="s">
        <v>1561</v>
      </c>
      <c r="E1627" t="s">
        <v>1762</v>
      </c>
      <c r="F1627">
        <v>3</v>
      </c>
      <c r="G1627">
        <v>326.66000000000003</v>
      </c>
      <c r="H1627">
        <v>0.28000000000000003</v>
      </c>
      <c r="I1627" t="s">
        <v>1812</v>
      </c>
      <c r="J1627">
        <v>705.5856</v>
      </c>
    </row>
    <row r="1628" spans="1:10" x14ac:dyDescent="0.3">
      <c r="A1628" t="s">
        <v>3435</v>
      </c>
      <c r="B1628" s="1">
        <v>45382</v>
      </c>
      <c r="C1628" t="s">
        <v>595</v>
      </c>
      <c r="D1628" t="s">
        <v>1529</v>
      </c>
      <c r="E1628" t="s">
        <v>1784</v>
      </c>
      <c r="F1628">
        <v>2</v>
      </c>
      <c r="G1628">
        <v>462.93</v>
      </c>
      <c r="H1628">
        <v>0.17</v>
      </c>
      <c r="I1628" t="s">
        <v>1809</v>
      </c>
      <c r="J1628">
        <v>768.46379999999999</v>
      </c>
    </row>
    <row r="1629" spans="1:10" x14ac:dyDescent="0.3">
      <c r="A1629" t="s">
        <v>3436</v>
      </c>
      <c r="B1629" s="1">
        <v>45885</v>
      </c>
      <c r="C1629" t="s">
        <v>491</v>
      </c>
      <c r="D1629" t="s">
        <v>1526</v>
      </c>
      <c r="E1629" t="s">
        <v>1787</v>
      </c>
      <c r="F1629">
        <v>3</v>
      </c>
      <c r="G1629">
        <v>60.26</v>
      </c>
      <c r="H1629">
        <v>0.04</v>
      </c>
      <c r="I1629" t="s">
        <v>1807</v>
      </c>
      <c r="J1629">
        <v>173.5488</v>
      </c>
    </row>
    <row r="1630" spans="1:10" x14ac:dyDescent="0.3">
      <c r="A1630" t="s">
        <v>3437</v>
      </c>
      <c r="B1630" s="1">
        <v>45829</v>
      </c>
      <c r="C1630" t="s">
        <v>258</v>
      </c>
      <c r="D1630" t="s">
        <v>1599</v>
      </c>
      <c r="E1630" t="s">
        <v>1769</v>
      </c>
      <c r="F1630">
        <v>3</v>
      </c>
      <c r="G1630">
        <v>109.5</v>
      </c>
      <c r="H1630">
        <v>0.06</v>
      </c>
      <c r="I1630" t="s">
        <v>1812</v>
      </c>
      <c r="J1630">
        <v>308.79000000000002</v>
      </c>
    </row>
    <row r="1631" spans="1:10" x14ac:dyDescent="0.3">
      <c r="A1631" t="s">
        <v>3438</v>
      </c>
      <c r="B1631" s="1">
        <v>45721</v>
      </c>
      <c r="C1631" t="s">
        <v>1180</v>
      </c>
      <c r="D1631" t="s">
        <v>1671</v>
      </c>
      <c r="E1631" t="s">
        <v>1787</v>
      </c>
      <c r="F1631">
        <v>1</v>
      </c>
      <c r="G1631">
        <v>505.83</v>
      </c>
      <c r="H1631">
        <v>0.14000000000000001</v>
      </c>
      <c r="I1631" t="s">
        <v>1812</v>
      </c>
      <c r="J1631">
        <v>435.0138</v>
      </c>
    </row>
    <row r="1632" spans="1:10" x14ac:dyDescent="0.3">
      <c r="A1632" t="s">
        <v>3439</v>
      </c>
      <c r="B1632" s="1">
        <v>45511</v>
      </c>
      <c r="C1632" t="s">
        <v>539</v>
      </c>
      <c r="D1632" t="s">
        <v>1727</v>
      </c>
      <c r="E1632" t="s">
        <v>1772</v>
      </c>
      <c r="F1632">
        <v>2</v>
      </c>
      <c r="G1632">
        <v>443.15</v>
      </c>
      <c r="H1632">
        <v>0.27</v>
      </c>
      <c r="I1632" t="s">
        <v>1809</v>
      </c>
      <c r="J1632">
        <v>646.99899999999991</v>
      </c>
    </row>
    <row r="1633" spans="1:10" x14ac:dyDescent="0.3">
      <c r="A1633" t="s">
        <v>3440</v>
      </c>
      <c r="B1633" s="1">
        <v>45739</v>
      </c>
      <c r="C1633" t="s">
        <v>1510</v>
      </c>
      <c r="D1633" t="s">
        <v>1543</v>
      </c>
      <c r="E1633" t="s">
        <v>1762</v>
      </c>
      <c r="F1633">
        <v>2</v>
      </c>
      <c r="G1633">
        <v>784.26</v>
      </c>
      <c r="H1633">
        <v>0.23</v>
      </c>
      <c r="I1633" t="s">
        <v>1809</v>
      </c>
      <c r="J1633">
        <v>1207.7603999999999</v>
      </c>
    </row>
    <row r="1634" spans="1:10" x14ac:dyDescent="0.3">
      <c r="A1634" t="s">
        <v>3441</v>
      </c>
      <c r="B1634" s="1">
        <v>45533</v>
      </c>
      <c r="C1634" t="s">
        <v>1389</v>
      </c>
      <c r="D1634" t="s">
        <v>1609</v>
      </c>
      <c r="E1634" t="s">
        <v>1775</v>
      </c>
      <c r="F1634">
        <v>3</v>
      </c>
      <c r="G1634">
        <v>590.30999999999995</v>
      </c>
      <c r="H1634">
        <v>0.17</v>
      </c>
      <c r="I1634" t="s">
        <v>1809</v>
      </c>
      <c r="J1634">
        <v>1469.8719000000001</v>
      </c>
    </row>
    <row r="1635" spans="1:10" x14ac:dyDescent="0.3">
      <c r="A1635" t="s">
        <v>3442</v>
      </c>
      <c r="B1635" s="1">
        <v>45553</v>
      </c>
      <c r="C1635" t="s">
        <v>412</v>
      </c>
      <c r="D1635" t="s">
        <v>1669</v>
      </c>
      <c r="E1635" t="s">
        <v>1787</v>
      </c>
      <c r="F1635">
        <v>1</v>
      </c>
      <c r="G1635">
        <v>696.13</v>
      </c>
      <c r="H1635">
        <v>0.06</v>
      </c>
      <c r="I1635" t="s">
        <v>1812</v>
      </c>
      <c r="J1635">
        <v>654.36219999999992</v>
      </c>
    </row>
    <row r="1636" spans="1:10" x14ac:dyDescent="0.3">
      <c r="A1636" t="s">
        <v>3443</v>
      </c>
      <c r="B1636" s="1">
        <v>45341</v>
      </c>
      <c r="C1636" t="s">
        <v>364</v>
      </c>
      <c r="D1636" t="s">
        <v>1633</v>
      </c>
      <c r="E1636" t="s">
        <v>1759</v>
      </c>
      <c r="F1636">
        <v>4</v>
      </c>
      <c r="G1636">
        <v>194.39</v>
      </c>
      <c r="H1636">
        <v>0.25</v>
      </c>
      <c r="I1636" t="s">
        <v>1807</v>
      </c>
      <c r="J1636">
        <v>583.16999999999996</v>
      </c>
    </row>
    <row r="1637" spans="1:10" x14ac:dyDescent="0.3">
      <c r="A1637" t="s">
        <v>3444</v>
      </c>
      <c r="B1637" s="1">
        <v>45430</v>
      </c>
      <c r="C1637" t="s">
        <v>1027</v>
      </c>
      <c r="D1637" t="s">
        <v>1597</v>
      </c>
      <c r="E1637" t="s">
        <v>1740</v>
      </c>
      <c r="F1637">
        <v>1</v>
      </c>
      <c r="G1637">
        <v>339.7</v>
      </c>
      <c r="H1637">
        <v>0.1</v>
      </c>
      <c r="I1637" t="s">
        <v>1807</v>
      </c>
      <c r="J1637">
        <v>305.73</v>
      </c>
    </row>
    <row r="1638" spans="1:10" x14ac:dyDescent="0.3">
      <c r="A1638" t="s">
        <v>3445</v>
      </c>
      <c r="B1638" s="1">
        <v>45912</v>
      </c>
      <c r="C1638" t="s">
        <v>182</v>
      </c>
      <c r="D1638" t="s">
        <v>1667</v>
      </c>
      <c r="E1638" t="s">
        <v>1780</v>
      </c>
      <c r="F1638">
        <v>4</v>
      </c>
      <c r="G1638">
        <v>463.16</v>
      </c>
      <c r="H1638">
        <v>0.27</v>
      </c>
      <c r="I1638" t="s">
        <v>1809</v>
      </c>
      <c r="J1638">
        <v>1352.4272000000001</v>
      </c>
    </row>
    <row r="1639" spans="1:10" x14ac:dyDescent="0.3">
      <c r="A1639" t="s">
        <v>3446</v>
      </c>
      <c r="B1639" s="1">
        <v>45709</v>
      </c>
      <c r="C1639" t="s">
        <v>373</v>
      </c>
      <c r="D1639" t="s">
        <v>1538</v>
      </c>
      <c r="E1639" t="s">
        <v>1772</v>
      </c>
      <c r="F1639">
        <v>2</v>
      </c>
      <c r="G1639">
        <v>824.91</v>
      </c>
      <c r="H1639">
        <v>0.09</v>
      </c>
      <c r="I1639" t="s">
        <v>1807</v>
      </c>
      <c r="J1639">
        <v>1501.3362</v>
      </c>
    </row>
    <row r="1640" spans="1:10" x14ac:dyDescent="0.3">
      <c r="A1640" t="s">
        <v>3447</v>
      </c>
      <c r="B1640" s="1">
        <v>45520</v>
      </c>
      <c r="C1640" t="s">
        <v>255</v>
      </c>
      <c r="D1640" t="s">
        <v>1538</v>
      </c>
      <c r="E1640" t="s">
        <v>1744</v>
      </c>
      <c r="F1640">
        <v>4</v>
      </c>
      <c r="G1640">
        <v>796.89</v>
      </c>
      <c r="H1640">
        <v>0.17</v>
      </c>
      <c r="I1640" t="s">
        <v>1807</v>
      </c>
      <c r="J1640">
        <v>2645.6747999999998</v>
      </c>
    </row>
    <row r="1641" spans="1:10" x14ac:dyDescent="0.3">
      <c r="A1641" t="s">
        <v>3448</v>
      </c>
      <c r="B1641" s="1">
        <v>45478</v>
      </c>
      <c r="C1641" t="s">
        <v>764</v>
      </c>
      <c r="D1641" t="s">
        <v>1583</v>
      </c>
      <c r="E1641" t="s">
        <v>1790</v>
      </c>
      <c r="F1641">
        <v>3</v>
      </c>
      <c r="G1641">
        <v>543.92999999999995</v>
      </c>
      <c r="H1641">
        <v>0.3</v>
      </c>
      <c r="I1641" t="s">
        <v>1812</v>
      </c>
      <c r="J1641">
        <v>1142.2529999999999</v>
      </c>
    </row>
    <row r="1642" spans="1:10" x14ac:dyDescent="0.3">
      <c r="A1642" t="s">
        <v>3449</v>
      </c>
      <c r="B1642" s="1">
        <v>45496</v>
      </c>
      <c r="C1642" t="s">
        <v>568</v>
      </c>
      <c r="D1642" t="s">
        <v>1559</v>
      </c>
      <c r="E1642" t="s">
        <v>1762</v>
      </c>
      <c r="F1642">
        <v>2</v>
      </c>
      <c r="G1642">
        <v>44.65</v>
      </c>
      <c r="H1642">
        <v>0.03</v>
      </c>
      <c r="I1642" t="s">
        <v>1809</v>
      </c>
      <c r="J1642">
        <v>86.620999999999995</v>
      </c>
    </row>
    <row r="1643" spans="1:10" x14ac:dyDescent="0.3">
      <c r="A1643" t="s">
        <v>3450</v>
      </c>
      <c r="B1643" s="1">
        <v>45742</v>
      </c>
      <c r="C1643" t="s">
        <v>794</v>
      </c>
      <c r="D1643" t="s">
        <v>1643</v>
      </c>
      <c r="E1643" t="s">
        <v>1735</v>
      </c>
      <c r="F1643">
        <v>4</v>
      </c>
      <c r="G1643">
        <v>827.39</v>
      </c>
      <c r="H1643">
        <v>0.06</v>
      </c>
      <c r="I1643" t="s">
        <v>1812</v>
      </c>
      <c r="J1643">
        <v>3110.9863999999998</v>
      </c>
    </row>
    <row r="1644" spans="1:10" x14ac:dyDescent="0.3">
      <c r="A1644" t="s">
        <v>3451</v>
      </c>
      <c r="B1644" s="1">
        <v>45301</v>
      </c>
      <c r="C1644" t="s">
        <v>962</v>
      </c>
      <c r="D1644" t="s">
        <v>1559</v>
      </c>
      <c r="E1644" t="s">
        <v>1777</v>
      </c>
      <c r="F1644">
        <v>2</v>
      </c>
      <c r="G1644">
        <v>403.2</v>
      </c>
      <c r="H1644">
        <v>0.21</v>
      </c>
      <c r="I1644" t="s">
        <v>1809</v>
      </c>
      <c r="J1644">
        <v>637.05600000000004</v>
      </c>
    </row>
    <row r="1645" spans="1:10" x14ac:dyDescent="0.3">
      <c r="A1645" t="s">
        <v>3452</v>
      </c>
      <c r="B1645" s="1">
        <v>45547</v>
      </c>
      <c r="C1645" t="s">
        <v>78</v>
      </c>
      <c r="D1645" t="s">
        <v>1703</v>
      </c>
      <c r="E1645" t="s">
        <v>1780</v>
      </c>
      <c r="F1645">
        <v>4</v>
      </c>
      <c r="G1645">
        <v>292.31</v>
      </c>
      <c r="H1645">
        <v>0.27</v>
      </c>
      <c r="I1645" t="s">
        <v>1809</v>
      </c>
      <c r="J1645">
        <v>853.54520000000002</v>
      </c>
    </row>
    <row r="1646" spans="1:10" x14ac:dyDescent="0.3">
      <c r="A1646" t="s">
        <v>3453</v>
      </c>
      <c r="B1646" s="1">
        <v>45806</v>
      </c>
      <c r="C1646" t="s">
        <v>1496</v>
      </c>
      <c r="D1646" t="s">
        <v>1532</v>
      </c>
      <c r="E1646" t="s">
        <v>1772</v>
      </c>
      <c r="F1646">
        <v>1</v>
      </c>
      <c r="G1646">
        <v>948.33</v>
      </c>
      <c r="H1646">
        <v>0.11</v>
      </c>
      <c r="I1646" t="s">
        <v>1807</v>
      </c>
      <c r="J1646">
        <v>844.01370000000009</v>
      </c>
    </row>
    <row r="1647" spans="1:10" x14ac:dyDescent="0.3">
      <c r="A1647" t="s">
        <v>3454</v>
      </c>
      <c r="B1647" s="1">
        <v>45294</v>
      </c>
      <c r="C1647" t="s">
        <v>1066</v>
      </c>
      <c r="D1647" t="s">
        <v>1609</v>
      </c>
      <c r="E1647" t="s">
        <v>1756</v>
      </c>
      <c r="F1647">
        <v>1</v>
      </c>
      <c r="G1647">
        <v>702.27</v>
      </c>
      <c r="H1647">
        <v>0.17</v>
      </c>
      <c r="I1647" t="s">
        <v>1812</v>
      </c>
      <c r="J1647">
        <v>582.88409999999999</v>
      </c>
    </row>
    <row r="1648" spans="1:10" x14ac:dyDescent="0.3">
      <c r="A1648" t="s">
        <v>3455</v>
      </c>
      <c r="B1648" s="1">
        <v>45875</v>
      </c>
      <c r="C1648" t="s">
        <v>159</v>
      </c>
      <c r="D1648" t="s">
        <v>1591</v>
      </c>
      <c r="E1648" t="s">
        <v>1749</v>
      </c>
      <c r="F1648">
        <v>2</v>
      </c>
      <c r="G1648">
        <v>379.28</v>
      </c>
      <c r="H1648">
        <v>0.26</v>
      </c>
      <c r="I1648" t="s">
        <v>1807</v>
      </c>
      <c r="J1648">
        <v>561.33439999999996</v>
      </c>
    </row>
    <row r="1649" spans="1:10" x14ac:dyDescent="0.3">
      <c r="A1649" t="s">
        <v>3456</v>
      </c>
      <c r="B1649" s="1">
        <v>45669</v>
      </c>
      <c r="C1649" t="s">
        <v>447</v>
      </c>
      <c r="D1649" t="s">
        <v>1625</v>
      </c>
      <c r="E1649" t="s">
        <v>1735</v>
      </c>
      <c r="F1649">
        <v>4</v>
      </c>
      <c r="G1649">
        <v>92.35</v>
      </c>
      <c r="H1649">
        <v>0.15</v>
      </c>
      <c r="I1649" t="s">
        <v>1807</v>
      </c>
      <c r="J1649">
        <v>313.99</v>
      </c>
    </row>
    <row r="1650" spans="1:10" x14ac:dyDescent="0.3">
      <c r="A1650" t="s">
        <v>3457</v>
      </c>
      <c r="B1650" s="1">
        <v>45606</v>
      </c>
      <c r="C1650" t="s">
        <v>705</v>
      </c>
      <c r="D1650" t="s">
        <v>1609</v>
      </c>
      <c r="E1650" t="s">
        <v>1777</v>
      </c>
      <c r="F1650">
        <v>4</v>
      </c>
      <c r="G1650">
        <v>721.54</v>
      </c>
      <c r="H1650">
        <v>0.21</v>
      </c>
      <c r="I1650" t="s">
        <v>1807</v>
      </c>
      <c r="J1650">
        <v>2280.0664000000002</v>
      </c>
    </row>
    <row r="1651" spans="1:10" x14ac:dyDescent="0.3">
      <c r="A1651" t="s">
        <v>3458</v>
      </c>
      <c r="B1651" s="1">
        <v>45787</v>
      </c>
      <c r="C1651" t="s">
        <v>199</v>
      </c>
      <c r="D1651" t="s">
        <v>1607</v>
      </c>
      <c r="E1651" t="s">
        <v>1769</v>
      </c>
      <c r="F1651">
        <v>1</v>
      </c>
      <c r="G1651">
        <v>228.69</v>
      </c>
      <c r="H1651">
        <v>0.14000000000000001</v>
      </c>
      <c r="I1651" t="s">
        <v>1807</v>
      </c>
      <c r="J1651">
        <v>196.67339999999999</v>
      </c>
    </row>
    <row r="1652" spans="1:10" x14ac:dyDescent="0.3">
      <c r="A1652" t="s">
        <v>3459</v>
      </c>
      <c r="B1652" s="1">
        <v>45929</v>
      </c>
      <c r="C1652" t="s">
        <v>1100</v>
      </c>
      <c r="D1652" t="s">
        <v>1637</v>
      </c>
      <c r="E1652" t="s">
        <v>1772</v>
      </c>
      <c r="F1652">
        <v>1</v>
      </c>
      <c r="G1652">
        <v>899.09</v>
      </c>
      <c r="H1652">
        <v>0.2</v>
      </c>
      <c r="I1652" t="s">
        <v>1809</v>
      </c>
      <c r="J1652">
        <v>719.27200000000005</v>
      </c>
    </row>
    <row r="1653" spans="1:10" x14ac:dyDescent="0.3">
      <c r="A1653" t="s">
        <v>3460</v>
      </c>
      <c r="B1653" s="1">
        <v>45379</v>
      </c>
      <c r="C1653" t="s">
        <v>1186</v>
      </c>
      <c r="D1653" t="s">
        <v>1545</v>
      </c>
      <c r="E1653" t="s">
        <v>1765</v>
      </c>
      <c r="F1653">
        <v>4</v>
      </c>
      <c r="G1653">
        <v>195.75</v>
      </c>
      <c r="H1653">
        <v>0.17</v>
      </c>
      <c r="I1653" t="s">
        <v>1807</v>
      </c>
      <c r="J1653">
        <v>649.89</v>
      </c>
    </row>
    <row r="1654" spans="1:10" x14ac:dyDescent="0.3">
      <c r="A1654" t="s">
        <v>3461</v>
      </c>
      <c r="B1654" s="1">
        <v>45532</v>
      </c>
      <c r="C1654" t="s">
        <v>1306</v>
      </c>
      <c r="D1654" t="s">
        <v>1717</v>
      </c>
      <c r="E1654" t="s">
        <v>1784</v>
      </c>
      <c r="F1654">
        <v>3</v>
      </c>
      <c r="G1654">
        <v>199.13</v>
      </c>
      <c r="H1654">
        <v>0.24</v>
      </c>
      <c r="I1654" t="s">
        <v>1807</v>
      </c>
      <c r="J1654">
        <v>454.01639999999998</v>
      </c>
    </row>
    <row r="1655" spans="1:10" x14ac:dyDescent="0.3">
      <c r="A1655" t="s">
        <v>3462</v>
      </c>
      <c r="B1655" s="1">
        <v>45466</v>
      </c>
      <c r="C1655" t="s">
        <v>530</v>
      </c>
      <c r="D1655" t="s">
        <v>1575</v>
      </c>
      <c r="E1655" t="s">
        <v>1782</v>
      </c>
      <c r="F1655">
        <v>2</v>
      </c>
      <c r="G1655">
        <v>833.62</v>
      </c>
      <c r="H1655">
        <v>0.18</v>
      </c>
      <c r="I1655" t="s">
        <v>1807</v>
      </c>
      <c r="J1655">
        <v>1367.1368</v>
      </c>
    </row>
    <row r="1656" spans="1:10" x14ac:dyDescent="0.3">
      <c r="A1656" t="s">
        <v>3463</v>
      </c>
      <c r="B1656" s="1">
        <v>45395</v>
      </c>
      <c r="C1656" t="s">
        <v>1472</v>
      </c>
      <c r="D1656" t="s">
        <v>1681</v>
      </c>
      <c r="E1656" t="s">
        <v>1735</v>
      </c>
      <c r="F1656">
        <v>1</v>
      </c>
      <c r="G1656">
        <v>676.26</v>
      </c>
      <c r="H1656">
        <v>0.14000000000000001</v>
      </c>
      <c r="I1656" t="s">
        <v>1807</v>
      </c>
      <c r="J1656">
        <v>581.58359999999993</v>
      </c>
    </row>
    <row r="1657" spans="1:10" x14ac:dyDescent="0.3">
      <c r="A1657" t="s">
        <v>3464</v>
      </c>
      <c r="B1657" s="1">
        <v>45708</v>
      </c>
      <c r="C1657" t="s">
        <v>130</v>
      </c>
      <c r="D1657" t="s">
        <v>1651</v>
      </c>
      <c r="E1657" t="s">
        <v>1769</v>
      </c>
      <c r="F1657">
        <v>2</v>
      </c>
      <c r="G1657">
        <v>666.49</v>
      </c>
      <c r="H1657">
        <v>0.06</v>
      </c>
      <c r="I1657" t="s">
        <v>1807</v>
      </c>
      <c r="J1657">
        <v>1253.0011999999999</v>
      </c>
    </row>
    <row r="1658" spans="1:10" x14ac:dyDescent="0.3">
      <c r="A1658" t="s">
        <v>3465</v>
      </c>
      <c r="B1658" s="1">
        <v>45735</v>
      </c>
      <c r="C1658" t="s">
        <v>1403</v>
      </c>
      <c r="D1658" t="s">
        <v>1561</v>
      </c>
      <c r="E1658" t="s">
        <v>1752</v>
      </c>
      <c r="F1658">
        <v>3</v>
      </c>
      <c r="G1658">
        <v>471.19</v>
      </c>
      <c r="H1658">
        <v>0.28000000000000003</v>
      </c>
      <c r="I1658" t="s">
        <v>1812</v>
      </c>
      <c r="J1658">
        <v>1017.7704</v>
      </c>
    </row>
    <row r="1659" spans="1:10" x14ac:dyDescent="0.3">
      <c r="A1659" t="s">
        <v>3466</v>
      </c>
      <c r="B1659" s="1">
        <v>45237</v>
      </c>
      <c r="C1659" t="s">
        <v>409</v>
      </c>
      <c r="D1659" t="s">
        <v>1545</v>
      </c>
      <c r="E1659" t="s">
        <v>1749</v>
      </c>
      <c r="F1659">
        <v>4</v>
      </c>
      <c r="G1659">
        <v>555.65</v>
      </c>
      <c r="H1659">
        <v>0.25</v>
      </c>
      <c r="I1659" t="s">
        <v>1812</v>
      </c>
      <c r="J1659">
        <v>1666.95</v>
      </c>
    </row>
    <row r="1660" spans="1:10" x14ac:dyDescent="0.3">
      <c r="A1660" t="s">
        <v>3467</v>
      </c>
      <c r="B1660" s="1">
        <v>45282</v>
      </c>
      <c r="C1660" t="s">
        <v>140</v>
      </c>
      <c r="D1660" t="s">
        <v>1721</v>
      </c>
      <c r="E1660" t="s">
        <v>1782</v>
      </c>
      <c r="F1660">
        <v>2</v>
      </c>
      <c r="G1660">
        <v>100.42</v>
      </c>
      <c r="H1660">
        <v>0.06</v>
      </c>
      <c r="I1660" t="s">
        <v>1807</v>
      </c>
      <c r="J1660">
        <v>188.78960000000001</v>
      </c>
    </row>
    <row r="1661" spans="1:10" x14ac:dyDescent="0.3">
      <c r="A1661" t="s">
        <v>3468</v>
      </c>
      <c r="B1661" s="1">
        <v>45337</v>
      </c>
      <c r="C1661" t="s">
        <v>188</v>
      </c>
      <c r="D1661" t="s">
        <v>1727</v>
      </c>
      <c r="E1661" t="s">
        <v>1793</v>
      </c>
      <c r="F1661">
        <v>3</v>
      </c>
      <c r="G1661">
        <v>981.69</v>
      </c>
      <c r="H1661">
        <v>0.05</v>
      </c>
      <c r="I1661" t="s">
        <v>1812</v>
      </c>
      <c r="J1661">
        <v>2797.8164999999999</v>
      </c>
    </row>
    <row r="1662" spans="1:10" x14ac:dyDescent="0.3">
      <c r="A1662" t="s">
        <v>3469</v>
      </c>
      <c r="B1662" s="1">
        <v>45310</v>
      </c>
      <c r="C1662" t="s">
        <v>1018</v>
      </c>
      <c r="D1662" t="s">
        <v>1551</v>
      </c>
      <c r="E1662" t="s">
        <v>1787</v>
      </c>
      <c r="F1662">
        <v>2</v>
      </c>
      <c r="G1662">
        <v>848.87</v>
      </c>
      <c r="H1662">
        <v>0.09</v>
      </c>
      <c r="I1662" t="s">
        <v>1812</v>
      </c>
      <c r="J1662">
        <v>1544.9434000000001</v>
      </c>
    </row>
    <row r="1663" spans="1:10" x14ac:dyDescent="0.3">
      <c r="A1663" t="s">
        <v>3470</v>
      </c>
      <c r="B1663" s="1">
        <v>45230</v>
      </c>
      <c r="C1663" t="s">
        <v>1159</v>
      </c>
      <c r="D1663" t="s">
        <v>1723</v>
      </c>
      <c r="E1663" t="s">
        <v>1772</v>
      </c>
      <c r="F1663">
        <v>3</v>
      </c>
      <c r="G1663">
        <v>582.32000000000005</v>
      </c>
      <c r="H1663">
        <v>0</v>
      </c>
      <c r="I1663" t="s">
        <v>1809</v>
      </c>
      <c r="J1663">
        <v>1746.96</v>
      </c>
    </row>
    <row r="1664" spans="1:10" x14ac:dyDescent="0.3">
      <c r="A1664" t="s">
        <v>3471</v>
      </c>
      <c r="B1664" s="1">
        <v>45341</v>
      </c>
      <c r="C1664" t="s">
        <v>562</v>
      </c>
      <c r="D1664" t="s">
        <v>1629</v>
      </c>
      <c r="E1664" t="s">
        <v>1790</v>
      </c>
      <c r="F1664">
        <v>2</v>
      </c>
      <c r="G1664">
        <v>869.43</v>
      </c>
      <c r="H1664">
        <v>0.24</v>
      </c>
      <c r="I1664" t="s">
        <v>1812</v>
      </c>
      <c r="J1664">
        <v>1321.5336</v>
      </c>
    </row>
    <row r="1665" spans="1:10" x14ac:dyDescent="0.3">
      <c r="A1665" t="s">
        <v>3472</v>
      </c>
      <c r="B1665" s="1">
        <v>45440</v>
      </c>
      <c r="C1665" t="s">
        <v>93</v>
      </c>
      <c r="D1665" t="s">
        <v>1639</v>
      </c>
      <c r="E1665" t="s">
        <v>1752</v>
      </c>
      <c r="F1665">
        <v>1</v>
      </c>
      <c r="G1665">
        <v>62.26</v>
      </c>
      <c r="H1665">
        <v>0.03</v>
      </c>
      <c r="I1665" t="s">
        <v>1812</v>
      </c>
      <c r="J1665">
        <v>60.392200000000003</v>
      </c>
    </row>
    <row r="1666" spans="1:10" x14ac:dyDescent="0.3">
      <c r="A1666" t="s">
        <v>3473</v>
      </c>
      <c r="B1666" s="1">
        <v>45798</v>
      </c>
      <c r="C1666" t="s">
        <v>506</v>
      </c>
      <c r="D1666" t="s">
        <v>1609</v>
      </c>
      <c r="E1666" t="s">
        <v>1782</v>
      </c>
      <c r="F1666">
        <v>3</v>
      </c>
      <c r="G1666">
        <v>343.97</v>
      </c>
      <c r="H1666">
        <v>0.04</v>
      </c>
      <c r="I1666" t="s">
        <v>1812</v>
      </c>
      <c r="J1666">
        <v>990.6336</v>
      </c>
    </row>
    <row r="1667" spans="1:10" x14ac:dyDescent="0.3">
      <c r="A1667" t="s">
        <v>3474</v>
      </c>
      <c r="B1667" s="1">
        <v>45293</v>
      </c>
      <c r="C1667" t="s">
        <v>948</v>
      </c>
      <c r="D1667" t="s">
        <v>1579</v>
      </c>
      <c r="E1667" t="s">
        <v>1777</v>
      </c>
      <c r="F1667">
        <v>3</v>
      </c>
      <c r="G1667">
        <v>304.67</v>
      </c>
      <c r="H1667">
        <v>0.11</v>
      </c>
      <c r="I1667" t="s">
        <v>1807</v>
      </c>
      <c r="J1667">
        <v>813.46889999999996</v>
      </c>
    </row>
    <row r="1668" spans="1:10" x14ac:dyDescent="0.3">
      <c r="A1668" t="s">
        <v>3475</v>
      </c>
      <c r="B1668" s="1">
        <v>45296</v>
      </c>
      <c r="C1668" t="s">
        <v>1129</v>
      </c>
      <c r="D1668" t="s">
        <v>1585</v>
      </c>
      <c r="E1668" t="s">
        <v>1769</v>
      </c>
      <c r="F1668">
        <v>4</v>
      </c>
      <c r="G1668">
        <v>208.34</v>
      </c>
      <c r="H1668">
        <v>0.01</v>
      </c>
      <c r="I1668" t="s">
        <v>1809</v>
      </c>
      <c r="J1668">
        <v>825.02639999999997</v>
      </c>
    </row>
    <row r="1669" spans="1:10" x14ac:dyDescent="0.3">
      <c r="A1669" t="s">
        <v>3476</v>
      </c>
      <c r="B1669" s="1">
        <v>45860</v>
      </c>
      <c r="C1669" t="s">
        <v>974</v>
      </c>
      <c r="D1669" t="s">
        <v>1703</v>
      </c>
      <c r="E1669" t="s">
        <v>1740</v>
      </c>
      <c r="F1669">
        <v>1</v>
      </c>
      <c r="G1669">
        <v>119.04</v>
      </c>
      <c r="H1669">
        <v>0.13</v>
      </c>
      <c r="I1669" t="s">
        <v>1812</v>
      </c>
      <c r="J1669">
        <v>103.56480000000001</v>
      </c>
    </row>
    <row r="1670" spans="1:10" x14ac:dyDescent="0.3">
      <c r="A1670" t="s">
        <v>3477</v>
      </c>
      <c r="B1670" s="1">
        <v>45843</v>
      </c>
      <c r="C1670" t="s">
        <v>1001</v>
      </c>
      <c r="D1670" t="s">
        <v>1619</v>
      </c>
      <c r="E1670" t="s">
        <v>1769</v>
      </c>
      <c r="F1670">
        <v>4</v>
      </c>
      <c r="G1670">
        <v>791.65</v>
      </c>
      <c r="H1670">
        <v>0.06</v>
      </c>
      <c r="I1670" t="s">
        <v>1812</v>
      </c>
      <c r="J1670">
        <v>2976.6039999999998</v>
      </c>
    </row>
    <row r="1671" spans="1:10" x14ac:dyDescent="0.3">
      <c r="A1671" t="s">
        <v>3478</v>
      </c>
      <c r="B1671" s="1">
        <v>45862</v>
      </c>
      <c r="C1671" t="s">
        <v>195</v>
      </c>
      <c r="D1671" t="s">
        <v>1559</v>
      </c>
      <c r="E1671" t="s">
        <v>1744</v>
      </c>
      <c r="F1671">
        <v>2</v>
      </c>
      <c r="G1671">
        <v>414.86</v>
      </c>
      <c r="H1671">
        <v>0.23</v>
      </c>
      <c r="I1671" t="s">
        <v>1807</v>
      </c>
      <c r="J1671">
        <v>638.88440000000003</v>
      </c>
    </row>
    <row r="1672" spans="1:10" x14ac:dyDescent="0.3">
      <c r="A1672" t="s">
        <v>3479</v>
      </c>
      <c r="B1672" s="1">
        <v>45385</v>
      </c>
      <c r="C1672" t="s">
        <v>1456</v>
      </c>
      <c r="D1672" t="s">
        <v>1607</v>
      </c>
      <c r="E1672" t="s">
        <v>1777</v>
      </c>
      <c r="F1672">
        <v>2</v>
      </c>
      <c r="G1672">
        <v>960.81</v>
      </c>
      <c r="H1672">
        <v>0.28000000000000003</v>
      </c>
      <c r="I1672" t="s">
        <v>1809</v>
      </c>
      <c r="J1672">
        <v>1383.5663999999999</v>
      </c>
    </row>
    <row r="1673" spans="1:10" x14ac:dyDescent="0.3">
      <c r="A1673" t="s">
        <v>3480</v>
      </c>
      <c r="B1673" s="1">
        <v>45668</v>
      </c>
      <c r="C1673" t="s">
        <v>684</v>
      </c>
      <c r="D1673" t="s">
        <v>1631</v>
      </c>
      <c r="E1673" t="s">
        <v>1752</v>
      </c>
      <c r="F1673">
        <v>4</v>
      </c>
      <c r="G1673">
        <v>943.36</v>
      </c>
      <c r="H1673">
        <v>0.18</v>
      </c>
      <c r="I1673" t="s">
        <v>1809</v>
      </c>
      <c r="J1673">
        <v>3094.2208000000001</v>
      </c>
    </row>
    <row r="1674" spans="1:10" x14ac:dyDescent="0.3">
      <c r="A1674" t="s">
        <v>3481</v>
      </c>
      <c r="B1674" s="1">
        <v>45561</v>
      </c>
      <c r="C1674" t="s">
        <v>687</v>
      </c>
      <c r="D1674" t="s">
        <v>1534</v>
      </c>
      <c r="E1674" t="s">
        <v>1780</v>
      </c>
      <c r="F1674">
        <v>1</v>
      </c>
      <c r="G1674">
        <v>830.42</v>
      </c>
      <c r="H1674">
        <v>0.26</v>
      </c>
      <c r="I1674" t="s">
        <v>1812</v>
      </c>
      <c r="J1674">
        <v>614.51080000000002</v>
      </c>
    </row>
    <row r="1675" spans="1:10" x14ac:dyDescent="0.3">
      <c r="A1675" t="s">
        <v>3482</v>
      </c>
      <c r="B1675" s="1">
        <v>45637</v>
      </c>
      <c r="C1675" t="s">
        <v>1095</v>
      </c>
      <c r="D1675" t="s">
        <v>1665</v>
      </c>
      <c r="E1675" t="s">
        <v>1790</v>
      </c>
      <c r="F1675">
        <v>1</v>
      </c>
      <c r="G1675">
        <v>762.55</v>
      </c>
      <c r="H1675">
        <v>0.19</v>
      </c>
      <c r="I1675" t="s">
        <v>1807</v>
      </c>
      <c r="J1675">
        <v>617.66549999999995</v>
      </c>
    </row>
    <row r="1676" spans="1:10" x14ac:dyDescent="0.3">
      <c r="A1676" t="s">
        <v>3483</v>
      </c>
      <c r="B1676" s="1">
        <v>45839</v>
      </c>
      <c r="C1676" t="s">
        <v>1066</v>
      </c>
      <c r="D1676" t="s">
        <v>1679</v>
      </c>
      <c r="E1676" t="s">
        <v>1793</v>
      </c>
      <c r="F1676">
        <v>2</v>
      </c>
      <c r="G1676">
        <v>464.43</v>
      </c>
      <c r="H1676">
        <v>0.24</v>
      </c>
      <c r="I1676" t="s">
        <v>1812</v>
      </c>
      <c r="J1676">
        <v>705.93360000000007</v>
      </c>
    </row>
    <row r="1677" spans="1:10" x14ac:dyDescent="0.3">
      <c r="A1677" t="s">
        <v>3484</v>
      </c>
      <c r="B1677" s="1">
        <v>45851</v>
      </c>
      <c r="C1677" t="s">
        <v>75</v>
      </c>
      <c r="D1677" t="s">
        <v>1659</v>
      </c>
      <c r="E1677" t="s">
        <v>1793</v>
      </c>
      <c r="F1677">
        <v>1</v>
      </c>
      <c r="G1677">
        <v>711.08</v>
      </c>
      <c r="H1677">
        <v>0.24</v>
      </c>
      <c r="I1677" t="s">
        <v>1809</v>
      </c>
      <c r="J1677">
        <v>540.42079999999999</v>
      </c>
    </row>
    <row r="1678" spans="1:10" x14ac:dyDescent="0.3">
      <c r="A1678" t="s">
        <v>3485</v>
      </c>
      <c r="B1678" s="1">
        <v>45656</v>
      </c>
      <c r="C1678" t="s">
        <v>797</v>
      </c>
      <c r="D1678" t="s">
        <v>1621</v>
      </c>
      <c r="E1678" t="s">
        <v>1782</v>
      </c>
      <c r="F1678">
        <v>2</v>
      </c>
      <c r="G1678">
        <v>984.96</v>
      </c>
      <c r="H1678">
        <v>0.16</v>
      </c>
      <c r="I1678" t="s">
        <v>1809</v>
      </c>
      <c r="J1678">
        <v>1654.7328</v>
      </c>
    </row>
    <row r="1679" spans="1:10" x14ac:dyDescent="0.3">
      <c r="A1679" t="s">
        <v>3486</v>
      </c>
      <c r="B1679" s="1">
        <v>45759</v>
      </c>
      <c r="C1679" t="s">
        <v>1066</v>
      </c>
      <c r="D1679" t="s">
        <v>1607</v>
      </c>
      <c r="E1679" t="s">
        <v>1777</v>
      </c>
      <c r="F1679">
        <v>1</v>
      </c>
      <c r="G1679">
        <v>21.14</v>
      </c>
      <c r="H1679">
        <v>0.06</v>
      </c>
      <c r="I1679" t="s">
        <v>1812</v>
      </c>
      <c r="J1679">
        <v>19.871600000000001</v>
      </c>
    </row>
    <row r="1680" spans="1:10" x14ac:dyDescent="0.3">
      <c r="A1680" t="s">
        <v>3487</v>
      </c>
      <c r="B1680" s="1">
        <v>45679</v>
      </c>
      <c r="C1680" t="s">
        <v>370</v>
      </c>
      <c r="D1680" t="s">
        <v>1727</v>
      </c>
      <c r="E1680" t="s">
        <v>1765</v>
      </c>
      <c r="F1680">
        <v>1</v>
      </c>
      <c r="G1680">
        <v>343.03</v>
      </c>
      <c r="H1680">
        <v>0.16</v>
      </c>
      <c r="I1680" t="s">
        <v>1807</v>
      </c>
      <c r="J1680">
        <v>288.14519999999999</v>
      </c>
    </row>
    <row r="1681" spans="1:10" x14ac:dyDescent="0.3">
      <c r="A1681" t="s">
        <v>3488</v>
      </c>
      <c r="B1681" s="1">
        <v>45237</v>
      </c>
      <c r="C1681" t="s">
        <v>785</v>
      </c>
      <c r="D1681" t="s">
        <v>1571</v>
      </c>
      <c r="E1681" t="s">
        <v>1793</v>
      </c>
      <c r="F1681">
        <v>3</v>
      </c>
      <c r="G1681">
        <v>94.83</v>
      </c>
      <c r="H1681">
        <v>0.16</v>
      </c>
      <c r="I1681" t="s">
        <v>1812</v>
      </c>
      <c r="J1681">
        <v>238.9716</v>
      </c>
    </row>
    <row r="1682" spans="1:10" x14ac:dyDescent="0.3">
      <c r="A1682" t="s">
        <v>3489</v>
      </c>
      <c r="B1682" s="1">
        <v>45790</v>
      </c>
      <c r="C1682" t="s">
        <v>82</v>
      </c>
      <c r="D1682" t="s">
        <v>1669</v>
      </c>
      <c r="E1682" t="s">
        <v>1796</v>
      </c>
      <c r="F1682">
        <v>3</v>
      </c>
      <c r="G1682">
        <v>74.66</v>
      </c>
      <c r="H1682">
        <v>0.03</v>
      </c>
      <c r="I1682" t="s">
        <v>1809</v>
      </c>
      <c r="J1682">
        <v>217.26060000000001</v>
      </c>
    </row>
    <row r="1683" spans="1:10" x14ac:dyDescent="0.3">
      <c r="A1683" t="s">
        <v>3490</v>
      </c>
      <c r="B1683" s="1">
        <v>45268</v>
      </c>
      <c r="C1683" t="s">
        <v>459</v>
      </c>
      <c r="D1683" t="s">
        <v>1605</v>
      </c>
      <c r="E1683" t="s">
        <v>1784</v>
      </c>
      <c r="F1683">
        <v>3</v>
      </c>
      <c r="G1683">
        <v>281.95999999999998</v>
      </c>
      <c r="H1683">
        <v>0.01</v>
      </c>
      <c r="I1683" t="s">
        <v>1812</v>
      </c>
      <c r="J1683">
        <v>837.42119999999989</v>
      </c>
    </row>
    <row r="1684" spans="1:10" x14ac:dyDescent="0.3">
      <c r="A1684" t="s">
        <v>3491</v>
      </c>
      <c r="B1684" s="1">
        <v>45664</v>
      </c>
      <c r="C1684" t="s">
        <v>752</v>
      </c>
      <c r="D1684" t="s">
        <v>1673</v>
      </c>
      <c r="E1684" t="s">
        <v>1793</v>
      </c>
      <c r="F1684">
        <v>4</v>
      </c>
      <c r="G1684">
        <v>622.27</v>
      </c>
      <c r="H1684">
        <v>0.02</v>
      </c>
      <c r="I1684" t="s">
        <v>1809</v>
      </c>
      <c r="J1684">
        <v>2439.2984000000001</v>
      </c>
    </row>
    <row r="1685" spans="1:10" x14ac:dyDescent="0.3">
      <c r="A1685" t="s">
        <v>3492</v>
      </c>
      <c r="B1685" s="1">
        <v>45475</v>
      </c>
      <c r="C1685" t="s">
        <v>358</v>
      </c>
      <c r="D1685" t="s">
        <v>1605</v>
      </c>
      <c r="E1685" t="s">
        <v>1762</v>
      </c>
      <c r="F1685">
        <v>2</v>
      </c>
      <c r="G1685">
        <v>78.27</v>
      </c>
      <c r="H1685">
        <v>0.28999999999999998</v>
      </c>
      <c r="I1685" t="s">
        <v>1812</v>
      </c>
      <c r="J1685">
        <v>111.1434</v>
      </c>
    </row>
    <row r="1686" spans="1:10" x14ac:dyDescent="0.3">
      <c r="A1686" t="s">
        <v>3493</v>
      </c>
      <c r="B1686" s="1">
        <v>45845</v>
      </c>
      <c r="C1686" t="s">
        <v>59</v>
      </c>
      <c r="D1686" t="s">
        <v>1655</v>
      </c>
      <c r="E1686" t="s">
        <v>1780</v>
      </c>
      <c r="F1686">
        <v>4</v>
      </c>
      <c r="G1686">
        <v>676.58</v>
      </c>
      <c r="H1686">
        <v>0.23</v>
      </c>
      <c r="I1686" t="s">
        <v>1812</v>
      </c>
      <c r="J1686">
        <v>2083.8663999999999</v>
      </c>
    </row>
    <row r="1687" spans="1:10" x14ac:dyDescent="0.3">
      <c r="A1687" t="s">
        <v>3494</v>
      </c>
      <c r="B1687" s="1">
        <v>45446</v>
      </c>
      <c r="C1687" t="s">
        <v>1478</v>
      </c>
      <c r="D1687" t="s">
        <v>1593</v>
      </c>
      <c r="E1687" t="s">
        <v>1740</v>
      </c>
      <c r="F1687">
        <v>2</v>
      </c>
      <c r="G1687">
        <v>938.6</v>
      </c>
      <c r="H1687">
        <v>0.04</v>
      </c>
      <c r="I1687" t="s">
        <v>1809</v>
      </c>
      <c r="J1687">
        <v>1802.1120000000001</v>
      </c>
    </row>
    <row r="1688" spans="1:10" x14ac:dyDescent="0.3">
      <c r="A1688" t="s">
        <v>3495</v>
      </c>
      <c r="B1688" s="1">
        <v>45761</v>
      </c>
      <c r="C1688" t="s">
        <v>1100</v>
      </c>
      <c r="D1688" t="s">
        <v>1557</v>
      </c>
      <c r="E1688" t="s">
        <v>1782</v>
      </c>
      <c r="F1688">
        <v>2</v>
      </c>
      <c r="G1688">
        <v>859.47</v>
      </c>
      <c r="H1688">
        <v>0.01</v>
      </c>
      <c r="I1688" t="s">
        <v>1807</v>
      </c>
      <c r="J1688">
        <v>1701.7506000000001</v>
      </c>
    </row>
    <row r="1689" spans="1:10" x14ac:dyDescent="0.3">
      <c r="A1689" t="s">
        <v>3496</v>
      </c>
      <c r="B1689" s="1">
        <v>45363</v>
      </c>
      <c r="C1689" t="s">
        <v>211</v>
      </c>
      <c r="D1689" t="s">
        <v>1585</v>
      </c>
      <c r="E1689" t="s">
        <v>1782</v>
      </c>
      <c r="F1689">
        <v>3</v>
      </c>
      <c r="G1689">
        <v>672.98</v>
      </c>
      <c r="H1689">
        <v>0.23</v>
      </c>
      <c r="I1689" t="s">
        <v>1809</v>
      </c>
      <c r="J1689">
        <v>1554.5838000000001</v>
      </c>
    </row>
    <row r="1690" spans="1:10" x14ac:dyDescent="0.3">
      <c r="A1690" t="s">
        <v>3497</v>
      </c>
      <c r="B1690" s="1">
        <v>45420</v>
      </c>
      <c r="C1690" t="s">
        <v>666</v>
      </c>
      <c r="D1690" t="s">
        <v>1643</v>
      </c>
      <c r="E1690" t="s">
        <v>1793</v>
      </c>
      <c r="F1690">
        <v>1</v>
      </c>
      <c r="G1690">
        <v>75.8</v>
      </c>
      <c r="H1690">
        <v>0.28999999999999998</v>
      </c>
      <c r="I1690" t="s">
        <v>1809</v>
      </c>
      <c r="J1690">
        <v>53.817999999999998</v>
      </c>
    </row>
    <row r="1691" spans="1:10" x14ac:dyDescent="0.3">
      <c r="A1691" t="s">
        <v>3498</v>
      </c>
      <c r="B1691" s="1">
        <v>45536</v>
      </c>
      <c r="C1691" t="s">
        <v>136</v>
      </c>
      <c r="D1691" t="s">
        <v>1565</v>
      </c>
      <c r="E1691" t="s">
        <v>1784</v>
      </c>
      <c r="F1691">
        <v>4</v>
      </c>
      <c r="G1691">
        <v>742.15</v>
      </c>
      <c r="H1691">
        <v>0.1</v>
      </c>
      <c r="I1691" t="s">
        <v>1812</v>
      </c>
      <c r="J1691">
        <v>2671.74</v>
      </c>
    </row>
    <row r="1692" spans="1:10" x14ac:dyDescent="0.3">
      <c r="A1692" t="s">
        <v>3499</v>
      </c>
      <c r="B1692" s="1">
        <v>45445</v>
      </c>
      <c r="C1692" t="s">
        <v>261</v>
      </c>
      <c r="D1692" t="s">
        <v>1591</v>
      </c>
      <c r="E1692" t="s">
        <v>1762</v>
      </c>
      <c r="F1692">
        <v>1</v>
      </c>
      <c r="G1692">
        <v>637.39</v>
      </c>
      <c r="H1692">
        <v>0.22</v>
      </c>
      <c r="I1692" t="s">
        <v>1809</v>
      </c>
      <c r="J1692">
        <v>497.16419999999999</v>
      </c>
    </row>
    <row r="1693" spans="1:10" x14ac:dyDescent="0.3">
      <c r="A1693" t="s">
        <v>3500</v>
      </c>
      <c r="B1693" s="1">
        <v>45230</v>
      </c>
      <c r="C1693" t="s">
        <v>1207</v>
      </c>
      <c r="D1693" t="s">
        <v>1540</v>
      </c>
      <c r="E1693" t="s">
        <v>1790</v>
      </c>
      <c r="F1693">
        <v>1</v>
      </c>
      <c r="G1693">
        <v>631</v>
      </c>
      <c r="H1693">
        <v>0.04</v>
      </c>
      <c r="I1693" t="s">
        <v>1807</v>
      </c>
      <c r="J1693">
        <v>605.76</v>
      </c>
    </row>
    <row r="1694" spans="1:10" x14ac:dyDescent="0.3">
      <c r="A1694" t="s">
        <v>3501</v>
      </c>
      <c r="B1694" s="1">
        <v>45916</v>
      </c>
      <c r="C1694" t="s">
        <v>1213</v>
      </c>
      <c r="D1694" t="s">
        <v>1691</v>
      </c>
      <c r="E1694" t="s">
        <v>1749</v>
      </c>
      <c r="F1694">
        <v>4</v>
      </c>
      <c r="G1694">
        <v>983.98</v>
      </c>
      <c r="H1694">
        <v>0.11</v>
      </c>
      <c r="I1694" t="s">
        <v>1812</v>
      </c>
      <c r="J1694">
        <v>3502.9688000000001</v>
      </c>
    </row>
    <row r="1695" spans="1:10" x14ac:dyDescent="0.3">
      <c r="A1695" t="s">
        <v>3502</v>
      </c>
      <c r="B1695" s="1">
        <v>45353</v>
      </c>
      <c r="C1695" t="s">
        <v>202</v>
      </c>
      <c r="D1695" t="s">
        <v>1641</v>
      </c>
      <c r="E1695" t="s">
        <v>1775</v>
      </c>
      <c r="F1695">
        <v>4</v>
      </c>
      <c r="G1695">
        <v>73.69</v>
      </c>
      <c r="H1695">
        <v>0.08</v>
      </c>
      <c r="I1695" t="s">
        <v>1807</v>
      </c>
      <c r="J1695">
        <v>271.17919999999998</v>
      </c>
    </row>
    <row r="1696" spans="1:10" x14ac:dyDescent="0.3">
      <c r="A1696" t="s">
        <v>3503</v>
      </c>
      <c r="B1696" s="1">
        <v>45490</v>
      </c>
      <c r="C1696" t="s">
        <v>1327</v>
      </c>
      <c r="D1696" t="s">
        <v>1553</v>
      </c>
      <c r="E1696" t="s">
        <v>1762</v>
      </c>
      <c r="F1696">
        <v>3</v>
      </c>
      <c r="G1696">
        <v>110.99</v>
      </c>
      <c r="H1696">
        <v>0.21</v>
      </c>
      <c r="I1696" t="s">
        <v>1807</v>
      </c>
      <c r="J1696">
        <v>263.04629999999997</v>
      </c>
    </row>
    <row r="1697" spans="1:10" x14ac:dyDescent="0.3">
      <c r="A1697" t="s">
        <v>3504</v>
      </c>
      <c r="B1697" s="1">
        <v>45850</v>
      </c>
      <c r="C1697" t="s">
        <v>298</v>
      </c>
      <c r="D1697" t="s">
        <v>1551</v>
      </c>
      <c r="E1697" t="s">
        <v>1762</v>
      </c>
      <c r="F1697">
        <v>1</v>
      </c>
      <c r="G1697">
        <v>66.86</v>
      </c>
      <c r="H1697">
        <v>0.22</v>
      </c>
      <c r="I1697" t="s">
        <v>1812</v>
      </c>
      <c r="J1697">
        <v>52.150799999999997</v>
      </c>
    </row>
    <row r="1698" spans="1:10" x14ac:dyDescent="0.3">
      <c r="A1698" t="s">
        <v>3505</v>
      </c>
      <c r="B1698" s="1">
        <v>45515</v>
      </c>
      <c r="C1698" t="s">
        <v>1281</v>
      </c>
      <c r="D1698" t="s">
        <v>1665</v>
      </c>
      <c r="E1698" t="s">
        <v>1793</v>
      </c>
      <c r="F1698">
        <v>1</v>
      </c>
      <c r="G1698">
        <v>980.26</v>
      </c>
      <c r="H1698">
        <v>0.14000000000000001</v>
      </c>
      <c r="I1698" t="s">
        <v>1809</v>
      </c>
      <c r="J1698">
        <v>843.02359999999999</v>
      </c>
    </row>
    <row r="1699" spans="1:10" x14ac:dyDescent="0.3">
      <c r="A1699" t="s">
        <v>3506</v>
      </c>
      <c r="B1699" s="1">
        <v>45322</v>
      </c>
      <c r="C1699" t="s">
        <v>146</v>
      </c>
      <c r="D1699" t="s">
        <v>1567</v>
      </c>
      <c r="E1699" t="s">
        <v>1793</v>
      </c>
      <c r="F1699">
        <v>1</v>
      </c>
      <c r="G1699">
        <v>235.28</v>
      </c>
      <c r="H1699">
        <v>0.05</v>
      </c>
      <c r="I1699" t="s">
        <v>1809</v>
      </c>
      <c r="J1699">
        <v>223.51599999999999</v>
      </c>
    </row>
    <row r="1700" spans="1:10" x14ac:dyDescent="0.3">
      <c r="A1700" t="s">
        <v>3507</v>
      </c>
      <c r="B1700" s="1">
        <v>45542</v>
      </c>
      <c r="C1700" t="s">
        <v>1278</v>
      </c>
      <c r="D1700" t="s">
        <v>1526</v>
      </c>
      <c r="E1700" t="s">
        <v>1784</v>
      </c>
      <c r="F1700">
        <v>3</v>
      </c>
      <c r="G1700">
        <v>407.39</v>
      </c>
      <c r="H1700">
        <v>0.08</v>
      </c>
      <c r="I1700" t="s">
        <v>1809</v>
      </c>
      <c r="J1700">
        <v>1124.3964000000001</v>
      </c>
    </row>
    <row r="1701" spans="1:10" x14ac:dyDescent="0.3">
      <c r="A1701" t="s">
        <v>3508</v>
      </c>
      <c r="B1701" s="1">
        <v>45675</v>
      </c>
      <c r="C1701" t="s">
        <v>248</v>
      </c>
      <c r="D1701" t="s">
        <v>1585</v>
      </c>
      <c r="E1701" t="s">
        <v>1782</v>
      </c>
      <c r="F1701">
        <v>4</v>
      </c>
      <c r="G1701">
        <v>459.83</v>
      </c>
      <c r="H1701">
        <v>0.12</v>
      </c>
      <c r="I1701" t="s">
        <v>1812</v>
      </c>
      <c r="J1701">
        <v>1618.6016</v>
      </c>
    </row>
    <row r="1702" spans="1:10" x14ac:dyDescent="0.3">
      <c r="A1702" t="s">
        <v>3509</v>
      </c>
      <c r="B1702" s="1">
        <v>45333</v>
      </c>
      <c r="C1702" t="s">
        <v>491</v>
      </c>
      <c r="D1702" t="s">
        <v>1717</v>
      </c>
      <c r="E1702" t="s">
        <v>1752</v>
      </c>
      <c r="F1702">
        <v>3</v>
      </c>
      <c r="G1702">
        <v>706.6</v>
      </c>
      <c r="H1702">
        <v>0.17</v>
      </c>
      <c r="I1702" t="s">
        <v>1809</v>
      </c>
      <c r="J1702">
        <v>1759.434</v>
      </c>
    </row>
    <row r="1703" spans="1:10" x14ac:dyDescent="0.3">
      <c r="A1703" t="s">
        <v>3510</v>
      </c>
      <c r="B1703" s="1">
        <v>45819</v>
      </c>
      <c r="C1703" t="s">
        <v>1409</v>
      </c>
      <c r="D1703" t="s">
        <v>1713</v>
      </c>
      <c r="E1703" t="s">
        <v>1796</v>
      </c>
      <c r="F1703">
        <v>3</v>
      </c>
      <c r="G1703">
        <v>811.16</v>
      </c>
      <c r="H1703">
        <v>0.1</v>
      </c>
      <c r="I1703" t="s">
        <v>1812</v>
      </c>
      <c r="J1703">
        <v>2190.1320000000001</v>
      </c>
    </row>
    <row r="1704" spans="1:10" x14ac:dyDescent="0.3">
      <c r="A1704" t="s">
        <v>3511</v>
      </c>
      <c r="B1704" s="1">
        <v>45268</v>
      </c>
      <c r="C1704" t="s">
        <v>699</v>
      </c>
      <c r="D1704" t="s">
        <v>1605</v>
      </c>
      <c r="E1704" t="s">
        <v>1762</v>
      </c>
      <c r="F1704">
        <v>2</v>
      </c>
      <c r="G1704">
        <v>985.79</v>
      </c>
      <c r="H1704">
        <v>0.04</v>
      </c>
      <c r="I1704" t="s">
        <v>1809</v>
      </c>
      <c r="J1704">
        <v>1892.7167999999999</v>
      </c>
    </row>
    <row r="1705" spans="1:10" x14ac:dyDescent="0.3">
      <c r="A1705" t="s">
        <v>3512</v>
      </c>
      <c r="B1705" s="1">
        <v>45521</v>
      </c>
      <c r="C1705" t="s">
        <v>610</v>
      </c>
      <c r="D1705" t="s">
        <v>1597</v>
      </c>
      <c r="E1705" t="s">
        <v>1782</v>
      </c>
      <c r="F1705">
        <v>1</v>
      </c>
      <c r="G1705">
        <v>255.02</v>
      </c>
      <c r="H1705">
        <v>0.3</v>
      </c>
      <c r="I1705" t="s">
        <v>1807</v>
      </c>
      <c r="J1705">
        <v>178.51400000000001</v>
      </c>
    </row>
    <row r="1706" spans="1:10" x14ac:dyDescent="0.3">
      <c r="A1706" t="s">
        <v>3513</v>
      </c>
      <c r="B1706" s="1">
        <v>45693</v>
      </c>
      <c r="C1706" t="s">
        <v>336</v>
      </c>
      <c r="D1706" t="s">
        <v>1569</v>
      </c>
      <c r="E1706" t="s">
        <v>1765</v>
      </c>
      <c r="F1706">
        <v>1</v>
      </c>
      <c r="G1706">
        <v>153.57</v>
      </c>
      <c r="H1706">
        <v>0.01</v>
      </c>
      <c r="I1706" t="s">
        <v>1809</v>
      </c>
      <c r="J1706">
        <v>152.0343</v>
      </c>
    </row>
    <row r="1707" spans="1:10" x14ac:dyDescent="0.3">
      <c r="A1707" t="s">
        <v>3514</v>
      </c>
      <c r="B1707" s="1">
        <v>45734</v>
      </c>
      <c r="C1707" t="s">
        <v>803</v>
      </c>
      <c r="D1707" t="s">
        <v>1617</v>
      </c>
      <c r="E1707" t="s">
        <v>1793</v>
      </c>
      <c r="F1707">
        <v>3</v>
      </c>
      <c r="G1707">
        <v>962.98</v>
      </c>
      <c r="H1707">
        <v>0.21</v>
      </c>
      <c r="I1707" t="s">
        <v>1807</v>
      </c>
      <c r="J1707">
        <v>2282.2626</v>
      </c>
    </row>
    <row r="1708" spans="1:10" x14ac:dyDescent="0.3">
      <c r="A1708" t="s">
        <v>3515</v>
      </c>
      <c r="B1708" s="1">
        <v>45377</v>
      </c>
      <c r="C1708" t="s">
        <v>211</v>
      </c>
      <c r="D1708" t="s">
        <v>1619</v>
      </c>
      <c r="E1708" t="s">
        <v>1765</v>
      </c>
      <c r="F1708">
        <v>3</v>
      </c>
      <c r="G1708">
        <v>884.46</v>
      </c>
      <c r="H1708">
        <v>0.25</v>
      </c>
      <c r="I1708" t="s">
        <v>1807</v>
      </c>
      <c r="J1708">
        <v>1990.0350000000001</v>
      </c>
    </row>
    <row r="1709" spans="1:10" x14ac:dyDescent="0.3">
      <c r="A1709" t="s">
        <v>3516</v>
      </c>
      <c r="B1709" s="1">
        <v>45778</v>
      </c>
      <c r="C1709" t="s">
        <v>1339</v>
      </c>
      <c r="D1709" t="s">
        <v>1665</v>
      </c>
      <c r="E1709" t="s">
        <v>1772</v>
      </c>
      <c r="F1709">
        <v>4</v>
      </c>
      <c r="G1709">
        <v>359.71</v>
      </c>
      <c r="H1709">
        <v>0.05</v>
      </c>
      <c r="I1709" t="s">
        <v>1809</v>
      </c>
      <c r="J1709">
        <v>1366.8979999999999</v>
      </c>
    </row>
    <row r="1710" spans="1:10" x14ac:dyDescent="0.3">
      <c r="A1710" t="s">
        <v>3517</v>
      </c>
      <c r="B1710" s="1">
        <v>45715</v>
      </c>
      <c r="C1710" t="s">
        <v>192</v>
      </c>
      <c r="D1710" t="s">
        <v>1631</v>
      </c>
      <c r="E1710" t="s">
        <v>1752</v>
      </c>
      <c r="F1710">
        <v>3</v>
      </c>
      <c r="G1710">
        <v>766.47</v>
      </c>
      <c r="H1710">
        <v>0.18</v>
      </c>
      <c r="I1710" t="s">
        <v>1807</v>
      </c>
      <c r="J1710">
        <v>1885.5162</v>
      </c>
    </row>
    <row r="1711" spans="1:10" x14ac:dyDescent="0.3">
      <c r="A1711" t="s">
        <v>3518</v>
      </c>
      <c r="B1711" s="1">
        <v>45492</v>
      </c>
      <c r="C1711" t="s">
        <v>716</v>
      </c>
      <c r="D1711" t="s">
        <v>1643</v>
      </c>
      <c r="E1711" t="s">
        <v>1793</v>
      </c>
      <c r="F1711">
        <v>1</v>
      </c>
      <c r="G1711">
        <v>772.07</v>
      </c>
      <c r="H1711">
        <v>0.26</v>
      </c>
      <c r="I1711" t="s">
        <v>1809</v>
      </c>
      <c r="J1711">
        <v>571.33180000000004</v>
      </c>
    </row>
    <row r="1712" spans="1:10" x14ac:dyDescent="0.3">
      <c r="A1712" t="s">
        <v>3519</v>
      </c>
      <c r="B1712" s="1">
        <v>45292</v>
      </c>
      <c r="C1712" t="s">
        <v>873</v>
      </c>
      <c r="D1712" t="s">
        <v>1569</v>
      </c>
      <c r="E1712" t="s">
        <v>1756</v>
      </c>
      <c r="F1712">
        <v>3</v>
      </c>
      <c r="G1712">
        <v>108.31</v>
      </c>
      <c r="H1712">
        <v>0.26</v>
      </c>
      <c r="I1712" t="s">
        <v>1812</v>
      </c>
      <c r="J1712">
        <v>240.44820000000001</v>
      </c>
    </row>
    <row r="1713" spans="1:10" x14ac:dyDescent="0.3">
      <c r="A1713" t="s">
        <v>3520</v>
      </c>
      <c r="B1713" s="1">
        <v>45316</v>
      </c>
      <c r="C1713" t="s">
        <v>702</v>
      </c>
      <c r="D1713" t="s">
        <v>1689</v>
      </c>
      <c r="E1713" t="s">
        <v>1759</v>
      </c>
      <c r="F1713">
        <v>1</v>
      </c>
      <c r="G1713">
        <v>502.53</v>
      </c>
      <c r="H1713">
        <v>0</v>
      </c>
      <c r="I1713" t="s">
        <v>1809</v>
      </c>
      <c r="J1713">
        <v>502.53</v>
      </c>
    </row>
    <row r="1714" spans="1:10" x14ac:dyDescent="0.3">
      <c r="A1714" t="s">
        <v>3521</v>
      </c>
      <c r="B1714" s="1">
        <v>45548</v>
      </c>
      <c r="C1714" t="s">
        <v>275</v>
      </c>
      <c r="D1714" t="s">
        <v>1529</v>
      </c>
      <c r="E1714" t="s">
        <v>1787</v>
      </c>
      <c r="F1714">
        <v>2</v>
      </c>
      <c r="G1714">
        <v>508.52</v>
      </c>
      <c r="H1714">
        <v>0.11</v>
      </c>
      <c r="I1714" t="s">
        <v>1812</v>
      </c>
      <c r="J1714">
        <v>905.16559999999993</v>
      </c>
    </row>
    <row r="1715" spans="1:10" x14ac:dyDescent="0.3">
      <c r="A1715" t="s">
        <v>3522</v>
      </c>
      <c r="B1715" s="1">
        <v>45572</v>
      </c>
      <c r="C1715" t="s">
        <v>1427</v>
      </c>
      <c r="D1715" t="s">
        <v>1679</v>
      </c>
      <c r="E1715" t="s">
        <v>1749</v>
      </c>
      <c r="F1715">
        <v>1</v>
      </c>
      <c r="G1715">
        <v>492</v>
      </c>
      <c r="H1715">
        <v>0.26</v>
      </c>
      <c r="I1715" t="s">
        <v>1809</v>
      </c>
      <c r="J1715">
        <v>364.08</v>
      </c>
    </row>
    <row r="1716" spans="1:10" x14ac:dyDescent="0.3">
      <c r="A1716" t="s">
        <v>3523</v>
      </c>
      <c r="B1716" s="1">
        <v>45347</v>
      </c>
      <c r="C1716" t="s">
        <v>1475</v>
      </c>
      <c r="D1716" t="s">
        <v>1605</v>
      </c>
      <c r="E1716" t="s">
        <v>1782</v>
      </c>
      <c r="F1716">
        <v>4</v>
      </c>
      <c r="G1716">
        <v>746.36</v>
      </c>
      <c r="H1716">
        <v>0.02</v>
      </c>
      <c r="I1716" t="s">
        <v>1807</v>
      </c>
      <c r="J1716">
        <v>2925.7312000000002</v>
      </c>
    </row>
    <row r="1717" spans="1:10" x14ac:dyDescent="0.3">
      <c r="A1717" t="s">
        <v>3524</v>
      </c>
      <c r="B1717" s="1">
        <v>45823</v>
      </c>
      <c r="C1717" t="s">
        <v>1327</v>
      </c>
      <c r="D1717" t="s">
        <v>1555</v>
      </c>
      <c r="E1717" t="s">
        <v>1740</v>
      </c>
      <c r="F1717">
        <v>1</v>
      </c>
      <c r="G1717">
        <v>120.83</v>
      </c>
      <c r="H1717">
        <v>0.08</v>
      </c>
      <c r="I1717" t="s">
        <v>1807</v>
      </c>
      <c r="J1717">
        <v>111.1636</v>
      </c>
    </row>
    <row r="1718" spans="1:10" x14ac:dyDescent="0.3">
      <c r="A1718" t="s">
        <v>3525</v>
      </c>
      <c r="B1718" s="1">
        <v>45394</v>
      </c>
      <c r="C1718" t="s">
        <v>1229</v>
      </c>
      <c r="D1718" t="s">
        <v>1685</v>
      </c>
      <c r="E1718" t="s">
        <v>1793</v>
      </c>
      <c r="F1718">
        <v>2</v>
      </c>
      <c r="G1718">
        <v>68.31</v>
      </c>
      <c r="H1718">
        <v>0.28999999999999998</v>
      </c>
      <c r="I1718" t="s">
        <v>1812</v>
      </c>
      <c r="J1718">
        <v>97.000199999999992</v>
      </c>
    </row>
    <row r="1719" spans="1:10" x14ac:dyDescent="0.3">
      <c r="A1719" t="s">
        <v>3526</v>
      </c>
      <c r="B1719" s="1">
        <v>45265</v>
      </c>
      <c r="C1719" t="s">
        <v>227</v>
      </c>
      <c r="D1719" t="s">
        <v>1575</v>
      </c>
      <c r="E1719" t="s">
        <v>1793</v>
      </c>
      <c r="F1719">
        <v>2</v>
      </c>
      <c r="G1719">
        <v>761.71</v>
      </c>
      <c r="H1719">
        <v>0.02</v>
      </c>
      <c r="I1719" t="s">
        <v>1809</v>
      </c>
      <c r="J1719">
        <v>1492.9516000000001</v>
      </c>
    </row>
    <row r="1720" spans="1:10" x14ac:dyDescent="0.3">
      <c r="A1720" t="s">
        <v>3527</v>
      </c>
      <c r="B1720" s="1">
        <v>45261</v>
      </c>
      <c r="C1720" t="s">
        <v>241</v>
      </c>
      <c r="D1720" t="s">
        <v>1687</v>
      </c>
      <c r="E1720" t="s">
        <v>1749</v>
      </c>
      <c r="F1720">
        <v>4</v>
      </c>
      <c r="G1720">
        <v>346.37</v>
      </c>
      <c r="H1720">
        <v>0.18</v>
      </c>
      <c r="I1720" t="s">
        <v>1812</v>
      </c>
      <c r="J1720">
        <v>1136.0935999999999</v>
      </c>
    </row>
    <row r="1721" spans="1:10" x14ac:dyDescent="0.3">
      <c r="A1721" t="s">
        <v>3528</v>
      </c>
      <c r="B1721" s="1">
        <v>45702</v>
      </c>
      <c r="C1721" t="s">
        <v>40</v>
      </c>
      <c r="D1721" t="s">
        <v>1641</v>
      </c>
      <c r="E1721" t="s">
        <v>1777</v>
      </c>
      <c r="F1721">
        <v>1</v>
      </c>
      <c r="G1721">
        <v>846.3</v>
      </c>
      <c r="H1721">
        <v>0.14000000000000001</v>
      </c>
      <c r="I1721" t="s">
        <v>1809</v>
      </c>
      <c r="J1721">
        <v>727.81799999999998</v>
      </c>
    </row>
    <row r="1722" spans="1:10" x14ac:dyDescent="0.3">
      <c r="A1722" t="s">
        <v>3529</v>
      </c>
      <c r="B1722" s="1">
        <v>45624</v>
      </c>
      <c r="C1722" t="s">
        <v>1324</v>
      </c>
      <c r="D1722" t="s">
        <v>1526</v>
      </c>
      <c r="E1722" t="s">
        <v>1796</v>
      </c>
      <c r="F1722">
        <v>1</v>
      </c>
      <c r="G1722">
        <v>458.97</v>
      </c>
      <c r="H1722">
        <v>0.1</v>
      </c>
      <c r="I1722" t="s">
        <v>1809</v>
      </c>
      <c r="J1722">
        <v>413.07299999999998</v>
      </c>
    </row>
    <row r="1723" spans="1:10" x14ac:dyDescent="0.3">
      <c r="A1723" t="s">
        <v>3530</v>
      </c>
      <c r="B1723" s="1">
        <v>45736</v>
      </c>
      <c r="C1723" t="s">
        <v>909</v>
      </c>
      <c r="D1723" t="s">
        <v>1617</v>
      </c>
      <c r="E1723" t="s">
        <v>1762</v>
      </c>
      <c r="F1723">
        <v>2</v>
      </c>
      <c r="G1723">
        <v>536.61</v>
      </c>
      <c r="H1723">
        <v>0.14000000000000001</v>
      </c>
      <c r="I1723" t="s">
        <v>1807</v>
      </c>
      <c r="J1723">
        <v>922.9692</v>
      </c>
    </row>
    <row r="1724" spans="1:10" x14ac:dyDescent="0.3">
      <c r="A1724" t="s">
        <v>3531</v>
      </c>
      <c r="B1724" s="1">
        <v>45709</v>
      </c>
      <c r="C1724" t="s">
        <v>1290</v>
      </c>
      <c r="D1724" t="s">
        <v>1647</v>
      </c>
      <c r="E1724" t="s">
        <v>1735</v>
      </c>
      <c r="F1724">
        <v>3</v>
      </c>
      <c r="G1724">
        <v>130.41</v>
      </c>
      <c r="H1724">
        <v>0.14000000000000001</v>
      </c>
      <c r="I1724" t="s">
        <v>1809</v>
      </c>
      <c r="J1724">
        <v>336.45780000000002</v>
      </c>
    </row>
    <row r="1725" spans="1:10" x14ac:dyDescent="0.3">
      <c r="A1725" t="s">
        <v>3532</v>
      </c>
      <c r="B1725" s="1">
        <v>45738</v>
      </c>
      <c r="C1725" t="s">
        <v>1507</v>
      </c>
      <c r="D1725" t="s">
        <v>1709</v>
      </c>
      <c r="E1725" t="s">
        <v>1777</v>
      </c>
      <c r="F1725">
        <v>4</v>
      </c>
      <c r="G1725">
        <v>706.67</v>
      </c>
      <c r="H1725">
        <v>0.01</v>
      </c>
      <c r="I1725" t="s">
        <v>1807</v>
      </c>
      <c r="J1725">
        <v>2798.4132</v>
      </c>
    </row>
    <row r="1726" spans="1:10" x14ac:dyDescent="0.3">
      <c r="A1726" t="s">
        <v>3533</v>
      </c>
      <c r="B1726" s="1">
        <v>45685</v>
      </c>
      <c r="C1726" t="s">
        <v>1210</v>
      </c>
      <c r="D1726" t="s">
        <v>1585</v>
      </c>
      <c r="E1726" t="s">
        <v>1749</v>
      </c>
      <c r="F1726">
        <v>3</v>
      </c>
      <c r="G1726">
        <v>523.45000000000005</v>
      </c>
      <c r="H1726">
        <v>0.17</v>
      </c>
      <c r="I1726" t="s">
        <v>1807</v>
      </c>
      <c r="J1726">
        <v>1303.3905</v>
      </c>
    </row>
    <row r="1727" spans="1:10" x14ac:dyDescent="0.3">
      <c r="A1727" t="s">
        <v>3534</v>
      </c>
      <c r="B1727" s="1">
        <v>45701</v>
      </c>
      <c r="C1727" t="s">
        <v>48</v>
      </c>
      <c r="D1727" t="s">
        <v>1713</v>
      </c>
      <c r="E1727" t="s">
        <v>1793</v>
      </c>
      <c r="F1727">
        <v>3</v>
      </c>
      <c r="G1727">
        <v>482.2</v>
      </c>
      <c r="H1727">
        <v>0.23</v>
      </c>
      <c r="I1727" t="s">
        <v>1812</v>
      </c>
      <c r="J1727">
        <v>1113.8820000000001</v>
      </c>
    </row>
    <row r="1728" spans="1:10" x14ac:dyDescent="0.3">
      <c r="A1728" t="s">
        <v>3535</v>
      </c>
      <c r="B1728" s="1">
        <v>45745</v>
      </c>
      <c r="C1728" t="s">
        <v>423</v>
      </c>
      <c r="D1728" t="s">
        <v>1657</v>
      </c>
      <c r="E1728" t="s">
        <v>1756</v>
      </c>
      <c r="F1728">
        <v>4</v>
      </c>
      <c r="G1728">
        <v>688.86</v>
      </c>
      <c r="H1728">
        <v>0.02</v>
      </c>
      <c r="I1728" t="s">
        <v>1812</v>
      </c>
      <c r="J1728">
        <v>2700.3312000000001</v>
      </c>
    </row>
    <row r="1729" spans="1:10" x14ac:dyDescent="0.3">
      <c r="A1729" t="s">
        <v>3536</v>
      </c>
      <c r="B1729" s="1">
        <v>45214</v>
      </c>
      <c r="C1729" t="s">
        <v>100</v>
      </c>
      <c r="D1729" t="s">
        <v>1555</v>
      </c>
      <c r="E1729" t="s">
        <v>1735</v>
      </c>
      <c r="F1729">
        <v>1</v>
      </c>
      <c r="G1729">
        <v>145.47999999999999</v>
      </c>
      <c r="H1729">
        <v>0.1</v>
      </c>
      <c r="I1729" t="s">
        <v>1812</v>
      </c>
      <c r="J1729">
        <v>130.93199999999999</v>
      </c>
    </row>
    <row r="1730" spans="1:10" x14ac:dyDescent="0.3">
      <c r="A1730" t="s">
        <v>3537</v>
      </c>
      <c r="B1730" s="1">
        <v>45547</v>
      </c>
      <c r="C1730" t="s">
        <v>195</v>
      </c>
      <c r="D1730" t="s">
        <v>1593</v>
      </c>
      <c r="E1730" t="s">
        <v>1775</v>
      </c>
      <c r="F1730">
        <v>4</v>
      </c>
      <c r="G1730">
        <v>862.25</v>
      </c>
      <c r="H1730">
        <v>0.28000000000000003</v>
      </c>
      <c r="I1730" t="s">
        <v>1809</v>
      </c>
      <c r="J1730">
        <v>2483.2800000000002</v>
      </c>
    </row>
    <row r="1731" spans="1:10" x14ac:dyDescent="0.3">
      <c r="A1731" t="s">
        <v>3538</v>
      </c>
      <c r="B1731" s="1">
        <v>45296</v>
      </c>
      <c r="C1731" t="s">
        <v>917</v>
      </c>
      <c r="D1731" t="s">
        <v>1529</v>
      </c>
      <c r="E1731" t="s">
        <v>1782</v>
      </c>
      <c r="F1731">
        <v>4</v>
      </c>
      <c r="G1731">
        <v>146.12</v>
      </c>
      <c r="H1731">
        <v>0.12</v>
      </c>
      <c r="I1731" t="s">
        <v>1812</v>
      </c>
      <c r="J1731">
        <v>514.3424</v>
      </c>
    </row>
    <row r="1732" spans="1:10" x14ac:dyDescent="0.3">
      <c r="A1732" t="s">
        <v>3539</v>
      </c>
      <c r="B1732" s="1">
        <v>45549</v>
      </c>
      <c r="C1732" t="s">
        <v>1456</v>
      </c>
      <c r="D1732" t="s">
        <v>1593</v>
      </c>
      <c r="E1732" t="s">
        <v>1793</v>
      </c>
      <c r="F1732">
        <v>2</v>
      </c>
      <c r="G1732">
        <v>695.02</v>
      </c>
      <c r="H1732">
        <v>0.3</v>
      </c>
      <c r="I1732" t="s">
        <v>1812</v>
      </c>
      <c r="J1732">
        <v>973.02799999999991</v>
      </c>
    </row>
    <row r="1733" spans="1:10" x14ac:dyDescent="0.3">
      <c r="A1733" t="s">
        <v>3540</v>
      </c>
      <c r="B1733" s="1">
        <v>45231</v>
      </c>
      <c r="C1733" t="s">
        <v>705</v>
      </c>
      <c r="D1733" t="s">
        <v>1719</v>
      </c>
      <c r="E1733" t="s">
        <v>1772</v>
      </c>
      <c r="F1733">
        <v>2</v>
      </c>
      <c r="G1733">
        <v>886.67</v>
      </c>
      <c r="H1733">
        <v>0.24</v>
      </c>
      <c r="I1733" t="s">
        <v>1809</v>
      </c>
      <c r="J1733">
        <v>1347.7384</v>
      </c>
    </row>
    <row r="1734" spans="1:10" x14ac:dyDescent="0.3">
      <c r="A1734" t="s">
        <v>3541</v>
      </c>
      <c r="B1734" s="1">
        <v>45628</v>
      </c>
      <c r="C1734" t="s">
        <v>202</v>
      </c>
      <c r="D1734" t="s">
        <v>1663</v>
      </c>
      <c r="E1734" t="s">
        <v>1793</v>
      </c>
      <c r="F1734">
        <v>2</v>
      </c>
      <c r="G1734">
        <v>864.09</v>
      </c>
      <c r="H1734">
        <v>0.06</v>
      </c>
      <c r="I1734" t="s">
        <v>1812</v>
      </c>
      <c r="J1734">
        <v>1624.4892</v>
      </c>
    </row>
    <row r="1735" spans="1:10" x14ac:dyDescent="0.3">
      <c r="A1735" t="s">
        <v>3542</v>
      </c>
      <c r="B1735" s="1">
        <v>45862</v>
      </c>
      <c r="C1735" t="s">
        <v>23</v>
      </c>
      <c r="D1735" t="s">
        <v>1555</v>
      </c>
      <c r="E1735" t="s">
        <v>1769</v>
      </c>
      <c r="F1735">
        <v>1</v>
      </c>
      <c r="G1735">
        <v>437.65</v>
      </c>
      <c r="H1735">
        <v>0.02</v>
      </c>
      <c r="I1735" t="s">
        <v>1809</v>
      </c>
      <c r="J1735">
        <v>428.89699999999999</v>
      </c>
    </row>
    <row r="1736" spans="1:10" x14ac:dyDescent="0.3">
      <c r="A1736" t="s">
        <v>3543</v>
      </c>
      <c r="B1736" s="1">
        <v>45843</v>
      </c>
      <c r="C1736" t="s">
        <v>654</v>
      </c>
      <c r="D1736" t="s">
        <v>1603</v>
      </c>
      <c r="E1736" t="s">
        <v>1780</v>
      </c>
      <c r="F1736">
        <v>2</v>
      </c>
      <c r="G1736">
        <v>208.09</v>
      </c>
      <c r="H1736">
        <v>0.27</v>
      </c>
      <c r="I1736" t="s">
        <v>1807</v>
      </c>
      <c r="J1736">
        <v>303.81139999999999</v>
      </c>
    </row>
    <row r="1737" spans="1:10" x14ac:dyDescent="0.3">
      <c r="A1737" t="s">
        <v>3544</v>
      </c>
      <c r="B1737" s="1">
        <v>45482</v>
      </c>
      <c r="C1737" t="s">
        <v>202</v>
      </c>
      <c r="D1737" t="s">
        <v>1717</v>
      </c>
      <c r="E1737" t="s">
        <v>1790</v>
      </c>
      <c r="F1737">
        <v>4</v>
      </c>
      <c r="G1737">
        <v>825.78</v>
      </c>
      <c r="H1737">
        <v>0.02</v>
      </c>
      <c r="I1737" t="s">
        <v>1807</v>
      </c>
      <c r="J1737">
        <v>3237.0576000000001</v>
      </c>
    </row>
    <row r="1738" spans="1:10" x14ac:dyDescent="0.3">
      <c r="A1738" t="s">
        <v>3545</v>
      </c>
      <c r="B1738" s="1">
        <v>45313</v>
      </c>
      <c r="C1738" t="s">
        <v>400</v>
      </c>
      <c r="D1738" t="s">
        <v>1581</v>
      </c>
      <c r="E1738" t="s">
        <v>1790</v>
      </c>
      <c r="F1738">
        <v>3</v>
      </c>
      <c r="G1738">
        <v>849.77</v>
      </c>
      <c r="H1738">
        <v>0.12</v>
      </c>
      <c r="I1738" t="s">
        <v>1809</v>
      </c>
      <c r="J1738">
        <v>2243.3928000000001</v>
      </c>
    </row>
    <row r="1739" spans="1:10" x14ac:dyDescent="0.3">
      <c r="A1739" t="s">
        <v>3546</v>
      </c>
      <c r="B1739" s="1">
        <v>45314</v>
      </c>
      <c r="C1739" t="s">
        <v>1069</v>
      </c>
      <c r="D1739" t="s">
        <v>1651</v>
      </c>
      <c r="E1739" t="s">
        <v>1752</v>
      </c>
      <c r="F1739">
        <v>1</v>
      </c>
      <c r="G1739">
        <v>88.78</v>
      </c>
      <c r="H1739">
        <v>0.18</v>
      </c>
      <c r="I1739" t="s">
        <v>1807</v>
      </c>
      <c r="J1739">
        <v>72.799600000000012</v>
      </c>
    </row>
    <row r="1740" spans="1:10" x14ac:dyDescent="0.3">
      <c r="A1740" t="s">
        <v>3547</v>
      </c>
      <c r="B1740" s="1">
        <v>45526</v>
      </c>
      <c r="C1740" t="s">
        <v>622</v>
      </c>
      <c r="D1740" t="s">
        <v>1687</v>
      </c>
      <c r="E1740" t="s">
        <v>1752</v>
      </c>
      <c r="F1740">
        <v>4</v>
      </c>
      <c r="G1740">
        <v>507.22</v>
      </c>
      <c r="H1740">
        <v>0.14000000000000001</v>
      </c>
      <c r="I1740" t="s">
        <v>1809</v>
      </c>
      <c r="J1740">
        <v>1744.8368</v>
      </c>
    </row>
    <row r="1741" spans="1:10" x14ac:dyDescent="0.3">
      <c r="A1741" t="s">
        <v>3548</v>
      </c>
      <c r="B1741" s="1">
        <v>45887</v>
      </c>
      <c r="C1741" t="s">
        <v>986</v>
      </c>
      <c r="D1741" t="s">
        <v>1723</v>
      </c>
      <c r="E1741" t="s">
        <v>1735</v>
      </c>
      <c r="F1741">
        <v>3</v>
      </c>
      <c r="G1741">
        <v>330.98</v>
      </c>
      <c r="H1741">
        <v>0.11</v>
      </c>
      <c r="I1741" t="s">
        <v>1807</v>
      </c>
      <c r="J1741">
        <v>883.71660000000008</v>
      </c>
    </row>
    <row r="1742" spans="1:10" x14ac:dyDescent="0.3">
      <c r="A1742" t="s">
        <v>3549</v>
      </c>
      <c r="B1742" s="1">
        <v>45562</v>
      </c>
      <c r="C1742" t="s">
        <v>192</v>
      </c>
      <c r="D1742" t="s">
        <v>1605</v>
      </c>
      <c r="E1742" t="s">
        <v>1796</v>
      </c>
      <c r="F1742">
        <v>4</v>
      </c>
      <c r="G1742">
        <v>442.87</v>
      </c>
      <c r="H1742">
        <v>0.08</v>
      </c>
      <c r="I1742" t="s">
        <v>1807</v>
      </c>
      <c r="J1742">
        <v>1629.7616</v>
      </c>
    </row>
    <row r="1743" spans="1:10" x14ac:dyDescent="0.3">
      <c r="A1743" t="s">
        <v>3550</v>
      </c>
      <c r="B1743" s="1">
        <v>45880</v>
      </c>
      <c r="C1743" t="s">
        <v>48</v>
      </c>
      <c r="D1743" t="s">
        <v>1723</v>
      </c>
      <c r="E1743" t="s">
        <v>1744</v>
      </c>
      <c r="F1743">
        <v>2</v>
      </c>
      <c r="G1743">
        <v>939.66</v>
      </c>
      <c r="H1743">
        <v>0.14000000000000001</v>
      </c>
      <c r="I1743" t="s">
        <v>1809</v>
      </c>
      <c r="J1743">
        <v>1616.2152000000001</v>
      </c>
    </row>
    <row r="1744" spans="1:10" x14ac:dyDescent="0.3">
      <c r="A1744" t="s">
        <v>3551</v>
      </c>
      <c r="B1744" s="1">
        <v>45556</v>
      </c>
      <c r="C1744" t="s">
        <v>920</v>
      </c>
      <c r="D1744" t="s">
        <v>1677</v>
      </c>
      <c r="E1744" t="s">
        <v>1749</v>
      </c>
      <c r="F1744">
        <v>1</v>
      </c>
      <c r="G1744">
        <v>24.13</v>
      </c>
      <c r="H1744">
        <v>0</v>
      </c>
      <c r="I1744" t="s">
        <v>1807</v>
      </c>
      <c r="J1744">
        <v>24.13</v>
      </c>
    </row>
    <row r="1745" spans="1:10" x14ac:dyDescent="0.3">
      <c r="A1745" t="s">
        <v>3552</v>
      </c>
      <c r="B1745" s="1">
        <v>45355</v>
      </c>
      <c r="C1745" t="s">
        <v>1126</v>
      </c>
      <c r="D1745" t="s">
        <v>1613</v>
      </c>
      <c r="E1745" t="s">
        <v>1749</v>
      </c>
      <c r="F1745">
        <v>3</v>
      </c>
      <c r="G1745">
        <v>239.54</v>
      </c>
      <c r="H1745">
        <v>0.28999999999999998</v>
      </c>
      <c r="I1745" t="s">
        <v>1812</v>
      </c>
      <c r="J1745">
        <v>510.22019999999998</v>
      </c>
    </row>
    <row r="1746" spans="1:10" x14ac:dyDescent="0.3">
      <c r="A1746" t="s">
        <v>3553</v>
      </c>
      <c r="B1746" s="1">
        <v>45244</v>
      </c>
      <c r="C1746" t="s">
        <v>1467</v>
      </c>
      <c r="D1746" t="s">
        <v>1623</v>
      </c>
      <c r="E1746" t="s">
        <v>1782</v>
      </c>
      <c r="F1746">
        <v>1</v>
      </c>
      <c r="G1746">
        <v>588.53</v>
      </c>
      <c r="H1746">
        <v>0.1</v>
      </c>
      <c r="I1746" t="s">
        <v>1807</v>
      </c>
      <c r="J1746">
        <v>529.67700000000002</v>
      </c>
    </row>
    <row r="1747" spans="1:10" x14ac:dyDescent="0.3">
      <c r="A1747" t="s">
        <v>3554</v>
      </c>
      <c r="B1747" s="1">
        <v>45863</v>
      </c>
      <c r="C1747" t="s">
        <v>906</v>
      </c>
      <c r="D1747" t="s">
        <v>1651</v>
      </c>
      <c r="E1747" t="s">
        <v>1784</v>
      </c>
      <c r="F1747">
        <v>1</v>
      </c>
      <c r="G1747">
        <v>145.96</v>
      </c>
      <c r="H1747">
        <v>0.3</v>
      </c>
      <c r="I1747" t="s">
        <v>1807</v>
      </c>
      <c r="J1747">
        <v>102.172</v>
      </c>
    </row>
    <row r="1748" spans="1:10" x14ac:dyDescent="0.3">
      <c r="A1748" t="s">
        <v>3555</v>
      </c>
      <c r="B1748" s="1">
        <v>45573</v>
      </c>
      <c r="C1748" t="s">
        <v>355</v>
      </c>
      <c r="D1748" t="s">
        <v>1671</v>
      </c>
      <c r="E1748" t="s">
        <v>1752</v>
      </c>
      <c r="F1748">
        <v>4</v>
      </c>
      <c r="G1748">
        <v>640.91</v>
      </c>
      <c r="H1748">
        <v>0.06</v>
      </c>
      <c r="I1748" t="s">
        <v>1807</v>
      </c>
      <c r="J1748">
        <v>2409.8216000000002</v>
      </c>
    </row>
    <row r="1749" spans="1:10" x14ac:dyDescent="0.3">
      <c r="A1749" t="s">
        <v>3556</v>
      </c>
      <c r="B1749" s="1">
        <v>45792</v>
      </c>
      <c r="C1749" t="s">
        <v>163</v>
      </c>
      <c r="D1749" t="s">
        <v>1659</v>
      </c>
      <c r="E1749" t="s">
        <v>1775</v>
      </c>
      <c r="F1749">
        <v>3</v>
      </c>
      <c r="G1749">
        <v>773.86</v>
      </c>
      <c r="H1749">
        <v>0.22</v>
      </c>
      <c r="I1749" t="s">
        <v>1807</v>
      </c>
      <c r="J1749">
        <v>1810.8324</v>
      </c>
    </row>
    <row r="1750" spans="1:10" x14ac:dyDescent="0.3">
      <c r="A1750" t="s">
        <v>3557</v>
      </c>
      <c r="B1750" s="1">
        <v>45744</v>
      </c>
      <c r="C1750" t="s">
        <v>1412</v>
      </c>
      <c r="D1750" t="s">
        <v>1593</v>
      </c>
      <c r="E1750" t="s">
        <v>1784</v>
      </c>
      <c r="F1750">
        <v>2</v>
      </c>
      <c r="G1750">
        <v>31.28</v>
      </c>
      <c r="H1750">
        <v>0.2</v>
      </c>
      <c r="I1750" t="s">
        <v>1812</v>
      </c>
      <c r="J1750">
        <v>50.048000000000002</v>
      </c>
    </row>
    <row r="1751" spans="1:10" x14ac:dyDescent="0.3">
      <c r="A1751" t="s">
        <v>3558</v>
      </c>
      <c r="B1751" s="1">
        <v>45842</v>
      </c>
      <c r="C1751" t="s">
        <v>1153</v>
      </c>
      <c r="D1751" t="s">
        <v>1695</v>
      </c>
      <c r="E1751" t="s">
        <v>1759</v>
      </c>
      <c r="F1751">
        <v>4</v>
      </c>
      <c r="G1751">
        <v>389.22</v>
      </c>
      <c r="H1751">
        <v>0.18</v>
      </c>
      <c r="I1751" t="s">
        <v>1807</v>
      </c>
      <c r="J1751">
        <v>1276.6415999999999</v>
      </c>
    </row>
    <row r="1752" spans="1:10" x14ac:dyDescent="0.3">
      <c r="A1752" t="s">
        <v>3559</v>
      </c>
      <c r="B1752" s="1">
        <v>45502</v>
      </c>
      <c r="C1752" t="s">
        <v>71</v>
      </c>
      <c r="D1752" t="s">
        <v>1659</v>
      </c>
      <c r="E1752" t="s">
        <v>1784</v>
      </c>
      <c r="F1752">
        <v>3</v>
      </c>
      <c r="G1752">
        <v>543.44000000000005</v>
      </c>
      <c r="H1752">
        <v>0.13</v>
      </c>
      <c r="I1752" t="s">
        <v>1809</v>
      </c>
      <c r="J1752">
        <v>1418.3784000000001</v>
      </c>
    </row>
    <row r="1753" spans="1:10" x14ac:dyDescent="0.3">
      <c r="A1753" t="s">
        <v>3560</v>
      </c>
      <c r="B1753" s="1">
        <v>45296</v>
      </c>
      <c r="C1753" t="s">
        <v>814</v>
      </c>
      <c r="D1753" t="s">
        <v>1725</v>
      </c>
      <c r="E1753" t="s">
        <v>1796</v>
      </c>
      <c r="F1753">
        <v>4</v>
      </c>
      <c r="G1753">
        <v>715.42</v>
      </c>
      <c r="H1753">
        <v>0.28999999999999998</v>
      </c>
      <c r="I1753" t="s">
        <v>1809</v>
      </c>
      <c r="J1753">
        <v>2031.7927999999999</v>
      </c>
    </row>
    <row r="1754" spans="1:10" x14ac:dyDescent="0.3">
      <c r="A1754" t="s">
        <v>3561</v>
      </c>
      <c r="B1754" s="1">
        <v>45886</v>
      </c>
      <c r="C1754" t="s">
        <v>192</v>
      </c>
      <c r="D1754" t="s">
        <v>1555</v>
      </c>
      <c r="E1754" t="s">
        <v>1752</v>
      </c>
      <c r="F1754">
        <v>4</v>
      </c>
      <c r="G1754">
        <v>676.14</v>
      </c>
      <c r="H1754">
        <v>0.11</v>
      </c>
      <c r="I1754" t="s">
        <v>1812</v>
      </c>
      <c r="J1754">
        <v>2407.0583999999999</v>
      </c>
    </row>
    <row r="1755" spans="1:10" x14ac:dyDescent="0.3">
      <c r="A1755" t="s">
        <v>3562</v>
      </c>
      <c r="B1755" s="1">
        <v>45425</v>
      </c>
      <c r="C1755" t="s">
        <v>316</v>
      </c>
      <c r="D1755" t="s">
        <v>1609</v>
      </c>
      <c r="E1755" t="s">
        <v>1740</v>
      </c>
      <c r="F1755">
        <v>4</v>
      </c>
      <c r="G1755">
        <v>352.72</v>
      </c>
      <c r="H1755">
        <v>0.25</v>
      </c>
      <c r="I1755" t="s">
        <v>1807</v>
      </c>
      <c r="J1755">
        <v>1058.1600000000001</v>
      </c>
    </row>
    <row r="1756" spans="1:10" x14ac:dyDescent="0.3">
      <c r="A1756" t="s">
        <v>3563</v>
      </c>
      <c r="B1756" s="1">
        <v>45797</v>
      </c>
      <c r="C1756" t="s">
        <v>568</v>
      </c>
      <c r="D1756" t="s">
        <v>1553</v>
      </c>
      <c r="E1756" t="s">
        <v>1777</v>
      </c>
      <c r="F1756">
        <v>1</v>
      </c>
      <c r="G1756">
        <v>470.18</v>
      </c>
      <c r="H1756">
        <v>0.19</v>
      </c>
      <c r="I1756" t="s">
        <v>1809</v>
      </c>
      <c r="J1756">
        <v>380.84580000000011</v>
      </c>
    </row>
    <row r="1757" spans="1:10" x14ac:dyDescent="0.3">
      <c r="A1757" t="s">
        <v>3564</v>
      </c>
      <c r="B1757" s="1">
        <v>45898</v>
      </c>
      <c r="C1757" t="s">
        <v>734</v>
      </c>
      <c r="D1757" t="s">
        <v>1663</v>
      </c>
      <c r="E1757" t="s">
        <v>1775</v>
      </c>
      <c r="F1757">
        <v>1</v>
      </c>
      <c r="G1757">
        <v>891.79</v>
      </c>
      <c r="H1757">
        <v>0.03</v>
      </c>
      <c r="I1757" t="s">
        <v>1807</v>
      </c>
      <c r="J1757">
        <v>865.03629999999998</v>
      </c>
    </row>
    <row r="1758" spans="1:10" x14ac:dyDescent="0.3">
      <c r="A1758" t="s">
        <v>3565</v>
      </c>
      <c r="B1758" s="1">
        <v>45390</v>
      </c>
      <c r="C1758" t="s">
        <v>1080</v>
      </c>
      <c r="D1758" t="s">
        <v>1709</v>
      </c>
      <c r="E1758" t="s">
        <v>1790</v>
      </c>
      <c r="F1758">
        <v>2</v>
      </c>
      <c r="G1758">
        <v>433.07</v>
      </c>
      <c r="H1758">
        <v>0.25</v>
      </c>
      <c r="I1758" t="s">
        <v>1812</v>
      </c>
      <c r="J1758">
        <v>649.60500000000002</v>
      </c>
    </row>
    <row r="1759" spans="1:10" x14ac:dyDescent="0.3">
      <c r="A1759" t="s">
        <v>3566</v>
      </c>
      <c r="B1759" s="1">
        <v>45355</v>
      </c>
      <c r="C1759" t="s">
        <v>59</v>
      </c>
      <c r="D1759" t="s">
        <v>1663</v>
      </c>
      <c r="E1759" t="s">
        <v>1796</v>
      </c>
      <c r="F1759">
        <v>3</v>
      </c>
      <c r="G1759">
        <v>626.71</v>
      </c>
      <c r="H1759">
        <v>7.0000000000000007E-2</v>
      </c>
      <c r="I1759" t="s">
        <v>1812</v>
      </c>
      <c r="J1759">
        <v>1748.5209</v>
      </c>
    </row>
    <row r="1760" spans="1:10" x14ac:dyDescent="0.3">
      <c r="A1760" t="s">
        <v>3567</v>
      </c>
      <c r="B1760" s="1">
        <v>45916</v>
      </c>
      <c r="C1760" t="s">
        <v>275</v>
      </c>
      <c r="D1760" t="s">
        <v>1603</v>
      </c>
      <c r="E1760" t="s">
        <v>1735</v>
      </c>
      <c r="F1760">
        <v>2</v>
      </c>
      <c r="G1760">
        <v>324.18</v>
      </c>
      <c r="H1760">
        <v>0.06</v>
      </c>
      <c r="I1760" t="s">
        <v>1812</v>
      </c>
      <c r="J1760">
        <v>609.45839999999998</v>
      </c>
    </row>
    <row r="1761" spans="1:10" x14ac:dyDescent="0.3">
      <c r="A1761" t="s">
        <v>3568</v>
      </c>
      <c r="B1761" s="1">
        <v>45448</v>
      </c>
      <c r="C1761" t="s">
        <v>63</v>
      </c>
      <c r="D1761" t="s">
        <v>1559</v>
      </c>
      <c r="E1761" t="s">
        <v>1790</v>
      </c>
      <c r="F1761">
        <v>4</v>
      </c>
      <c r="G1761">
        <v>839.74</v>
      </c>
      <c r="H1761">
        <v>0.13</v>
      </c>
      <c r="I1761" t="s">
        <v>1809</v>
      </c>
      <c r="J1761">
        <v>2922.2952</v>
      </c>
    </row>
    <row r="1762" spans="1:10" x14ac:dyDescent="0.3">
      <c r="A1762" t="s">
        <v>3569</v>
      </c>
      <c r="B1762" s="1">
        <v>45402</v>
      </c>
      <c r="C1762" t="s">
        <v>518</v>
      </c>
      <c r="D1762" t="s">
        <v>1655</v>
      </c>
      <c r="E1762" t="s">
        <v>1784</v>
      </c>
      <c r="F1762">
        <v>3</v>
      </c>
      <c r="G1762">
        <v>252.63</v>
      </c>
      <c r="H1762">
        <v>0.28000000000000003</v>
      </c>
      <c r="I1762" t="s">
        <v>1807</v>
      </c>
      <c r="J1762">
        <v>545.68079999999998</v>
      </c>
    </row>
    <row r="1763" spans="1:10" x14ac:dyDescent="0.3">
      <c r="A1763" t="s">
        <v>3570</v>
      </c>
      <c r="B1763" s="1">
        <v>45581</v>
      </c>
      <c r="C1763" t="s">
        <v>808</v>
      </c>
      <c r="D1763" t="s">
        <v>1689</v>
      </c>
      <c r="E1763" t="s">
        <v>1796</v>
      </c>
      <c r="F1763">
        <v>2</v>
      </c>
      <c r="G1763">
        <v>60.53</v>
      </c>
      <c r="H1763">
        <v>0.18</v>
      </c>
      <c r="I1763" t="s">
        <v>1807</v>
      </c>
      <c r="J1763">
        <v>99.269200000000012</v>
      </c>
    </row>
    <row r="1764" spans="1:10" x14ac:dyDescent="0.3">
      <c r="A1764" t="s">
        <v>3571</v>
      </c>
      <c r="B1764" s="1">
        <v>45610</v>
      </c>
      <c r="C1764" t="s">
        <v>202</v>
      </c>
      <c r="D1764" t="s">
        <v>1699</v>
      </c>
      <c r="E1764" t="s">
        <v>1780</v>
      </c>
      <c r="F1764">
        <v>4</v>
      </c>
      <c r="G1764">
        <v>341.95</v>
      </c>
      <c r="H1764">
        <v>0.25</v>
      </c>
      <c r="I1764" t="s">
        <v>1807</v>
      </c>
      <c r="J1764">
        <v>1025.8499999999999</v>
      </c>
    </row>
    <row r="1765" spans="1:10" x14ac:dyDescent="0.3">
      <c r="A1765" t="s">
        <v>3572</v>
      </c>
      <c r="B1765" s="1">
        <v>45438</v>
      </c>
      <c r="C1765" t="s">
        <v>891</v>
      </c>
      <c r="D1765" t="s">
        <v>1575</v>
      </c>
      <c r="E1765" t="s">
        <v>1787</v>
      </c>
      <c r="F1765">
        <v>4</v>
      </c>
      <c r="G1765">
        <v>300.12</v>
      </c>
      <c r="H1765">
        <v>0.05</v>
      </c>
      <c r="I1765" t="s">
        <v>1809</v>
      </c>
      <c r="J1765">
        <v>1140.4559999999999</v>
      </c>
    </row>
    <row r="1766" spans="1:10" x14ac:dyDescent="0.3">
      <c r="A1766" t="s">
        <v>3573</v>
      </c>
      <c r="B1766" s="1">
        <v>45705</v>
      </c>
      <c r="C1766" t="s">
        <v>397</v>
      </c>
      <c r="D1766" t="s">
        <v>1587</v>
      </c>
      <c r="E1766" t="s">
        <v>1790</v>
      </c>
      <c r="F1766">
        <v>2</v>
      </c>
      <c r="G1766">
        <v>289.14</v>
      </c>
      <c r="H1766">
        <v>0.12</v>
      </c>
      <c r="I1766" t="s">
        <v>1812</v>
      </c>
      <c r="J1766">
        <v>508.88639999999998</v>
      </c>
    </row>
    <row r="1767" spans="1:10" x14ac:dyDescent="0.3">
      <c r="A1767" t="s">
        <v>3574</v>
      </c>
      <c r="B1767" s="1">
        <v>45695</v>
      </c>
      <c r="C1767" t="s">
        <v>174</v>
      </c>
      <c r="D1767" t="s">
        <v>1581</v>
      </c>
      <c r="E1767" t="s">
        <v>1735</v>
      </c>
      <c r="F1767">
        <v>2</v>
      </c>
      <c r="G1767">
        <v>596.84</v>
      </c>
      <c r="H1767">
        <v>0.01</v>
      </c>
      <c r="I1767" t="s">
        <v>1809</v>
      </c>
      <c r="J1767">
        <v>1181.7431999999999</v>
      </c>
    </row>
    <row r="1768" spans="1:10" x14ac:dyDescent="0.3">
      <c r="A1768" t="s">
        <v>3575</v>
      </c>
      <c r="B1768" s="1">
        <v>45571</v>
      </c>
      <c r="C1768" t="s">
        <v>1336</v>
      </c>
      <c r="D1768" t="s">
        <v>1569</v>
      </c>
      <c r="E1768" t="s">
        <v>1765</v>
      </c>
      <c r="F1768">
        <v>4</v>
      </c>
      <c r="G1768">
        <v>466.24</v>
      </c>
      <c r="H1768">
        <v>0.16</v>
      </c>
      <c r="I1768" t="s">
        <v>1807</v>
      </c>
      <c r="J1768">
        <v>1566.5663999999999</v>
      </c>
    </row>
    <row r="1769" spans="1:10" x14ac:dyDescent="0.3">
      <c r="A1769" t="s">
        <v>3576</v>
      </c>
      <c r="B1769" s="1">
        <v>45544</v>
      </c>
      <c r="C1769" t="s">
        <v>800</v>
      </c>
      <c r="D1769" t="s">
        <v>1557</v>
      </c>
      <c r="E1769" t="s">
        <v>1787</v>
      </c>
      <c r="F1769">
        <v>2</v>
      </c>
      <c r="G1769">
        <v>330.59</v>
      </c>
      <c r="H1769">
        <v>0.14000000000000001</v>
      </c>
      <c r="I1769" t="s">
        <v>1807</v>
      </c>
      <c r="J1769">
        <v>568.61479999999995</v>
      </c>
    </row>
    <row r="1770" spans="1:10" x14ac:dyDescent="0.3">
      <c r="A1770" t="s">
        <v>3577</v>
      </c>
      <c r="B1770" s="1">
        <v>45654</v>
      </c>
      <c r="C1770" t="s">
        <v>1499</v>
      </c>
      <c r="D1770" t="s">
        <v>1575</v>
      </c>
      <c r="E1770" t="s">
        <v>1759</v>
      </c>
      <c r="F1770">
        <v>2</v>
      </c>
      <c r="G1770">
        <v>616.42999999999995</v>
      </c>
      <c r="H1770">
        <v>0.02</v>
      </c>
      <c r="I1770" t="s">
        <v>1812</v>
      </c>
      <c r="J1770">
        <v>1208.2028</v>
      </c>
    </row>
    <row r="1771" spans="1:10" x14ac:dyDescent="0.3">
      <c r="A1771" t="s">
        <v>3578</v>
      </c>
      <c r="B1771" s="1">
        <v>45589</v>
      </c>
      <c r="C1771" t="s">
        <v>1240</v>
      </c>
      <c r="D1771" t="s">
        <v>1657</v>
      </c>
      <c r="E1771" t="s">
        <v>1759</v>
      </c>
      <c r="F1771">
        <v>3</v>
      </c>
      <c r="G1771">
        <v>195.89</v>
      </c>
      <c r="H1771">
        <v>0.16</v>
      </c>
      <c r="I1771" t="s">
        <v>1809</v>
      </c>
      <c r="J1771">
        <v>493.64280000000002</v>
      </c>
    </row>
    <row r="1772" spans="1:10" x14ac:dyDescent="0.3">
      <c r="A1772" t="s">
        <v>3579</v>
      </c>
      <c r="B1772" s="1">
        <v>45487</v>
      </c>
      <c r="C1772" t="s">
        <v>1066</v>
      </c>
      <c r="D1772" t="s">
        <v>1543</v>
      </c>
      <c r="E1772" t="s">
        <v>1772</v>
      </c>
      <c r="F1772">
        <v>4</v>
      </c>
      <c r="G1772">
        <v>614.76</v>
      </c>
      <c r="H1772">
        <v>0.16</v>
      </c>
      <c r="I1772" t="s">
        <v>1807</v>
      </c>
      <c r="J1772">
        <v>2065.5936000000002</v>
      </c>
    </row>
    <row r="1773" spans="1:10" x14ac:dyDescent="0.3">
      <c r="A1773" t="s">
        <v>3580</v>
      </c>
      <c r="B1773" s="1">
        <v>45418</v>
      </c>
      <c r="C1773" t="s">
        <v>1243</v>
      </c>
      <c r="D1773" t="s">
        <v>1689</v>
      </c>
      <c r="E1773" t="s">
        <v>1762</v>
      </c>
      <c r="F1773">
        <v>1</v>
      </c>
      <c r="G1773">
        <v>224.49</v>
      </c>
      <c r="H1773">
        <v>0.11</v>
      </c>
      <c r="I1773" t="s">
        <v>1809</v>
      </c>
      <c r="J1773">
        <v>199.7961</v>
      </c>
    </row>
    <row r="1774" spans="1:10" x14ac:dyDescent="0.3">
      <c r="A1774" t="s">
        <v>3581</v>
      </c>
      <c r="B1774" s="1">
        <v>45338</v>
      </c>
      <c r="C1774" t="s">
        <v>1103</v>
      </c>
      <c r="D1774" t="s">
        <v>1641</v>
      </c>
      <c r="E1774" t="s">
        <v>1777</v>
      </c>
      <c r="F1774">
        <v>1</v>
      </c>
      <c r="G1774">
        <v>967.76</v>
      </c>
      <c r="H1774">
        <v>0.09</v>
      </c>
      <c r="I1774" t="s">
        <v>1807</v>
      </c>
      <c r="J1774">
        <v>880.66160000000002</v>
      </c>
    </row>
    <row r="1775" spans="1:10" x14ac:dyDescent="0.3">
      <c r="A1775" t="s">
        <v>3582</v>
      </c>
      <c r="B1775" s="1">
        <v>45507</v>
      </c>
      <c r="C1775" t="s">
        <v>244</v>
      </c>
      <c r="D1775" t="s">
        <v>1613</v>
      </c>
      <c r="E1775" t="s">
        <v>1796</v>
      </c>
      <c r="F1775">
        <v>2</v>
      </c>
      <c r="G1775">
        <v>56.52</v>
      </c>
      <c r="H1775">
        <v>0.17</v>
      </c>
      <c r="I1775" t="s">
        <v>1809</v>
      </c>
      <c r="J1775">
        <v>93.8232</v>
      </c>
    </row>
    <row r="1776" spans="1:10" x14ac:dyDescent="0.3">
      <c r="A1776" t="s">
        <v>3583</v>
      </c>
      <c r="B1776" s="1">
        <v>45275</v>
      </c>
      <c r="C1776" t="s">
        <v>1490</v>
      </c>
      <c r="D1776" t="s">
        <v>1665</v>
      </c>
      <c r="E1776" t="s">
        <v>1740</v>
      </c>
      <c r="F1776">
        <v>4</v>
      </c>
      <c r="G1776">
        <v>921.84</v>
      </c>
      <c r="H1776">
        <v>0.04</v>
      </c>
      <c r="I1776" t="s">
        <v>1807</v>
      </c>
      <c r="J1776">
        <v>3539.8656000000001</v>
      </c>
    </row>
    <row r="1777" spans="1:10" x14ac:dyDescent="0.3">
      <c r="A1777" t="s">
        <v>3584</v>
      </c>
      <c r="B1777" s="1">
        <v>45319</v>
      </c>
      <c r="C1777" t="s">
        <v>1021</v>
      </c>
      <c r="D1777" t="s">
        <v>1703</v>
      </c>
      <c r="E1777" t="s">
        <v>1787</v>
      </c>
      <c r="F1777">
        <v>3</v>
      </c>
      <c r="G1777">
        <v>738.47</v>
      </c>
      <c r="H1777">
        <v>0.28000000000000003</v>
      </c>
      <c r="I1777" t="s">
        <v>1807</v>
      </c>
      <c r="J1777">
        <v>1595.0952</v>
      </c>
    </row>
    <row r="1778" spans="1:10" x14ac:dyDescent="0.3">
      <c r="A1778" t="s">
        <v>3585</v>
      </c>
      <c r="B1778" s="1">
        <v>45620</v>
      </c>
      <c r="C1778" t="s">
        <v>1021</v>
      </c>
      <c r="D1778" t="s">
        <v>1538</v>
      </c>
      <c r="E1778" t="s">
        <v>1735</v>
      </c>
      <c r="F1778">
        <v>4</v>
      </c>
      <c r="G1778">
        <v>477.83</v>
      </c>
      <c r="H1778">
        <v>0.05</v>
      </c>
      <c r="I1778" t="s">
        <v>1812</v>
      </c>
      <c r="J1778">
        <v>1815.7539999999999</v>
      </c>
    </row>
    <row r="1779" spans="1:10" x14ac:dyDescent="0.3">
      <c r="A1779" t="s">
        <v>3586</v>
      </c>
      <c r="B1779" s="1">
        <v>45831</v>
      </c>
      <c r="C1779" t="s">
        <v>554</v>
      </c>
      <c r="D1779" t="s">
        <v>1615</v>
      </c>
      <c r="E1779" t="s">
        <v>1777</v>
      </c>
      <c r="F1779">
        <v>3</v>
      </c>
      <c r="G1779">
        <v>605.83000000000004</v>
      </c>
      <c r="H1779">
        <v>0.28000000000000003</v>
      </c>
      <c r="I1779" t="s">
        <v>1812</v>
      </c>
      <c r="J1779">
        <v>1308.5927999999999</v>
      </c>
    </row>
    <row r="1780" spans="1:10" x14ac:dyDescent="0.3">
      <c r="A1780" t="s">
        <v>3587</v>
      </c>
      <c r="B1780" s="1">
        <v>45373</v>
      </c>
      <c r="C1780" t="s">
        <v>244</v>
      </c>
      <c r="D1780" t="s">
        <v>1617</v>
      </c>
      <c r="E1780" t="s">
        <v>1749</v>
      </c>
      <c r="F1780">
        <v>2</v>
      </c>
      <c r="G1780">
        <v>521.44000000000005</v>
      </c>
      <c r="H1780">
        <v>0.25</v>
      </c>
      <c r="I1780" t="s">
        <v>1812</v>
      </c>
      <c r="J1780">
        <v>782.16000000000008</v>
      </c>
    </row>
    <row r="1781" spans="1:10" x14ac:dyDescent="0.3">
      <c r="A1781" t="s">
        <v>3588</v>
      </c>
      <c r="B1781" s="1">
        <v>45863</v>
      </c>
      <c r="C1781" t="s">
        <v>1153</v>
      </c>
      <c r="D1781" t="s">
        <v>1551</v>
      </c>
      <c r="E1781" t="s">
        <v>1762</v>
      </c>
      <c r="F1781">
        <v>4</v>
      </c>
      <c r="G1781">
        <v>499.02</v>
      </c>
      <c r="H1781">
        <v>0.06</v>
      </c>
      <c r="I1781" t="s">
        <v>1807</v>
      </c>
      <c r="J1781">
        <v>1876.3152</v>
      </c>
    </row>
    <row r="1782" spans="1:10" x14ac:dyDescent="0.3">
      <c r="A1782" t="s">
        <v>3589</v>
      </c>
      <c r="B1782" s="1">
        <v>45758</v>
      </c>
      <c r="C1782" t="s">
        <v>509</v>
      </c>
      <c r="D1782" t="s">
        <v>1536</v>
      </c>
      <c r="E1782" t="s">
        <v>1793</v>
      </c>
      <c r="F1782">
        <v>4</v>
      </c>
      <c r="G1782">
        <v>299.45999999999998</v>
      </c>
      <c r="H1782">
        <v>0.18</v>
      </c>
      <c r="I1782" t="s">
        <v>1812</v>
      </c>
      <c r="J1782">
        <v>982.22879999999998</v>
      </c>
    </row>
    <row r="1783" spans="1:10" x14ac:dyDescent="0.3">
      <c r="A1783" t="s">
        <v>3590</v>
      </c>
      <c r="B1783" s="1">
        <v>45285</v>
      </c>
      <c r="C1783" t="s">
        <v>1395</v>
      </c>
      <c r="D1783" t="s">
        <v>1609</v>
      </c>
      <c r="E1783" t="s">
        <v>1735</v>
      </c>
      <c r="F1783">
        <v>1</v>
      </c>
      <c r="G1783">
        <v>609.29</v>
      </c>
      <c r="H1783">
        <v>0.15</v>
      </c>
      <c r="I1783" t="s">
        <v>1807</v>
      </c>
      <c r="J1783">
        <v>517.89649999999995</v>
      </c>
    </row>
    <row r="1784" spans="1:10" x14ac:dyDescent="0.3">
      <c r="A1784" t="s">
        <v>3591</v>
      </c>
      <c r="B1784" s="1">
        <v>45656</v>
      </c>
      <c r="C1784" t="s">
        <v>355</v>
      </c>
      <c r="D1784" t="s">
        <v>1532</v>
      </c>
      <c r="E1784" t="s">
        <v>1765</v>
      </c>
      <c r="F1784">
        <v>1</v>
      </c>
      <c r="G1784">
        <v>213.74</v>
      </c>
      <c r="H1784">
        <v>7.0000000000000007E-2</v>
      </c>
      <c r="I1784" t="s">
        <v>1812</v>
      </c>
      <c r="J1784">
        <v>198.7782</v>
      </c>
    </row>
    <row r="1785" spans="1:10" x14ac:dyDescent="0.3">
      <c r="A1785" t="s">
        <v>3592</v>
      </c>
      <c r="B1785" s="1">
        <v>45718</v>
      </c>
      <c r="C1785" t="s">
        <v>509</v>
      </c>
      <c r="D1785" t="s">
        <v>1641</v>
      </c>
      <c r="E1785" t="s">
        <v>1787</v>
      </c>
      <c r="F1785">
        <v>4</v>
      </c>
      <c r="G1785">
        <v>613.16999999999996</v>
      </c>
      <c r="H1785">
        <v>0.26</v>
      </c>
      <c r="I1785" t="s">
        <v>1807</v>
      </c>
      <c r="J1785">
        <v>1814.9831999999999</v>
      </c>
    </row>
    <row r="1786" spans="1:10" x14ac:dyDescent="0.3">
      <c r="A1786" t="s">
        <v>3593</v>
      </c>
      <c r="B1786" s="1">
        <v>45293</v>
      </c>
      <c r="C1786" t="s">
        <v>1106</v>
      </c>
      <c r="D1786" t="s">
        <v>1649</v>
      </c>
      <c r="E1786" t="s">
        <v>1775</v>
      </c>
      <c r="F1786">
        <v>2</v>
      </c>
      <c r="G1786">
        <v>687.36</v>
      </c>
      <c r="H1786">
        <v>7.0000000000000007E-2</v>
      </c>
      <c r="I1786" t="s">
        <v>1812</v>
      </c>
      <c r="J1786">
        <v>1278.4896000000001</v>
      </c>
    </row>
    <row r="1787" spans="1:10" x14ac:dyDescent="0.3">
      <c r="A1787" t="s">
        <v>3594</v>
      </c>
      <c r="B1787" s="1">
        <v>45915</v>
      </c>
      <c r="C1787" t="s">
        <v>1015</v>
      </c>
      <c r="D1787" t="s">
        <v>1665</v>
      </c>
      <c r="E1787" t="s">
        <v>1780</v>
      </c>
      <c r="F1787">
        <v>3</v>
      </c>
      <c r="G1787">
        <v>115.39</v>
      </c>
      <c r="H1787">
        <v>0.02</v>
      </c>
      <c r="I1787" t="s">
        <v>1809</v>
      </c>
      <c r="J1787">
        <v>339.2466</v>
      </c>
    </row>
    <row r="1788" spans="1:10" x14ac:dyDescent="0.3">
      <c r="A1788" t="s">
        <v>3595</v>
      </c>
      <c r="B1788" s="1">
        <v>45359</v>
      </c>
      <c r="C1788" t="s">
        <v>586</v>
      </c>
      <c r="D1788" t="s">
        <v>1579</v>
      </c>
      <c r="E1788" t="s">
        <v>1777</v>
      </c>
      <c r="F1788">
        <v>2</v>
      </c>
      <c r="G1788">
        <v>722.06</v>
      </c>
      <c r="H1788">
        <v>7.0000000000000007E-2</v>
      </c>
      <c r="I1788" t="s">
        <v>1807</v>
      </c>
      <c r="J1788">
        <v>1343.0316</v>
      </c>
    </row>
    <row r="1789" spans="1:10" x14ac:dyDescent="0.3">
      <c r="A1789" t="s">
        <v>3596</v>
      </c>
      <c r="B1789" s="1">
        <v>45652</v>
      </c>
      <c r="C1789" t="s">
        <v>1303</v>
      </c>
      <c r="D1789" t="s">
        <v>1543</v>
      </c>
      <c r="E1789" t="s">
        <v>1784</v>
      </c>
      <c r="F1789">
        <v>1</v>
      </c>
      <c r="G1789">
        <v>384.57</v>
      </c>
      <c r="H1789">
        <v>0.06</v>
      </c>
      <c r="I1789" t="s">
        <v>1809</v>
      </c>
      <c r="J1789">
        <v>361.49579999999997</v>
      </c>
    </row>
    <row r="1790" spans="1:10" x14ac:dyDescent="0.3">
      <c r="A1790" t="s">
        <v>3597</v>
      </c>
      <c r="B1790" s="1">
        <v>45735</v>
      </c>
      <c r="C1790" t="s">
        <v>678</v>
      </c>
      <c r="D1790" t="s">
        <v>1545</v>
      </c>
      <c r="E1790" t="s">
        <v>1780</v>
      </c>
      <c r="F1790">
        <v>2</v>
      </c>
      <c r="G1790">
        <v>194.09</v>
      </c>
      <c r="H1790">
        <v>0.18</v>
      </c>
      <c r="I1790" t="s">
        <v>1809</v>
      </c>
      <c r="J1790">
        <v>318.30759999999998</v>
      </c>
    </row>
    <row r="1791" spans="1:10" x14ac:dyDescent="0.3">
      <c r="A1791" t="s">
        <v>3598</v>
      </c>
      <c r="B1791" s="1">
        <v>45579</v>
      </c>
      <c r="C1791" t="s">
        <v>565</v>
      </c>
      <c r="D1791" t="s">
        <v>1707</v>
      </c>
      <c r="E1791" t="s">
        <v>1749</v>
      </c>
      <c r="F1791">
        <v>2</v>
      </c>
      <c r="G1791">
        <v>403.91</v>
      </c>
      <c r="H1791">
        <v>7.0000000000000007E-2</v>
      </c>
      <c r="I1791" t="s">
        <v>1807</v>
      </c>
      <c r="J1791">
        <v>751.27260000000001</v>
      </c>
    </row>
    <row r="1792" spans="1:10" x14ac:dyDescent="0.3">
      <c r="A1792" t="s">
        <v>3599</v>
      </c>
      <c r="B1792" s="1">
        <v>45721</v>
      </c>
      <c r="C1792" t="s">
        <v>275</v>
      </c>
      <c r="D1792" t="s">
        <v>1565</v>
      </c>
      <c r="E1792" t="s">
        <v>1782</v>
      </c>
      <c r="F1792">
        <v>1</v>
      </c>
      <c r="G1792">
        <v>878.69</v>
      </c>
      <c r="H1792">
        <v>0.3</v>
      </c>
      <c r="I1792" t="s">
        <v>1809</v>
      </c>
      <c r="J1792">
        <v>615.08299999999997</v>
      </c>
    </row>
    <row r="1793" spans="1:10" x14ac:dyDescent="0.3">
      <c r="A1793" t="s">
        <v>3600</v>
      </c>
      <c r="B1793" s="1">
        <v>45446</v>
      </c>
      <c r="C1793" t="s">
        <v>1177</v>
      </c>
      <c r="D1793" t="s">
        <v>1597</v>
      </c>
      <c r="E1793" t="s">
        <v>1784</v>
      </c>
      <c r="F1793">
        <v>1</v>
      </c>
      <c r="G1793">
        <v>161.16999999999999</v>
      </c>
      <c r="H1793">
        <v>0.05</v>
      </c>
      <c r="I1793" t="s">
        <v>1807</v>
      </c>
      <c r="J1793">
        <v>153.11150000000001</v>
      </c>
    </row>
    <row r="1794" spans="1:10" x14ac:dyDescent="0.3">
      <c r="A1794" t="s">
        <v>3601</v>
      </c>
      <c r="B1794" s="1">
        <v>45387</v>
      </c>
      <c r="C1794" t="s">
        <v>690</v>
      </c>
      <c r="D1794" t="s">
        <v>1677</v>
      </c>
      <c r="E1794" t="s">
        <v>1782</v>
      </c>
      <c r="F1794">
        <v>2</v>
      </c>
      <c r="G1794">
        <v>720.15</v>
      </c>
      <c r="H1794">
        <v>0.22</v>
      </c>
      <c r="I1794" t="s">
        <v>1812</v>
      </c>
      <c r="J1794">
        <v>1123.434</v>
      </c>
    </row>
    <row r="1795" spans="1:10" x14ac:dyDescent="0.3">
      <c r="A1795" t="s">
        <v>3602</v>
      </c>
      <c r="B1795" s="1">
        <v>45222</v>
      </c>
      <c r="C1795" t="s">
        <v>1078</v>
      </c>
      <c r="D1795" t="s">
        <v>1583</v>
      </c>
      <c r="E1795" t="s">
        <v>1765</v>
      </c>
      <c r="F1795">
        <v>1</v>
      </c>
      <c r="G1795">
        <v>361.8</v>
      </c>
      <c r="H1795">
        <v>0.02</v>
      </c>
      <c r="I1795" t="s">
        <v>1812</v>
      </c>
      <c r="J1795">
        <v>354.56400000000002</v>
      </c>
    </row>
    <row r="1796" spans="1:10" x14ac:dyDescent="0.3">
      <c r="A1796" t="s">
        <v>3603</v>
      </c>
      <c r="B1796" s="1">
        <v>45402</v>
      </c>
      <c r="C1796" t="s">
        <v>734</v>
      </c>
      <c r="D1796" t="s">
        <v>1721</v>
      </c>
      <c r="E1796" t="s">
        <v>1759</v>
      </c>
      <c r="F1796">
        <v>1</v>
      </c>
      <c r="G1796">
        <v>779.84</v>
      </c>
      <c r="H1796">
        <v>0.28999999999999998</v>
      </c>
      <c r="I1796" t="s">
        <v>1809</v>
      </c>
      <c r="J1796">
        <v>553.68640000000005</v>
      </c>
    </row>
    <row r="1797" spans="1:10" x14ac:dyDescent="0.3">
      <c r="A1797" t="s">
        <v>3604</v>
      </c>
      <c r="B1797" s="1">
        <v>45455</v>
      </c>
      <c r="C1797" t="s">
        <v>27</v>
      </c>
      <c r="D1797" t="s">
        <v>1723</v>
      </c>
      <c r="E1797" t="s">
        <v>1752</v>
      </c>
      <c r="F1797">
        <v>2</v>
      </c>
      <c r="G1797">
        <v>649.89</v>
      </c>
      <c r="H1797">
        <v>0.17</v>
      </c>
      <c r="I1797" t="s">
        <v>1812</v>
      </c>
      <c r="J1797">
        <v>1078.8173999999999</v>
      </c>
    </row>
    <row r="1798" spans="1:10" x14ac:dyDescent="0.3">
      <c r="A1798" t="s">
        <v>3605</v>
      </c>
      <c r="B1798" s="1">
        <v>45877</v>
      </c>
      <c r="C1798" t="s">
        <v>660</v>
      </c>
      <c r="D1798" t="s">
        <v>1637</v>
      </c>
      <c r="E1798" t="s">
        <v>1759</v>
      </c>
      <c r="F1798">
        <v>1</v>
      </c>
      <c r="G1798">
        <v>952.73</v>
      </c>
      <c r="H1798">
        <v>0.17</v>
      </c>
      <c r="I1798" t="s">
        <v>1807</v>
      </c>
      <c r="J1798">
        <v>790.76589999999999</v>
      </c>
    </row>
    <row r="1799" spans="1:10" x14ac:dyDescent="0.3">
      <c r="A1799" t="s">
        <v>3606</v>
      </c>
      <c r="B1799" s="1">
        <v>45875</v>
      </c>
      <c r="C1799" t="s">
        <v>301</v>
      </c>
      <c r="D1799" t="s">
        <v>1729</v>
      </c>
      <c r="E1799" t="s">
        <v>1787</v>
      </c>
      <c r="F1799">
        <v>4</v>
      </c>
      <c r="G1799">
        <v>820.78</v>
      </c>
      <c r="H1799">
        <v>0.25</v>
      </c>
      <c r="I1799" t="s">
        <v>1807</v>
      </c>
      <c r="J1799">
        <v>2462.34</v>
      </c>
    </row>
    <row r="1800" spans="1:10" x14ac:dyDescent="0.3">
      <c r="A1800" t="s">
        <v>3607</v>
      </c>
      <c r="B1800" s="1">
        <v>45592</v>
      </c>
      <c r="C1800" t="s">
        <v>1063</v>
      </c>
      <c r="D1800" t="s">
        <v>1607</v>
      </c>
      <c r="E1800" t="s">
        <v>1749</v>
      </c>
      <c r="F1800">
        <v>4</v>
      </c>
      <c r="G1800">
        <v>247.55</v>
      </c>
      <c r="H1800">
        <v>0.05</v>
      </c>
      <c r="I1800" t="s">
        <v>1807</v>
      </c>
      <c r="J1800">
        <v>940.69</v>
      </c>
    </row>
    <row r="1801" spans="1:10" x14ac:dyDescent="0.3">
      <c r="A1801" t="s">
        <v>3608</v>
      </c>
      <c r="B1801" s="1">
        <v>45369</v>
      </c>
      <c r="C1801" t="s">
        <v>726</v>
      </c>
      <c r="D1801" t="s">
        <v>1729</v>
      </c>
      <c r="E1801" t="s">
        <v>1765</v>
      </c>
      <c r="F1801">
        <v>3</v>
      </c>
      <c r="G1801">
        <v>561.44000000000005</v>
      </c>
      <c r="H1801">
        <v>0.2</v>
      </c>
      <c r="I1801" t="s">
        <v>1812</v>
      </c>
      <c r="J1801">
        <v>1347.4559999999999</v>
      </c>
    </row>
    <row r="1802" spans="1:10" x14ac:dyDescent="0.3">
      <c r="A1802" t="s">
        <v>3609</v>
      </c>
      <c r="B1802" s="1">
        <v>45249</v>
      </c>
      <c r="C1802" t="s">
        <v>885</v>
      </c>
      <c r="D1802" t="s">
        <v>1675</v>
      </c>
      <c r="E1802" t="s">
        <v>1765</v>
      </c>
      <c r="F1802">
        <v>4</v>
      </c>
      <c r="G1802">
        <v>214.37</v>
      </c>
      <c r="H1802">
        <v>0.11</v>
      </c>
      <c r="I1802" t="s">
        <v>1812</v>
      </c>
      <c r="J1802">
        <v>763.15719999999999</v>
      </c>
    </row>
    <row r="1803" spans="1:10" x14ac:dyDescent="0.3">
      <c r="A1803" t="s">
        <v>3610</v>
      </c>
      <c r="B1803" s="1">
        <v>45741</v>
      </c>
      <c r="C1803" t="s">
        <v>1281</v>
      </c>
      <c r="D1803" t="s">
        <v>1565</v>
      </c>
      <c r="E1803" t="s">
        <v>1787</v>
      </c>
      <c r="F1803">
        <v>3</v>
      </c>
      <c r="G1803">
        <v>123.74</v>
      </c>
      <c r="H1803">
        <v>0.23</v>
      </c>
      <c r="I1803" t="s">
        <v>1809</v>
      </c>
      <c r="J1803">
        <v>285.83940000000001</v>
      </c>
    </row>
    <row r="1804" spans="1:10" x14ac:dyDescent="0.3">
      <c r="A1804" t="s">
        <v>3611</v>
      </c>
      <c r="B1804" s="1">
        <v>45427</v>
      </c>
      <c r="C1804" t="s">
        <v>63</v>
      </c>
      <c r="D1804" t="s">
        <v>1665</v>
      </c>
      <c r="E1804" t="s">
        <v>1775</v>
      </c>
      <c r="F1804">
        <v>4</v>
      </c>
      <c r="G1804">
        <v>645.71</v>
      </c>
      <c r="H1804">
        <v>0.1</v>
      </c>
      <c r="I1804" t="s">
        <v>1809</v>
      </c>
      <c r="J1804">
        <v>2324.556</v>
      </c>
    </row>
    <row r="1805" spans="1:10" x14ac:dyDescent="0.3">
      <c r="A1805" t="s">
        <v>3612</v>
      </c>
      <c r="B1805" s="1">
        <v>45736</v>
      </c>
      <c r="C1805" t="s">
        <v>134</v>
      </c>
      <c r="D1805" t="s">
        <v>1573</v>
      </c>
      <c r="E1805" t="s">
        <v>1777</v>
      </c>
      <c r="F1805">
        <v>3</v>
      </c>
      <c r="G1805">
        <v>587.12</v>
      </c>
      <c r="H1805">
        <v>0.3</v>
      </c>
      <c r="I1805" t="s">
        <v>1807</v>
      </c>
      <c r="J1805">
        <v>1232.952</v>
      </c>
    </row>
    <row r="1806" spans="1:10" x14ac:dyDescent="0.3">
      <c r="A1806" t="s">
        <v>3613</v>
      </c>
      <c r="B1806" s="1">
        <v>45941</v>
      </c>
      <c r="C1806" t="s">
        <v>767</v>
      </c>
      <c r="D1806" t="s">
        <v>1581</v>
      </c>
      <c r="E1806" t="s">
        <v>1793</v>
      </c>
      <c r="F1806">
        <v>1</v>
      </c>
      <c r="G1806">
        <v>401.18</v>
      </c>
      <c r="H1806">
        <v>0.15</v>
      </c>
      <c r="I1806" t="s">
        <v>1812</v>
      </c>
      <c r="J1806">
        <v>341.00299999999999</v>
      </c>
    </row>
    <row r="1807" spans="1:10" x14ac:dyDescent="0.3">
      <c r="A1807" t="s">
        <v>3614</v>
      </c>
      <c r="B1807" s="1">
        <v>45486</v>
      </c>
      <c r="C1807" t="s">
        <v>1132</v>
      </c>
      <c r="D1807" t="s">
        <v>1647</v>
      </c>
      <c r="E1807" t="s">
        <v>1793</v>
      </c>
      <c r="F1807">
        <v>3</v>
      </c>
      <c r="G1807">
        <v>658.33</v>
      </c>
      <c r="H1807">
        <v>0.12</v>
      </c>
      <c r="I1807" t="s">
        <v>1812</v>
      </c>
      <c r="J1807">
        <v>1737.9911999999999</v>
      </c>
    </row>
    <row r="1808" spans="1:10" x14ac:dyDescent="0.3">
      <c r="A1808" t="s">
        <v>3615</v>
      </c>
      <c r="B1808" s="1">
        <v>45474</v>
      </c>
      <c r="C1808" t="s">
        <v>651</v>
      </c>
      <c r="D1808" t="s">
        <v>1629</v>
      </c>
      <c r="E1808" t="s">
        <v>1775</v>
      </c>
      <c r="F1808">
        <v>4</v>
      </c>
      <c r="G1808">
        <v>450.3</v>
      </c>
      <c r="H1808">
        <v>0.02</v>
      </c>
      <c r="I1808" t="s">
        <v>1807</v>
      </c>
      <c r="J1808">
        <v>1765.1759999999999</v>
      </c>
    </row>
    <row r="1809" spans="1:10" x14ac:dyDescent="0.3">
      <c r="A1809" t="s">
        <v>3616</v>
      </c>
      <c r="B1809" s="1">
        <v>45757</v>
      </c>
      <c r="C1809" t="s">
        <v>485</v>
      </c>
      <c r="D1809" t="s">
        <v>1719</v>
      </c>
      <c r="E1809" t="s">
        <v>1772</v>
      </c>
      <c r="F1809">
        <v>4</v>
      </c>
      <c r="G1809">
        <v>33.630000000000003</v>
      </c>
      <c r="H1809">
        <v>0.05</v>
      </c>
      <c r="I1809" t="s">
        <v>1807</v>
      </c>
      <c r="J1809">
        <v>127.794</v>
      </c>
    </row>
    <row r="1810" spans="1:10" x14ac:dyDescent="0.3">
      <c r="A1810" t="s">
        <v>3617</v>
      </c>
      <c r="B1810" s="1">
        <v>45475</v>
      </c>
      <c r="C1810" t="s">
        <v>140</v>
      </c>
      <c r="D1810" t="s">
        <v>1563</v>
      </c>
      <c r="E1810" t="s">
        <v>1735</v>
      </c>
      <c r="F1810">
        <v>3</v>
      </c>
      <c r="G1810">
        <v>168.89</v>
      </c>
      <c r="H1810">
        <v>0.03</v>
      </c>
      <c r="I1810" t="s">
        <v>1812</v>
      </c>
      <c r="J1810">
        <v>491.46989999999988</v>
      </c>
    </row>
    <row r="1811" spans="1:10" x14ac:dyDescent="0.3">
      <c r="A1811" t="s">
        <v>3618</v>
      </c>
      <c r="B1811" s="1">
        <v>45546</v>
      </c>
      <c r="C1811" t="s">
        <v>336</v>
      </c>
      <c r="D1811" t="s">
        <v>1651</v>
      </c>
      <c r="E1811" t="s">
        <v>1775</v>
      </c>
      <c r="F1811">
        <v>1</v>
      </c>
      <c r="G1811">
        <v>141.85</v>
      </c>
      <c r="H1811">
        <v>0.06</v>
      </c>
      <c r="I1811" t="s">
        <v>1809</v>
      </c>
      <c r="J1811">
        <v>133.339</v>
      </c>
    </row>
    <row r="1812" spans="1:10" x14ac:dyDescent="0.3">
      <c r="A1812" t="s">
        <v>3619</v>
      </c>
      <c r="B1812" s="1">
        <v>45520</v>
      </c>
      <c r="C1812" t="s">
        <v>956</v>
      </c>
      <c r="D1812" t="s">
        <v>1601</v>
      </c>
      <c r="E1812" t="s">
        <v>1762</v>
      </c>
      <c r="F1812">
        <v>1</v>
      </c>
      <c r="G1812">
        <v>617.4</v>
      </c>
      <c r="H1812">
        <v>0.21</v>
      </c>
      <c r="I1812" t="s">
        <v>1807</v>
      </c>
      <c r="J1812">
        <v>487.74599999999998</v>
      </c>
    </row>
    <row r="1813" spans="1:10" x14ac:dyDescent="0.3">
      <c r="A1813" t="s">
        <v>3620</v>
      </c>
      <c r="B1813" s="1">
        <v>45534</v>
      </c>
      <c r="C1813" t="s">
        <v>491</v>
      </c>
      <c r="D1813" t="s">
        <v>1637</v>
      </c>
      <c r="E1813" t="s">
        <v>1740</v>
      </c>
      <c r="F1813">
        <v>3</v>
      </c>
      <c r="G1813">
        <v>841.47</v>
      </c>
      <c r="H1813">
        <v>0.15</v>
      </c>
      <c r="I1813" t="s">
        <v>1812</v>
      </c>
      <c r="J1813">
        <v>2145.7485000000001</v>
      </c>
    </row>
    <row r="1814" spans="1:10" x14ac:dyDescent="0.3">
      <c r="A1814" t="s">
        <v>3621</v>
      </c>
      <c r="B1814" s="1">
        <v>45334</v>
      </c>
      <c r="C1814" t="s">
        <v>218</v>
      </c>
      <c r="D1814" t="s">
        <v>1573</v>
      </c>
      <c r="E1814" t="s">
        <v>1780</v>
      </c>
      <c r="F1814">
        <v>2</v>
      </c>
      <c r="G1814">
        <v>960.41</v>
      </c>
      <c r="H1814">
        <v>0.18</v>
      </c>
      <c r="I1814" t="s">
        <v>1807</v>
      </c>
      <c r="J1814">
        <v>1575.0724</v>
      </c>
    </row>
    <row r="1815" spans="1:10" x14ac:dyDescent="0.3">
      <c r="A1815" t="s">
        <v>3622</v>
      </c>
      <c r="B1815" s="1">
        <v>45289</v>
      </c>
      <c r="C1815" t="s">
        <v>1379</v>
      </c>
      <c r="D1815" t="s">
        <v>1681</v>
      </c>
      <c r="E1815" t="s">
        <v>1793</v>
      </c>
      <c r="F1815">
        <v>3</v>
      </c>
      <c r="G1815">
        <v>717.22</v>
      </c>
      <c r="H1815">
        <v>0.24</v>
      </c>
      <c r="I1815" t="s">
        <v>1809</v>
      </c>
      <c r="J1815">
        <v>1635.2616</v>
      </c>
    </row>
    <row r="1816" spans="1:10" x14ac:dyDescent="0.3">
      <c r="A1816" t="s">
        <v>3623</v>
      </c>
      <c r="B1816" s="1">
        <v>45832</v>
      </c>
      <c r="C1816" t="s">
        <v>397</v>
      </c>
      <c r="D1816" t="s">
        <v>1555</v>
      </c>
      <c r="E1816" t="s">
        <v>1735</v>
      </c>
      <c r="F1816">
        <v>1</v>
      </c>
      <c r="G1816">
        <v>281.83</v>
      </c>
      <c r="H1816">
        <v>0.16</v>
      </c>
      <c r="I1816" t="s">
        <v>1812</v>
      </c>
      <c r="J1816">
        <v>236.7372</v>
      </c>
    </row>
    <row r="1817" spans="1:10" x14ac:dyDescent="0.3">
      <c r="A1817" t="s">
        <v>3624</v>
      </c>
      <c r="B1817" s="1">
        <v>45400</v>
      </c>
      <c r="C1817" t="s">
        <v>660</v>
      </c>
      <c r="D1817" t="s">
        <v>1649</v>
      </c>
      <c r="E1817" t="s">
        <v>1782</v>
      </c>
      <c r="F1817">
        <v>1</v>
      </c>
      <c r="G1817">
        <v>509.08</v>
      </c>
      <c r="H1817">
        <v>0.04</v>
      </c>
      <c r="I1817" t="s">
        <v>1809</v>
      </c>
      <c r="J1817">
        <v>488.71679999999998</v>
      </c>
    </row>
    <row r="1818" spans="1:10" x14ac:dyDescent="0.3">
      <c r="A1818" t="s">
        <v>3625</v>
      </c>
      <c r="B1818" s="1">
        <v>45930</v>
      </c>
      <c r="C1818" t="s">
        <v>1232</v>
      </c>
      <c r="D1818" t="s">
        <v>1723</v>
      </c>
      <c r="E1818" t="s">
        <v>1744</v>
      </c>
      <c r="F1818">
        <v>4</v>
      </c>
      <c r="G1818">
        <v>827.09</v>
      </c>
      <c r="H1818">
        <v>0.3</v>
      </c>
      <c r="I1818" t="s">
        <v>1807</v>
      </c>
      <c r="J1818">
        <v>2315.8519999999999</v>
      </c>
    </row>
    <row r="1819" spans="1:10" x14ac:dyDescent="0.3">
      <c r="A1819" t="s">
        <v>3626</v>
      </c>
      <c r="B1819" s="1">
        <v>45935</v>
      </c>
      <c r="C1819" t="s">
        <v>678</v>
      </c>
      <c r="D1819" t="s">
        <v>1589</v>
      </c>
      <c r="E1819" t="s">
        <v>1752</v>
      </c>
      <c r="F1819">
        <v>2</v>
      </c>
      <c r="G1819">
        <v>823.36</v>
      </c>
      <c r="H1819">
        <v>0.23</v>
      </c>
      <c r="I1819" t="s">
        <v>1807</v>
      </c>
      <c r="J1819">
        <v>1267.9744000000001</v>
      </c>
    </row>
    <row r="1820" spans="1:10" x14ac:dyDescent="0.3">
      <c r="A1820" t="s">
        <v>3627</v>
      </c>
      <c r="B1820" s="1">
        <v>45814</v>
      </c>
      <c r="C1820" t="s">
        <v>462</v>
      </c>
      <c r="D1820" t="s">
        <v>1583</v>
      </c>
      <c r="E1820" t="s">
        <v>1756</v>
      </c>
      <c r="F1820">
        <v>4</v>
      </c>
      <c r="G1820">
        <v>282.18</v>
      </c>
      <c r="H1820">
        <v>0.13</v>
      </c>
      <c r="I1820" t="s">
        <v>1812</v>
      </c>
      <c r="J1820">
        <v>981.9864</v>
      </c>
    </row>
    <row r="1821" spans="1:10" x14ac:dyDescent="0.3">
      <c r="A1821" t="s">
        <v>3628</v>
      </c>
      <c r="B1821" s="1">
        <v>45323</v>
      </c>
      <c r="C1821" t="s">
        <v>565</v>
      </c>
      <c r="D1821" t="s">
        <v>1573</v>
      </c>
      <c r="E1821" t="s">
        <v>1740</v>
      </c>
      <c r="F1821">
        <v>1</v>
      </c>
      <c r="G1821">
        <v>486.39</v>
      </c>
      <c r="H1821">
        <v>0.09</v>
      </c>
      <c r="I1821" t="s">
        <v>1812</v>
      </c>
      <c r="J1821">
        <v>442.61489999999998</v>
      </c>
    </row>
    <row r="1822" spans="1:10" x14ac:dyDescent="0.3">
      <c r="A1822" t="s">
        <v>3629</v>
      </c>
      <c r="B1822" s="1">
        <v>45312</v>
      </c>
      <c r="C1822" t="s">
        <v>171</v>
      </c>
      <c r="D1822" t="s">
        <v>1567</v>
      </c>
      <c r="E1822" t="s">
        <v>1749</v>
      </c>
      <c r="F1822">
        <v>2</v>
      </c>
      <c r="G1822">
        <v>603.62</v>
      </c>
      <c r="H1822">
        <v>0.18</v>
      </c>
      <c r="I1822" t="s">
        <v>1812</v>
      </c>
      <c r="J1822">
        <v>989.93680000000006</v>
      </c>
    </row>
    <row r="1823" spans="1:10" x14ac:dyDescent="0.3">
      <c r="A1823" t="s">
        <v>3630</v>
      </c>
      <c r="B1823" s="1">
        <v>45554</v>
      </c>
      <c r="C1823" t="s">
        <v>491</v>
      </c>
      <c r="D1823" t="s">
        <v>1605</v>
      </c>
      <c r="E1823" t="s">
        <v>1765</v>
      </c>
      <c r="F1823">
        <v>3</v>
      </c>
      <c r="G1823">
        <v>204.17</v>
      </c>
      <c r="H1823">
        <v>0.1</v>
      </c>
      <c r="I1823" t="s">
        <v>1809</v>
      </c>
      <c r="J1823">
        <v>551.25900000000001</v>
      </c>
    </row>
    <row r="1824" spans="1:10" x14ac:dyDescent="0.3">
      <c r="A1824" t="s">
        <v>3631</v>
      </c>
      <c r="B1824" s="1">
        <v>45310</v>
      </c>
      <c r="C1824" t="s">
        <v>462</v>
      </c>
      <c r="D1824" t="s">
        <v>1545</v>
      </c>
      <c r="E1824" t="s">
        <v>1784</v>
      </c>
      <c r="F1824">
        <v>1</v>
      </c>
      <c r="G1824">
        <v>43.58</v>
      </c>
      <c r="H1824">
        <v>0.01</v>
      </c>
      <c r="I1824" t="s">
        <v>1812</v>
      </c>
      <c r="J1824">
        <v>43.144199999999998</v>
      </c>
    </row>
    <row r="1825" spans="1:10" x14ac:dyDescent="0.3">
      <c r="A1825" t="s">
        <v>3632</v>
      </c>
      <c r="B1825" s="1">
        <v>45594</v>
      </c>
      <c r="C1825" t="s">
        <v>1033</v>
      </c>
      <c r="D1825" t="s">
        <v>1625</v>
      </c>
      <c r="E1825" t="s">
        <v>1744</v>
      </c>
      <c r="F1825">
        <v>3</v>
      </c>
      <c r="G1825">
        <v>469.33</v>
      </c>
      <c r="H1825">
        <v>0.14000000000000001</v>
      </c>
      <c r="I1825" t="s">
        <v>1809</v>
      </c>
      <c r="J1825">
        <v>1210.8714</v>
      </c>
    </row>
    <row r="1826" spans="1:10" x14ac:dyDescent="0.3">
      <c r="A1826" t="s">
        <v>3633</v>
      </c>
      <c r="B1826" s="1">
        <v>45840</v>
      </c>
      <c r="C1826" t="s">
        <v>675</v>
      </c>
      <c r="D1826" t="s">
        <v>1545</v>
      </c>
      <c r="E1826" t="s">
        <v>1765</v>
      </c>
      <c r="F1826">
        <v>4</v>
      </c>
      <c r="G1826">
        <v>836.23</v>
      </c>
      <c r="H1826">
        <v>0.12</v>
      </c>
      <c r="I1826" t="s">
        <v>1807</v>
      </c>
      <c r="J1826">
        <v>2943.5295999999998</v>
      </c>
    </row>
    <row r="1827" spans="1:10" x14ac:dyDescent="0.3">
      <c r="A1827" t="s">
        <v>3634</v>
      </c>
      <c r="B1827" s="1">
        <v>45549</v>
      </c>
      <c r="C1827" t="s">
        <v>583</v>
      </c>
      <c r="D1827" t="s">
        <v>1665</v>
      </c>
      <c r="E1827" t="s">
        <v>1796</v>
      </c>
      <c r="F1827">
        <v>2</v>
      </c>
      <c r="G1827">
        <v>661.53</v>
      </c>
      <c r="H1827">
        <v>0.2</v>
      </c>
      <c r="I1827" t="s">
        <v>1809</v>
      </c>
      <c r="J1827">
        <v>1058.4480000000001</v>
      </c>
    </row>
    <row r="1828" spans="1:10" x14ac:dyDescent="0.3">
      <c r="A1828" t="s">
        <v>3635</v>
      </c>
      <c r="B1828" s="1">
        <v>45903</v>
      </c>
      <c r="C1828" t="s">
        <v>406</v>
      </c>
      <c r="D1828" t="s">
        <v>1643</v>
      </c>
      <c r="E1828" t="s">
        <v>1787</v>
      </c>
      <c r="F1828">
        <v>3</v>
      </c>
      <c r="G1828">
        <v>753.47</v>
      </c>
      <c r="H1828">
        <v>0.25</v>
      </c>
      <c r="I1828" t="s">
        <v>1809</v>
      </c>
      <c r="J1828">
        <v>1695.3074999999999</v>
      </c>
    </row>
    <row r="1829" spans="1:10" x14ac:dyDescent="0.3">
      <c r="A1829" t="s">
        <v>3636</v>
      </c>
      <c r="B1829" s="1">
        <v>45673</v>
      </c>
      <c r="C1829" t="s">
        <v>518</v>
      </c>
      <c r="D1829" t="s">
        <v>1659</v>
      </c>
      <c r="E1829" t="s">
        <v>1735</v>
      </c>
      <c r="F1829">
        <v>3</v>
      </c>
      <c r="G1829">
        <v>713.95</v>
      </c>
      <c r="H1829">
        <v>0</v>
      </c>
      <c r="I1829" t="s">
        <v>1807</v>
      </c>
      <c r="J1829">
        <v>2141.85</v>
      </c>
    </row>
    <row r="1830" spans="1:10" x14ac:dyDescent="0.3">
      <c r="A1830" t="s">
        <v>3637</v>
      </c>
      <c r="B1830" s="1">
        <v>45395</v>
      </c>
      <c r="C1830" t="s">
        <v>348</v>
      </c>
      <c r="D1830" t="s">
        <v>1553</v>
      </c>
      <c r="E1830" t="s">
        <v>1756</v>
      </c>
      <c r="F1830">
        <v>3</v>
      </c>
      <c r="G1830">
        <v>596</v>
      </c>
      <c r="H1830">
        <v>0.28000000000000003</v>
      </c>
      <c r="I1830" t="s">
        <v>1812</v>
      </c>
      <c r="J1830">
        <v>1287.3599999999999</v>
      </c>
    </row>
    <row r="1831" spans="1:10" x14ac:dyDescent="0.3">
      <c r="A1831" t="s">
        <v>3638</v>
      </c>
      <c r="B1831" s="1">
        <v>45379</v>
      </c>
      <c r="C1831" t="s">
        <v>1039</v>
      </c>
      <c r="D1831" t="s">
        <v>1548</v>
      </c>
      <c r="E1831" t="s">
        <v>1769</v>
      </c>
      <c r="F1831">
        <v>2</v>
      </c>
      <c r="G1831">
        <v>169.46</v>
      </c>
      <c r="H1831">
        <v>0.03</v>
      </c>
      <c r="I1831" t="s">
        <v>1809</v>
      </c>
      <c r="J1831">
        <v>328.75240000000002</v>
      </c>
    </row>
    <row r="1832" spans="1:10" x14ac:dyDescent="0.3">
      <c r="A1832" t="s">
        <v>3639</v>
      </c>
      <c r="B1832" s="1">
        <v>45860</v>
      </c>
      <c r="C1832" t="s">
        <v>939</v>
      </c>
      <c r="D1832" t="s">
        <v>1661</v>
      </c>
      <c r="E1832" t="s">
        <v>1782</v>
      </c>
      <c r="F1832">
        <v>4</v>
      </c>
      <c r="G1832">
        <v>611.91999999999996</v>
      </c>
      <c r="H1832">
        <v>0.2</v>
      </c>
      <c r="I1832" t="s">
        <v>1809</v>
      </c>
      <c r="J1832">
        <v>1958.144</v>
      </c>
    </row>
    <row r="1833" spans="1:10" x14ac:dyDescent="0.3">
      <c r="A1833" t="s">
        <v>3640</v>
      </c>
      <c r="B1833" s="1">
        <v>45704</v>
      </c>
      <c r="C1833" t="s">
        <v>23</v>
      </c>
      <c r="D1833" t="s">
        <v>1679</v>
      </c>
      <c r="E1833" t="s">
        <v>1784</v>
      </c>
      <c r="F1833">
        <v>2</v>
      </c>
      <c r="G1833">
        <v>25.3</v>
      </c>
      <c r="H1833">
        <v>0.21</v>
      </c>
      <c r="I1833" t="s">
        <v>1807</v>
      </c>
      <c r="J1833">
        <v>39.973999999999997</v>
      </c>
    </row>
    <row r="1834" spans="1:10" x14ac:dyDescent="0.3">
      <c r="A1834" t="s">
        <v>3641</v>
      </c>
      <c r="B1834" s="1">
        <v>45327</v>
      </c>
      <c r="C1834" t="s">
        <v>1327</v>
      </c>
      <c r="D1834" t="s">
        <v>1677</v>
      </c>
      <c r="E1834" t="s">
        <v>1772</v>
      </c>
      <c r="F1834">
        <v>4</v>
      </c>
      <c r="G1834">
        <v>166.93</v>
      </c>
      <c r="H1834">
        <v>0.02</v>
      </c>
      <c r="I1834" t="s">
        <v>1809</v>
      </c>
      <c r="J1834">
        <v>654.36559999999997</v>
      </c>
    </row>
    <row r="1835" spans="1:10" x14ac:dyDescent="0.3">
      <c r="A1835" t="s">
        <v>3642</v>
      </c>
      <c r="B1835" s="1">
        <v>45721</v>
      </c>
      <c r="C1835" t="s">
        <v>882</v>
      </c>
      <c r="D1835" t="s">
        <v>1651</v>
      </c>
      <c r="E1835" t="s">
        <v>1775</v>
      </c>
      <c r="F1835">
        <v>4</v>
      </c>
      <c r="G1835">
        <v>861.55</v>
      </c>
      <c r="H1835">
        <v>0.12</v>
      </c>
      <c r="I1835" t="s">
        <v>1807</v>
      </c>
      <c r="J1835">
        <v>3032.6559999999999</v>
      </c>
    </row>
    <row r="1836" spans="1:10" x14ac:dyDescent="0.3">
      <c r="A1836" t="s">
        <v>3643</v>
      </c>
      <c r="B1836" s="1">
        <v>45842</v>
      </c>
      <c r="C1836" t="s">
        <v>1115</v>
      </c>
      <c r="D1836" t="s">
        <v>1617</v>
      </c>
      <c r="E1836" t="s">
        <v>1756</v>
      </c>
      <c r="F1836">
        <v>3</v>
      </c>
      <c r="G1836">
        <v>56.17</v>
      </c>
      <c r="H1836">
        <v>0.01</v>
      </c>
      <c r="I1836" t="s">
        <v>1812</v>
      </c>
      <c r="J1836">
        <v>166.82490000000001</v>
      </c>
    </row>
    <row r="1837" spans="1:10" x14ac:dyDescent="0.3">
      <c r="A1837" t="s">
        <v>3644</v>
      </c>
      <c r="B1837" s="1">
        <v>45862</v>
      </c>
      <c r="C1837" t="s">
        <v>842</v>
      </c>
      <c r="D1837" t="s">
        <v>1561</v>
      </c>
      <c r="E1837" t="s">
        <v>1796</v>
      </c>
      <c r="F1837">
        <v>1</v>
      </c>
      <c r="G1837">
        <v>582.29</v>
      </c>
      <c r="H1837">
        <v>0.2</v>
      </c>
      <c r="I1837" t="s">
        <v>1807</v>
      </c>
      <c r="J1837">
        <v>465.83199999999999</v>
      </c>
    </row>
    <row r="1838" spans="1:10" x14ac:dyDescent="0.3">
      <c r="A1838" t="s">
        <v>3645</v>
      </c>
      <c r="B1838" s="1">
        <v>45681</v>
      </c>
      <c r="C1838" t="s">
        <v>826</v>
      </c>
      <c r="D1838" t="s">
        <v>1697</v>
      </c>
      <c r="E1838" t="s">
        <v>1735</v>
      </c>
      <c r="F1838">
        <v>3</v>
      </c>
      <c r="G1838">
        <v>63.96</v>
      </c>
      <c r="H1838">
        <v>0.02</v>
      </c>
      <c r="I1838" t="s">
        <v>1807</v>
      </c>
      <c r="J1838">
        <v>188.04239999999999</v>
      </c>
    </row>
    <row r="1839" spans="1:10" x14ac:dyDescent="0.3">
      <c r="A1839" t="s">
        <v>3646</v>
      </c>
      <c r="B1839" s="1">
        <v>45392</v>
      </c>
      <c r="C1839" t="s">
        <v>238</v>
      </c>
      <c r="D1839" t="s">
        <v>1548</v>
      </c>
      <c r="E1839" t="s">
        <v>1777</v>
      </c>
      <c r="F1839">
        <v>1</v>
      </c>
      <c r="G1839">
        <v>829.83</v>
      </c>
      <c r="H1839">
        <v>0.26</v>
      </c>
      <c r="I1839" t="s">
        <v>1812</v>
      </c>
      <c r="J1839">
        <v>614.07420000000002</v>
      </c>
    </row>
    <row r="1840" spans="1:10" x14ac:dyDescent="0.3">
      <c r="A1840" t="s">
        <v>3647</v>
      </c>
      <c r="B1840" s="1">
        <v>45586</v>
      </c>
      <c r="C1840" t="s">
        <v>1144</v>
      </c>
      <c r="D1840" t="s">
        <v>1599</v>
      </c>
      <c r="E1840" t="s">
        <v>1787</v>
      </c>
      <c r="F1840">
        <v>2</v>
      </c>
      <c r="G1840">
        <v>858.15</v>
      </c>
      <c r="H1840">
        <v>0.03</v>
      </c>
      <c r="I1840" t="s">
        <v>1807</v>
      </c>
      <c r="J1840">
        <v>1664.8109999999999</v>
      </c>
    </row>
    <row r="1841" spans="1:10" x14ac:dyDescent="0.3">
      <c r="A1841" t="s">
        <v>3648</v>
      </c>
      <c r="B1841" s="1">
        <v>45340</v>
      </c>
      <c r="C1841" t="s">
        <v>1112</v>
      </c>
      <c r="D1841" t="s">
        <v>1677</v>
      </c>
      <c r="E1841" t="s">
        <v>1780</v>
      </c>
      <c r="F1841">
        <v>3</v>
      </c>
      <c r="G1841">
        <v>717.32</v>
      </c>
      <c r="H1841">
        <v>0.23</v>
      </c>
      <c r="I1841" t="s">
        <v>1812</v>
      </c>
      <c r="J1841">
        <v>1657.0092</v>
      </c>
    </row>
    <row r="1842" spans="1:10" x14ac:dyDescent="0.3">
      <c r="A1842" t="s">
        <v>3649</v>
      </c>
      <c r="B1842" s="1">
        <v>45853</v>
      </c>
      <c r="C1842" t="s">
        <v>1312</v>
      </c>
      <c r="D1842" t="s">
        <v>1697</v>
      </c>
      <c r="E1842" t="s">
        <v>1777</v>
      </c>
      <c r="F1842">
        <v>1</v>
      </c>
      <c r="G1842">
        <v>163.19999999999999</v>
      </c>
      <c r="H1842">
        <v>0.22</v>
      </c>
      <c r="I1842" t="s">
        <v>1809</v>
      </c>
      <c r="J1842">
        <v>127.29600000000001</v>
      </c>
    </row>
    <row r="1843" spans="1:10" x14ac:dyDescent="0.3">
      <c r="A1843" t="s">
        <v>3650</v>
      </c>
      <c r="B1843" s="1">
        <v>45489</v>
      </c>
      <c r="C1843" t="s">
        <v>430</v>
      </c>
      <c r="D1843" t="s">
        <v>1693</v>
      </c>
      <c r="E1843" t="s">
        <v>1777</v>
      </c>
      <c r="F1843">
        <v>2</v>
      </c>
      <c r="G1843">
        <v>966.71</v>
      </c>
      <c r="H1843">
        <v>0.11</v>
      </c>
      <c r="I1843" t="s">
        <v>1807</v>
      </c>
      <c r="J1843">
        <v>1720.7438</v>
      </c>
    </row>
    <row r="1844" spans="1:10" x14ac:dyDescent="0.3">
      <c r="A1844" t="s">
        <v>3651</v>
      </c>
      <c r="B1844" s="1">
        <v>45761</v>
      </c>
      <c r="C1844" t="s">
        <v>1080</v>
      </c>
      <c r="D1844" t="s">
        <v>1601</v>
      </c>
      <c r="E1844" t="s">
        <v>1780</v>
      </c>
      <c r="F1844">
        <v>2</v>
      </c>
      <c r="G1844">
        <v>873.94</v>
      </c>
      <c r="H1844">
        <v>0.14000000000000001</v>
      </c>
      <c r="I1844" t="s">
        <v>1812</v>
      </c>
      <c r="J1844">
        <v>1503.1768</v>
      </c>
    </row>
    <row r="1845" spans="1:10" x14ac:dyDescent="0.3">
      <c r="A1845" t="s">
        <v>3652</v>
      </c>
      <c r="B1845" s="1">
        <v>45379</v>
      </c>
      <c r="C1845" t="s">
        <v>497</v>
      </c>
      <c r="D1845" t="s">
        <v>1526</v>
      </c>
      <c r="E1845" t="s">
        <v>1749</v>
      </c>
      <c r="F1845">
        <v>1</v>
      </c>
      <c r="G1845">
        <v>140.24</v>
      </c>
      <c r="H1845">
        <v>0.27</v>
      </c>
      <c r="I1845" t="s">
        <v>1807</v>
      </c>
      <c r="J1845">
        <v>102.37520000000001</v>
      </c>
    </row>
    <row r="1846" spans="1:10" x14ac:dyDescent="0.3">
      <c r="A1846" t="s">
        <v>3653</v>
      </c>
      <c r="B1846" s="1">
        <v>45716</v>
      </c>
      <c r="C1846" t="s">
        <v>651</v>
      </c>
      <c r="D1846" t="s">
        <v>1617</v>
      </c>
      <c r="E1846" t="s">
        <v>1756</v>
      </c>
      <c r="F1846">
        <v>2</v>
      </c>
      <c r="G1846">
        <v>549.91999999999996</v>
      </c>
      <c r="H1846">
        <v>0.28000000000000003</v>
      </c>
      <c r="I1846" t="s">
        <v>1807</v>
      </c>
      <c r="J1846">
        <v>791.88479999999993</v>
      </c>
    </row>
    <row r="1847" spans="1:10" x14ac:dyDescent="0.3">
      <c r="A1847" t="s">
        <v>3654</v>
      </c>
      <c r="B1847" s="1">
        <v>45364</v>
      </c>
      <c r="C1847" t="s">
        <v>385</v>
      </c>
      <c r="D1847" t="s">
        <v>1565</v>
      </c>
      <c r="E1847" t="s">
        <v>1756</v>
      </c>
      <c r="F1847">
        <v>4</v>
      </c>
      <c r="G1847">
        <v>715.88</v>
      </c>
      <c r="H1847">
        <v>0.19</v>
      </c>
      <c r="I1847" t="s">
        <v>1809</v>
      </c>
      <c r="J1847">
        <v>2319.4512</v>
      </c>
    </row>
    <row r="1848" spans="1:10" x14ac:dyDescent="0.3">
      <c r="A1848" t="s">
        <v>3655</v>
      </c>
      <c r="B1848" s="1">
        <v>45752</v>
      </c>
      <c r="C1848" t="s">
        <v>1147</v>
      </c>
      <c r="D1848" t="s">
        <v>1532</v>
      </c>
      <c r="E1848" t="s">
        <v>1765</v>
      </c>
      <c r="F1848">
        <v>3</v>
      </c>
      <c r="G1848">
        <v>591.9</v>
      </c>
      <c r="H1848">
        <v>0.27</v>
      </c>
      <c r="I1848" t="s">
        <v>1807</v>
      </c>
      <c r="J1848">
        <v>1296.261</v>
      </c>
    </row>
    <row r="1849" spans="1:10" x14ac:dyDescent="0.3">
      <c r="A1849" t="s">
        <v>3656</v>
      </c>
      <c r="B1849" s="1">
        <v>45883</v>
      </c>
      <c r="C1849" t="s">
        <v>1159</v>
      </c>
      <c r="D1849" t="s">
        <v>1575</v>
      </c>
      <c r="E1849" t="s">
        <v>1772</v>
      </c>
      <c r="F1849">
        <v>2</v>
      </c>
      <c r="G1849">
        <v>523.14</v>
      </c>
      <c r="H1849">
        <v>0.13</v>
      </c>
      <c r="I1849" t="s">
        <v>1809</v>
      </c>
      <c r="J1849">
        <v>910.2636</v>
      </c>
    </row>
    <row r="1850" spans="1:10" x14ac:dyDescent="0.3">
      <c r="A1850" t="s">
        <v>3657</v>
      </c>
      <c r="B1850" s="1">
        <v>45477</v>
      </c>
      <c r="C1850" t="s">
        <v>724</v>
      </c>
      <c r="D1850" t="s">
        <v>1669</v>
      </c>
      <c r="E1850" t="s">
        <v>1782</v>
      </c>
      <c r="F1850">
        <v>2</v>
      </c>
      <c r="G1850">
        <v>478.62</v>
      </c>
      <c r="H1850">
        <v>0.17</v>
      </c>
      <c r="I1850" t="s">
        <v>1812</v>
      </c>
      <c r="J1850">
        <v>794.50919999999996</v>
      </c>
    </row>
    <row r="1851" spans="1:10" x14ac:dyDescent="0.3">
      <c r="A1851" t="s">
        <v>3658</v>
      </c>
      <c r="B1851" s="1">
        <v>45556</v>
      </c>
      <c r="C1851" t="s">
        <v>936</v>
      </c>
      <c r="D1851" t="s">
        <v>1695</v>
      </c>
      <c r="E1851" t="s">
        <v>1740</v>
      </c>
      <c r="F1851">
        <v>4</v>
      </c>
      <c r="G1851">
        <v>740.5</v>
      </c>
      <c r="H1851">
        <v>0.17</v>
      </c>
      <c r="I1851" t="s">
        <v>1809</v>
      </c>
      <c r="J1851">
        <v>2458.46</v>
      </c>
    </row>
    <row r="1852" spans="1:10" x14ac:dyDescent="0.3">
      <c r="A1852" t="s">
        <v>3659</v>
      </c>
      <c r="B1852" s="1">
        <v>45465</v>
      </c>
      <c r="C1852" t="s">
        <v>388</v>
      </c>
      <c r="D1852" t="s">
        <v>1623</v>
      </c>
      <c r="E1852" t="s">
        <v>1744</v>
      </c>
      <c r="F1852">
        <v>1</v>
      </c>
      <c r="G1852">
        <v>780.24</v>
      </c>
      <c r="H1852">
        <v>0.04</v>
      </c>
      <c r="I1852" t="s">
        <v>1812</v>
      </c>
      <c r="J1852">
        <v>749.03039999999999</v>
      </c>
    </row>
    <row r="1853" spans="1:10" x14ac:dyDescent="0.3">
      <c r="A1853" t="s">
        <v>3660</v>
      </c>
      <c r="B1853" s="1">
        <v>45552</v>
      </c>
      <c r="C1853" t="s">
        <v>373</v>
      </c>
      <c r="D1853" t="s">
        <v>1671</v>
      </c>
      <c r="E1853" t="s">
        <v>1787</v>
      </c>
      <c r="F1853">
        <v>4</v>
      </c>
      <c r="G1853">
        <v>579.24</v>
      </c>
      <c r="H1853">
        <v>0.04</v>
      </c>
      <c r="I1853" t="s">
        <v>1812</v>
      </c>
      <c r="J1853">
        <v>2224.2815999999998</v>
      </c>
    </row>
    <row r="1854" spans="1:10" x14ac:dyDescent="0.3">
      <c r="A1854" t="s">
        <v>3661</v>
      </c>
      <c r="B1854" s="1">
        <v>45635</v>
      </c>
      <c r="C1854" t="s">
        <v>1147</v>
      </c>
      <c r="D1854" t="s">
        <v>1529</v>
      </c>
      <c r="E1854" t="s">
        <v>1744</v>
      </c>
      <c r="F1854">
        <v>3</v>
      </c>
      <c r="G1854">
        <v>268.95</v>
      </c>
      <c r="H1854">
        <v>0.04</v>
      </c>
      <c r="I1854" t="s">
        <v>1809</v>
      </c>
      <c r="J1854">
        <v>774.57599999999991</v>
      </c>
    </row>
    <row r="1855" spans="1:10" x14ac:dyDescent="0.3">
      <c r="A1855" t="s">
        <v>3662</v>
      </c>
      <c r="B1855" s="1">
        <v>45740</v>
      </c>
      <c r="C1855" t="s">
        <v>953</v>
      </c>
      <c r="D1855" t="s">
        <v>1538</v>
      </c>
      <c r="E1855" t="s">
        <v>1752</v>
      </c>
      <c r="F1855">
        <v>1</v>
      </c>
      <c r="G1855">
        <v>47.47</v>
      </c>
      <c r="H1855">
        <v>0.28000000000000003</v>
      </c>
      <c r="I1855" t="s">
        <v>1807</v>
      </c>
      <c r="J1855">
        <v>34.178400000000003</v>
      </c>
    </row>
    <row r="1856" spans="1:10" x14ac:dyDescent="0.3">
      <c r="A1856" t="s">
        <v>3663</v>
      </c>
      <c r="B1856" s="1">
        <v>45796</v>
      </c>
      <c r="C1856" t="s">
        <v>814</v>
      </c>
      <c r="D1856" t="s">
        <v>1597</v>
      </c>
      <c r="E1856" t="s">
        <v>1790</v>
      </c>
      <c r="F1856">
        <v>3</v>
      </c>
      <c r="G1856">
        <v>858.81</v>
      </c>
      <c r="H1856">
        <v>7.0000000000000007E-2</v>
      </c>
      <c r="I1856" t="s">
        <v>1807</v>
      </c>
      <c r="J1856">
        <v>2396.0799000000002</v>
      </c>
    </row>
    <row r="1857" spans="1:10" x14ac:dyDescent="0.3">
      <c r="A1857" t="s">
        <v>3664</v>
      </c>
      <c r="B1857" s="1">
        <v>45710</v>
      </c>
      <c r="C1857" t="s">
        <v>968</v>
      </c>
      <c r="D1857" t="s">
        <v>1569</v>
      </c>
      <c r="E1857" t="s">
        <v>1772</v>
      </c>
      <c r="F1857">
        <v>3</v>
      </c>
      <c r="G1857">
        <v>569.98</v>
      </c>
      <c r="H1857">
        <v>0.05</v>
      </c>
      <c r="I1857" t="s">
        <v>1807</v>
      </c>
      <c r="J1857">
        <v>1624.443</v>
      </c>
    </row>
    <row r="1858" spans="1:10" x14ac:dyDescent="0.3">
      <c r="A1858" t="s">
        <v>3665</v>
      </c>
      <c r="B1858" s="1">
        <v>45596</v>
      </c>
      <c r="C1858" t="s">
        <v>1018</v>
      </c>
      <c r="D1858" t="s">
        <v>1679</v>
      </c>
      <c r="E1858" t="s">
        <v>1777</v>
      </c>
      <c r="F1858">
        <v>3</v>
      </c>
      <c r="G1858">
        <v>306.52</v>
      </c>
      <c r="H1858">
        <v>0.01</v>
      </c>
      <c r="I1858" t="s">
        <v>1812</v>
      </c>
      <c r="J1858">
        <v>910.36439999999993</v>
      </c>
    </row>
    <row r="1859" spans="1:10" x14ac:dyDescent="0.3">
      <c r="A1859" t="s">
        <v>3666</v>
      </c>
      <c r="B1859" s="1">
        <v>45354</v>
      </c>
      <c r="C1859" t="s">
        <v>235</v>
      </c>
      <c r="D1859" t="s">
        <v>1643</v>
      </c>
      <c r="E1859" t="s">
        <v>1780</v>
      </c>
      <c r="F1859">
        <v>3</v>
      </c>
      <c r="G1859">
        <v>184.67</v>
      </c>
      <c r="H1859">
        <v>0.03</v>
      </c>
      <c r="I1859" t="s">
        <v>1812</v>
      </c>
      <c r="J1859">
        <v>537.38969999999995</v>
      </c>
    </row>
    <row r="1860" spans="1:10" x14ac:dyDescent="0.3">
      <c r="A1860" t="s">
        <v>3667</v>
      </c>
      <c r="B1860" s="1">
        <v>45428</v>
      </c>
      <c r="C1860" t="s">
        <v>1467</v>
      </c>
      <c r="D1860" t="s">
        <v>1583</v>
      </c>
      <c r="E1860" t="s">
        <v>1756</v>
      </c>
      <c r="F1860">
        <v>4</v>
      </c>
      <c r="G1860">
        <v>189.56</v>
      </c>
      <c r="H1860">
        <v>0</v>
      </c>
      <c r="I1860" t="s">
        <v>1812</v>
      </c>
      <c r="J1860">
        <v>758.24</v>
      </c>
    </row>
    <row r="1861" spans="1:10" x14ac:dyDescent="0.3">
      <c r="A1861" t="s">
        <v>3668</v>
      </c>
      <c r="B1861" s="1">
        <v>45511</v>
      </c>
      <c r="C1861" t="s">
        <v>672</v>
      </c>
      <c r="D1861" t="s">
        <v>1681</v>
      </c>
      <c r="E1861" t="s">
        <v>1756</v>
      </c>
      <c r="F1861">
        <v>1</v>
      </c>
      <c r="G1861">
        <v>805.24</v>
      </c>
      <c r="H1861">
        <v>0.04</v>
      </c>
      <c r="I1861" t="s">
        <v>1809</v>
      </c>
      <c r="J1861">
        <v>773.03039999999999</v>
      </c>
    </row>
    <row r="1862" spans="1:10" x14ac:dyDescent="0.3">
      <c r="A1862" t="s">
        <v>3669</v>
      </c>
      <c r="B1862" s="1">
        <v>45549</v>
      </c>
      <c r="C1862" t="s">
        <v>613</v>
      </c>
      <c r="D1862" t="s">
        <v>1639</v>
      </c>
      <c r="E1862" t="s">
        <v>1790</v>
      </c>
      <c r="F1862">
        <v>3</v>
      </c>
      <c r="G1862">
        <v>683.74</v>
      </c>
      <c r="H1862">
        <v>0.24</v>
      </c>
      <c r="I1862" t="s">
        <v>1807</v>
      </c>
      <c r="J1862">
        <v>1558.9272000000001</v>
      </c>
    </row>
    <row r="1863" spans="1:10" x14ac:dyDescent="0.3">
      <c r="A1863" t="s">
        <v>3670</v>
      </c>
      <c r="B1863" s="1">
        <v>45573</v>
      </c>
      <c r="C1863" t="s">
        <v>678</v>
      </c>
      <c r="D1863" t="s">
        <v>1643</v>
      </c>
      <c r="E1863" t="s">
        <v>1793</v>
      </c>
      <c r="F1863">
        <v>3</v>
      </c>
      <c r="G1863">
        <v>439.21</v>
      </c>
      <c r="H1863">
        <v>0.28000000000000003</v>
      </c>
      <c r="I1863" t="s">
        <v>1812</v>
      </c>
      <c r="J1863">
        <v>948.69359999999983</v>
      </c>
    </row>
    <row r="1864" spans="1:10" x14ac:dyDescent="0.3">
      <c r="A1864" t="s">
        <v>3671</v>
      </c>
      <c r="B1864" s="1">
        <v>45904</v>
      </c>
      <c r="C1864" t="s">
        <v>409</v>
      </c>
      <c r="D1864" t="s">
        <v>1663</v>
      </c>
      <c r="E1864" t="s">
        <v>1759</v>
      </c>
      <c r="F1864">
        <v>1</v>
      </c>
      <c r="G1864">
        <v>126.92</v>
      </c>
      <c r="H1864">
        <v>0.24</v>
      </c>
      <c r="I1864" t="s">
        <v>1812</v>
      </c>
      <c r="J1864">
        <v>96.459199999999996</v>
      </c>
    </row>
    <row r="1865" spans="1:10" x14ac:dyDescent="0.3">
      <c r="A1865" t="s">
        <v>3672</v>
      </c>
      <c r="B1865" s="1">
        <v>45489</v>
      </c>
      <c r="C1865" t="s">
        <v>27</v>
      </c>
      <c r="D1865" t="s">
        <v>1677</v>
      </c>
      <c r="E1865" t="s">
        <v>1752</v>
      </c>
      <c r="F1865">
        <v>4</v>
      </c>
      <c r="G1865">
        <v>834.7</v>
      </c>
      <c r="H1865">
        <v>0.14000000000000001</v>
      </c>
      <c r="I1865" t="s">
        <v>1807</v>
      </c>
      <c r="J1865">
        <v>2871.3679999999999</v>
      </c>
    </row>
    <row r="1866" spans="1:10" x14ac:dyDescent="0.3">
      <c r="A1866" t="s">
        <v>3673</v>
      </c>
      <c r="B1866" s="1">
        <v>45909</v>
      </c>
      <c r="C1866" t="s">
        <v>1060</v>
      </c>
      <c r="D1866" t="s">
        <v>1615</v>
      </c>
      <c r="E1866" t="s">
        <v>1775</v>
      </c>
      <c r="F1866">
        <v>2</v>
      </c>
      <c r="G1866">
        <v>271.88</v>
      </c>
      <c r="H1866">
        <v>0.11</v>
      </c>
      <c r="I1866" t="s">
        <v>1812</v>
      </c>
      <c r="J1866">
        <v>483.94639999999998</v>
      </c>
    </row>
    <row r="1867" spans="1:10" x14ac:dyDescent="0.3">
      <c r="A1867" t="s">
        <v>3674</v>
      </c>
      <c r="B1867" s="1">
        <v>45720</v>
      </c>
      <c r="C1867" t="s">
        <v>1461</v>
      </c>
      <c r="D1867" t="s">
        <v>1553</v>
      </c>
      <c r="E1867" t="s">
        <v>1740</v>
      </c>
      <c r="F1867">
        <v>4</v>
      </c>
      <c r="G1867">
        <v>972.14</v>
      </c>
      <c r="H1867">
        <v>0.25</v>
      </c>
      <c r="I1867" t="s">
        <v>1807</v>
      </c>
      <c r="J1867">
        <v>2916.42</v>
      </c>
    </row>
    <row r="1868" spans="1:10" x14ac:dyDescent="0.3">
      <c r="A1868" t="s">
        <v>3675</v>
      </c>
      <c r="B1868" s="1">
        <v>45831</v>
      </c>
      <c r="C1868" t="s">
        <v>330</v>
      </c>
      <c r="D1868" t="s">
        <v>1617</v>
      </c>
      <c r="E1868" t="s">
        <v>1752</v>
      </c>
      <c r="F1868">
        <v>3</v>
      </c>
      <c r="G1868">
        <v>523.66</v>
      </c>
      <c r="H1868">
        <v>0.27</v>
      </c>
      <c r="I1868" t="s">
        <v>1809</v>
      </c>
      <c r="J1868">
        <v>1146.8154</v>
      </c>
    </row>
    <row r="1869" spans="1:10" x14ac:dyDescent="0.3">
      <c r="A1869" t="s">
        <v>3676</v>
      </c>
      <c r="B1869" s="1">
        <v>45602</v>
      </c>
      <c r="C1869" t="s">
        <v>494</v>
      </c>
      <c r="D1869" t="s">
        <v>1659</v>
      </c>
      <c r="E1869" t="s">
        <v>1744</v>
      </c>
      <c r="F1869">
        <v>4</v>
      </c>
      <c r="G1869">
        <v>838.99</v>
      </c>
      <c r="H1869">
        <v>0.16</v>
      </c>
      <c r="I1869" t="s">
        <v>1807</v>
      </c>
      <c r="J1869">
        <v>2819.0064000000002</v>
      </c>
    </row>
    <row r="1870" spans="1:10" x14ac:dyDescent="0.3">
      <c r="A1870" t="s">
        <v>3677</v>
      </c>
      <c r="B1870" s="1">
        <v>45722</v>
      </c>
      <c r="C1870" t="s">
        <v>456</v>
      </c>
      <c r="D1870" t="s">
        <v>1553</v>
      </c>
      <c r="E1870" t="s">
        <v>1790</v>
      </c>
      <c r="F1870">
        <v>4</v>
      </c>
      <c r="G1870">
        <v>838.7</v>
      </c>
      <c r="H1870">
        <v>0.21</v>
      </c>
      <c r="I1870" t="s">
        <v>1812</v>
      </c>
      <c r="J1870">
        <v>2650.2919999999999</v>
      </c>
    </row>
    <row r="1871" spans="1:10" x14ac:dyDescent="0.3">
      <c r="A1871" t="s">
        <v>3678</v>
      </c>
      <c r="B1871" s="1">
        <v>45794</v>
      </c>
      <c r="C1871" t="s">
        <v>1290</v>
      </c>
      <c r="D1871" t="s">
        <v>1679</v>
      </c>
      <c r="E1871" t="s">
        <v>1765</v>
      </c>
      <c r="F1871">
        <v>3</v>
      </c>
      <c r="G1871">
        <v>943.24</v>
      </c>
      <c r="H1871">
        <v>0.21</v>
      </c>
      <c r="I1871" t="s">
        <v>1807</v>
      </c>
      <c r="J1871">
        <v>2235.4787999999999</v>
      </c>
    </row>
    <row r="1872" spans="1:10" x14ac:dyDescent="0.3">
      <c r="A1872" t="s">
        <v>3679</v>
      </c>
      <c r="B1872" s="1">
        <v>45659</v>
      </c>
      <c r="C1872" t="s">
        <v>936</v>
      </c>
      <c r="D1872" t="s">
        <v>1526</v>
      </c>
      <c r="E1872" t="s">
        <v>1790</v>
      </c>
      <c r="F1872">
        <v>2</v>
      </c>
      <c r="G1872">
        <v>310.33</v>
      </c>
      <c r="H1872">
        <v>0.26</v>
      </c>
      <c r="I1872" t="s">
        <v>1807</v>
      </c>
      <c r="J1872">
        <v>459.28840000000002</v>
      </c>
    </row>
    <row r="1873" spans="1:10" x14ac:dyDescent="0.3">
      <c r="A1873" t="s">
        <v>3680</v>
      </c>
      <c r="B1873" s="1">
        <v>45501</v>
      </c>
      <c r="C1873" t="s">
        <v>1075</v>
      </c>
      <c r="D1873" t="s">
        <v>1621</v>
      </c>
      <c r="E1873" t="s">
        <v>1735</v>
      </c>
      <c r="F1873">
        <v>3</v>
      </c>
      <c r="G1873">
        <v>201.05</v>
      </c>
      <c r="H1873">
        <v>0.23</v>
      </c>
      <c r="I1873" t="s">
        <v>1809</v>
      </c>
      <c r="J1873">
        <v>464.42550000000011</v>
      </c>
    </row>
    <row r="1874" spans="1:10" x14ac:dyDescent="0.3">
      <c r="A1874" t="s">
        <v>3681</v>
      </c>
      <c r="B1874" s="1">
        <v>45408</v>
      </c>
      <c r="C1874" t="s">
        <v>800</v>
      </c>
      <c r="D1874" t="s">
        <v>1647</v>
      </c>
      <c r="E1874" t="s">
        <v>1790</v>
      </c>
      <c r="F1874">
        <v>1</v>
      </c>
      <c r="G1874">
        <v>803.37</v>
      </c>
      <c r="H1874">
        <v>0.3</v>
      </c>
      <c r="I1874" t="s">
        <v>1809</v>
      </c>
      <c r="J1874">
        <v>562.35899999999992</v>
      </c>
    </row>
    <row r="1875" spans="1:10" x14ac:dyDescent="0.3">
      <c r="A1875" t="s">
        <v>3682</v>
      </c>
      <c r="B1875" s="1">
        <v>45886</v>
      </c>
      <c r="C1875" t="s">
        <v>143</v>
      </c>
      <c r="D1875" t="s">
        <v>1653</v>
      </c>
      <c r="E1875" t="s">
        <v>1784</v>
      </c>
      <c r="F1875">
        <v>3</v>
      </c>
      <c r="G1875">
        <v>259.98</v>
      </c>
      <c r="H1875">
        <v>7.0000000000000007E-2</v>
      </c>
      <c r="I1875" t="s">
        <v>1812</v>
      </c>
      <c r="J1875">
        <v>725.3442</v>
      </c>
    </row>
    <row r="1876" spans="1:10" x14ac:dyDescent="0.3">
      <c r="A1876" t="s">
        <v>3683</v>
      </c>
      <c r="B1876" s="1">
        <v>45426</v>
      </c>
      <c r="C1876" t="s">
        <v>423</v>
      </c>
      <c r="D1876" t="s">
        <v>1532</v>
      </c>
      <c r="E1876" t="s">
        <v>1749</v>
      </c>
      <c r="F1876">
        <v>4</v>
      </c>
      <c r="G1876">
        <v>591.9</v>
      </c>
      <c r="H1876">
        <v>0.2</v>
      </c>
      <c r="I1876" t="s">
        <v>1809</v>
      </c>
      <c r="J1876">
        <v>1894.08</v>
      </c>
    </row>
    <row r="1877" spans="1:10" x14ac:dyDescent="0.3">
      <c r="A1877" t="s">
        <v>3684</v>
      </c>
      <c r="B1877" s="1">
        <v>45730</v>
      </c>
      <c r="C1877" t="s">
        <v>127</v>
      </c>
      <c r="D1877" t="s">
        <v>1651</v>
      </c>
      <c r="E1877" t="s">
        <v>1777</v>
      </c>
      <c r="F1877">
        <v>2</v>
      </c>
      <c r="G1877">
        <v>396.9</v>
      </c>
      <c r="H1877">
        <v>0.18</v>
      </c>
      <c r="I1877" t="s">
        <v>1809</v>
      </c>
      <c r="J1877">
        <v>650.91600000000005</v>
      </c>
    </row>
    <row r="1878" spans="1:10" x14ac:dyDescent="0.3">
      <c r="A1878" t="s">
        <v>3685</v>
      </c>
      <c r="B1878" s="1">
        <v>45731</v>
      </c>
      <c r="C1878" t="s">
        <v>1384</v>
      </c>
      <c r="D1878" t="s">
        <v>1727</v>
      </c>
      <c r="E1878" t="s">
        <v>1744</v>
      </c>
      <c r="F1878">
        <v>1</v>
      </c>
      <c r="G1878">
        <v>176.84</v>
      </c>
      <c r="H1878">
        <v>0.19</v>
      </c>
      <c r="I1878" t="s">
        <v>1807</v>
      </c>
      <c r="J1878">
        <v>143.24039999999999</v>
      </c>
    </row>
    <row r="1879" spans="1:10" x14ac:dyDescent="0.3">
      <c r="A1879" t="s">
        <v>3686</v>
      </c>
      <c r="B1879" s="1">
        <v>45272</v>
      </c>
      <c r="C1879" t="s">
        <v>805</v>
      </c>
      <c r="D1879" t="s">
        <v>1583</v>
      </c>
      <c r="E1879" t="s">
        <v>1735</v>
      </c>
      <c r="F1879">
        <v>2</v>
      </c>
      <c r="G1879">
        <v>614.21</v>
      </c>
      <c r="H1879">
        <v>0.11</v>
      </c>
      <c r="I1879" t="s">
        <v>1809</v>
      </c>
      <c r="J1879">
        <v>1093.2937999999999</v>
      </c>
    </row>
    <row r="1880" spans="1:10" x14ac:dyDescent="0.3">
      <c r="A1880" t="s">
        <v>3687</v>
      </c>
      <c r="B1880" s="1">
        <v>45584</v>
      </c>
      <c r="C1880" t="s">
        <v>376</v>
      </c>
      <c r="D1880" t="s">
        <v>1534</v>
      </c>
      <c r="E1880" t="s">
        <v>1762</v>
      </c>
      <c r="F1880">
        <v>3</v>
      </c>
      <c r="G1880">
        <v>604.66</v>
      </c>
      <c r="H1880">
        <v>0.18</v>
      </c>
      <c r="I1880" t="s">
        <v>1812</v>
      </c>
      <c r="J1880">
        <v>1487.4636</v>
      </c>
    </row>
    <row r="1881" spans="1:10" x14ac:dyDescent="0.3">
      <c r="A1881" t="s">
        <v>3688</v>
      </c>
      <c r="B1881" s="1">
        <v>45534</v>
      </c>
      <c r="C1881" t="s">
        <v>1513</v>
      </c>
      <c r="D1881" t="s">
        <v>1532</v>
      </c>
      <c r="E1881" t="s">
        <v>1777</v>
      </c>
      <c r="F1881">
        <v>3</v>
      </c>
      <c r="G1881">
        <v>24.29</v>
      </c>
      <c r="H1881">
        <v>0.12</v>
      </c>
      <c r="I1881" t="s">
        <v>1809</v>
      </c>
      <c r="J1881">
        <v>64.125600000000006</v>
      </c>
    </row>
    <row r="1882" spans="1:10" x14ac:dyDescent="0.3">
      <c r="A1882" t="s">
        <v>3689</v>
      </c>
      <c r="B1882" s="1">
        <v>45482</v>
      </c>
      <c r="C1882" t="s">
        <v>414</v>
      </c>
      <c r="D1882" t="s">
        <v>1657</v>
      </c>
      <c r="E1882" t="s">
        <v>1775</v>
      </c>
      <c r="F1882">
        <v>1</v>
      </c>
      <c r="G1882">
        <v>503.95</v>
      </c>
      <c r="H1882">
        <v>0.24</v>
      </c>
      <c r="I1882" t="s">
        <v>1809</v>
      </c>
      <c r="J1882">
        <v>383.00200000000001</v>
      </c>
    </row>
    <row r="1883" spans="1:10" x14ac:dyDescent="0.3">
      <c r="A1883" t="s">
        <v>3690</v>
      </c>
      <c r="B1883" s="1">
        <v>45475</v>
      </c>
      <c r="C1883" t="s">
        <v>995</v>
      </c>
      <c r="D1883" t="s">
        <v>1633</v>
      </c>
      <c r="E1883" t="s">
        <v>1782</v>
      </c>
      <c r="F1883">
        <v>4</v>
      </c>
      <c r="G1883">
        <v>860.78</v>
      </c>
      <c r="H1883">
        <v>0.03</v>
      </c>
      <c r="I1883" t="s">
        <v>1807</v>
      </c>
      <c r="J1883">
        <v>3339.8263999999999</v>
      </c>
    </row>
    <row r="1884" spans="1:10" x14ac:dyDescent="0.3">
      <c r="A1884" t="s">
        <v>3691</v>
      </c>
      <c r="B1884" s="1">
        <v>45234</v>
      </c>
      <c r="C1884" t="s">
        <v>640</v>
      </c>
      <c r="D1884" t="s">
        <v>1615</v>
      </c>
      <c r="E1884" t="s">
        <v>1749</v>
      </c>
      <c r="F1884">
        <v>3</v>
      </c>
      <c r="G1884">
        <v>41.97</v>
      </c>
      <c r="H1884">
        <v>0.03</v>
      </c>
      <c r="I1884" t="s">
        <v>1812</v>
      </c>
      <c r="J1884">
        <v>122.1327</v>
      </c>
    </row>
    <row r="1885" spans="1:10" x14ac:dyDescent="0.3">
      <c r="A1885" t="s">
        <v>3692</v>
      </c>
      <c r="B1885" s="1">
        <v>45397</v>
      </c>
      <c r="C1885" t="s">
        <v>134</v>
      </c>
      <c r="D1885" t="s">
        <v>1561</v>
      </c>
      <c r="E1885" t="s">
        <v>1756</v>
      </c>
      <c r="F1885">
        <v>1</v>
      </c>
      <c r="G1885">
        <v>649.59</v>
      </c>
      <c r="H1885">
        <v>0.12</v>
      </c>
      <c r="I1885" t="s">
        <v>1812</v>
      </c>
      <c r="J1885">
        <v>571.63920000000007</v>
      </c>
    </row>
    <row r="1886" spans="1:10" x14ac:dyDescent="0.3">
      <c r="A1886" t="s">
        <v>3693</v>
      </c>
      <c r="B1886" s="1">
        <v>45502</v>
      </c>
      <c r="C1886" t="s">
        <v>199</v>
      </c>
      <c r="D1886" t="s">
        <v>1657</v>
      </c>
      <c r="E1886" t="s">
        <v>1769</v>
      </c>
      <c r="F1886">
        <v>2</v>
      </c>
      <c r="G1886">
        <v>386.09</v>
      </c>
      <c r="H1886">
        <v>0.19</v>
      </c>
      <c r="I1886" t="s">
        <v>1809</v>
      </c>
      <c r="J1886">
        <v>625.46579999999994</v>
      </c>
    </row>
    <row r="1887" spans="1:10" x14ac:dyDescent="0.3">
      <c r="A1887" t="s">
        <v>3694</v>
      </c>
      <c r="B1887" s="1">
        <v>45644</v>
      </c>
      <c r="C1887" t="s">
        <v>348</v>
      </c>
      <c r="D1887" t="s">
        <v>1633</v>
      </c>
      <c r="E1887" t="s">
        <v>1777</v>
      </c>
      <c r="F1887">
        <v>1</v>
      </c>
      <c r="G1887">
        <v>891.62</v>
      </c>
      <c r="H1887">
        <v>0.06</v>
      </c>
      <c r="I1887" t="s">
        <v>1809</v>
      </c>
      <c r="J1887">
        <v>838.12279999999998</v>
      </c>
    </row>
    <row r="1888" spans="1:10" x14ac:dyDescent="0.3">
      <c r="A1888" t="s">
        <v>3695</v>
      </c>
      <c r="B1888" s="1">
        <v>45617</v>
      </c>
      <c r="C1888" t="s">
        <v>1177</v>
      </c>
      <c r="D1888" t="s">
        <v>1659</v>
      </c>
      <c r="E1888" t="s">
        <v>1784</v>
      </c>
      <c r="F1888">
        <v>2</v>
      </c>
      <c r="G1888">
        <v>558.9</v>
      </c>
      <c r="H1888">
        <v>0.05</v>
      </c>
      <c r="I1888" t="s">
        <v>1812</v>
      </c>
      <c r="J1888">
        <v>1061.9100000000001</v>
      </c>
    </row>
    <row r="1889" spans="1:10" x14ac:dyDescent="0.3">
      <c r="A1889" t="s">
        <v>3696</v>
      </c>
      <c r="B1889" s="1">
        <v>45797</v>
      </c>
      <c r="C1889" t="s">
        <v>1092</v>
      </c>
      <c r="D1889" t="s">
        <v>1529</v>
      </c>
      <c r="E1889" t="s">
        <v>1749</v>
      </c>
      <c r="F1889">
        <v>2</v>
      </c>
      <c r="G1889">
        <v>99.04</v>
      </c>
      <c r="H1889">
        <v>0.26</v>
      </c>
      <c r="I1889" t="s">
        <v>1812</v>
      </c>
      <c r="J1889">
        <v>146.57919999999999</v>
      </c>
    </row>
    <row r="1890" spans="1:10" x14ac:dyDescent="0.3">
      <c r="A1890" t="s">
        <v>3697</v>
      </c>
      <c r="B1890" s="1">
        <v>45740</v>
      </c>
      <c r="C1890" t="s">
        <v>914</v>
      </c>
      <c r="D1890" t="s">
        <v>1534</v>
      </c>
      <c r="E1890" t="s">
        <v>1765</v>
      </c>
      <c r="F1890">
        <v>4</v>
      </c>
      <c r="G1890">
        <v>625.13</v>
      </c>
      <c r="H1890">
        <v>0.06</v>
      </c>
      <c r="I1890" t="s">
        <v>1807</v>
      </c>
      <c r="J1890">
        <v>2350.4888000000001</v>
      </c>
    </row>
    <row r="1891" spans="1:10" x14ac:dyDescent="0.3">
      <c r="A1891" t="s">
        <v>3698</v>
      </c>
      <c r="B1891" s="1">
        <v>45824</v>
      </c>
      <c r="C1891" t="s">
        <v>143</v>
      </c>
      <c r="D1891" t="s">
        <v>1611</v>
      </c>
      <c r="E1891" t="s">
        <v>1793</v>
      </c>
      <c r="F1891">
        <v>4</v>
      </c>
      <c r="G1891">
        <v>38.380000000000003</v>
      </c>
      <c r="H1891">
        <v>0.16</v>
      </c>
      <c r="I1891" t="s">
        <v>1812</v>
      </c>
      <c r="J1891">
        <v>128.95679999999999</v>
      </c>
    </row>
    <row r="1892" spans="1:10" x14ac:dyDescent="0.3">
      <c r="A1892" t="s">
        <v>3699</v>
      </c>
      <c r="B1892" s="1">
        <v>45404</v>
      </c>
      <c r="C1892" t="s">
        <v>1496</v>
      </c>
      <c r="D1892" t="s">
        <v>1719</v>
      </c>
      <c r="E1892" t="s">
        <v>1772</v>
      </c>
      <c r="F1892">
        <v>4</v>
      </c>
      <c r="G1892">
        <v>731.72</v>
      </c>
      <c r="H1892">
        <v>0.22</v>
      </c>
      <c r="I1892" t="s">
        <v>1812</v>
      </c>
      <c r="J1892">
        <v>2282.9663999999998</v>
      </c>
    </row>
    <row r="1893" spans="1:10" x14ac:dyDescent="0.3">
      <c r="A1893" t="s">
        <v>3700</v>
      </c>
      <c r="B1893" s="1">
        <v>45916</v>
      </c>
      <c r="C1893" t="s">
        <v>1395</v>
      </c>
      <c r="D1893" t="s">
        <v>1693</v>
      </c>
      <c r="E1893" t="s">
        <v>1796</v>
      </c>
      <c r="F1893">
        <v>3</v>
      </c>
      <c r="G1893">
        <v>825.33</v>
      </c>
      <c r="H1893">
        <v>0.21</v>
      </c>
      <c r="I1893" t="s">
        <v>1807</v>
      </c>
      <c r="J1893">
        <v>1956.0320999999999</v>
      </c>
    </row>
    <row r="1894" spans="1:10" x14ac:dyDescent="0.3">
      <c r="A1894" t="s">
        <v>3701</v>
      </c>
      <c r="B1894" s="1">
        <v>45269</v>
      </c>
      <c r="C1894" t="s">
        <v>218</v>
      </c>
      <c r="D1894" t="s">
        <v>1671</v>
      </c>
      <c r="E1894" t="s">
        <v>1782</v>
      </c>
      <c r="F1894">
        <v>2</v>
      </c>
      <c r="G1894">
        <v>47.3</v>
      </c>
      <c r="H1894">
        <v>0.01</v>
      </c>
      <c r="I1894" t="s">
        <v>1809</v>
      </c>
      <c r="J1894">
        <v>93.653999999999996</v>
      </c>
    </row>
    <row r="1895" spans="1:10" x14ac:dyDescent="0.3">
      <c r="A1895" t="s">
        <v>3702</v>
      </c>
      <c r="B1895" s="1">
        <v>45493</v>
      </c>
      <c r="C1895" t="s">
        <v>562</v>
      </c>
      <c r="D1895" t="s">
        <v>1675</v>
      </c>
      <c r="E1895" t="s">
        <v>1790</v>
      </c>
      <c r="F1895">
        <v>1</v>
      </c>
      <c r="G1895">
        <v>389.12</v>
      </c>
      <c r="H1895">
        <v>0.18</v>
      </c>
      <c r="I1895" t="s">
        <v>1809</v>
      </c>
      <c r="J1895">
        <v>319.07839999999999</v>
      </c>
    </row>
    <row r="1896" spans="1:10" x14ac:dyDescent="0.3">
      <c r="A1896" t="s">
        <v>3703</v>
      </c>
      <c r="B1896" s="1">
        <v>45558</v>
      </c>
      <c r="C1896" t="s">
        <v>1398</v>
      </c>
      <c r="D1896" t="s">
        <v>1695</v>
      </c>
      <c r="E1896" t="s">
        <v>1793</v>
      </c>
      <c r="F1896">
        <v>3</v>
      </c>
      <c r="G1896">
        <v>543.83000000000004</v>
      </c>
      <c r="H1896">
        <v>0.05</v>
      </c>
      <c r="I1896" t="s">
        <v>1807</v>
      </c>
      <c r="J1896">
        <v>1549.9155000000001</v>
      </c>
    </row>
    <row r="1897" spans="1:10" x14ac:dyDescent="0.3">
      <c r="A1897" t="s">
        <v>3704</v>
      </c>
      <c r="B1897" s="1">
        <v>45423</v>
      </c>
      <c r="C1897" t="s">
        <v>103</v>
      </c>
      <c r="D1897" t="s">
        <v>1559</v>
      </c>
      <c r="E1897" t="s">
        <v>1740</v>
      </c>
      <c r="F1897">
        <v>2</v>
      </c>
      <c r="G1897">
        <v>660.27</v>
      </c>
      <c r="H1897">
        <v>0.01</v>
      </c>
      <c r="I1897" t="s">
        <v>1809</v>
      </c>
      <c r="J1897">
        <v>1307.3345999999999</v>
      </c>
    </row>
    <row r="1898" spans="1:10" x14ac:dyDescent="0.3">
      <c r="A1898" t="s">
        <v>3705</v>
      </c>
      <c r="B1898" s="1">
        <v>45780</v>
      </c>
      <c r="C1898" t="s">
        <v>1330</v>
      </c>
      <c r="D1898" t="s">
        <v>1557</v>
      </c>
      <c r="E1898" t="s">
        <v>1765</v>
      </c>
      <c r="F1898">
        <v>4</v>
      </c>
      <c r="G1898">
        <v>729.31</v>
      </c>
      <c r="H1898">
        <v>0.03</v>
      </c>
      <c r="I1898" t="s">
        <v>1807</v>
      </c>
      <c r="J1898">
        <v>2829.7228</v>
      </c>
    </row>
    <row r="1899" spans="1:10" x14ac:dyDescent="0.3">
      <c r="A1899" t="s">
        <v>3706</v>
      </c>
      <c r="B1899" s="1">
        <v>45345</v>
      </c>
      <c r="C1899" t="s">
        <v>1292</v>
      </c>
      <c r="D1899" t="s">
        <v>1705</v>
      </c>
      <c r="E1899" t="s">
        <v>1759</v>
      </c>
      <c r="F1899">
        <v>2</v>
      </c>
      <c r="G1899">
        <v>152.91</v>
      </c>
      <c r="H1899">
        <v>0.24</v>
      </c>
      <c r="I1899" t="s">
        <v>1809</v>
      </c>
      <c r="J1899">
        <v>232.42320000000001</v>
      </c>
    </row>
    <row r="1900" spans="1:10" x14ac:dyDescent="0.3">
      <c r="A1900" t="s">
        <v>3707</v>
      </c>
      <c r="B1900" s="1">
        <v>45344</v>
      </c>
      <c r="C1900" t="s">
        <v>1406</v>
      </c>
      <c r="D1900" t="s">
        <v>1679</v>
      </c>
      <c r="E1900" t="s">
        <v>1784</v>
      </c>
      <c r="F1900">
        <v>4</v>
      </c>
      <c r="G1900">
        <v>592.14</v>
      </c>
      <c r="H1900">
        <v>0.12</v>
      </c>
      <c r="I1900" t="s">
        <v>1812</v>
      </c>
      <c r="J1900">
        <v>2084.3328000000001</v>
      </c>
    </row>
    <row r="1901" spans="1:10" x14ac:dyDescent="0.3">
      <c r="A1901" t="s">
        <v>3708</v>
      </c>
      <c r="B1901" s="1">
        <v>45525</v>
      </c>
      <c r="C1901" t="s">
        <v>227</v>
      </c>
      <c r="D1901" t="s">
        <v>1687</v>
      </c>
      <c r="E1901" t="s">
        <v>1777</v>
      </c>
      <c r="F1901">
        <v>1</v>
      </c>
      <c r="G1901">
        <v>984.37</v>
      </c>
      <c r="H1901">
        <v>0</v>
      </c>
      <c r="I1901" t="s">
        <v>1809</v>
      </c>
      <c r="J1901">
        <v>984.37</v>
      </c>
    </row>
    <row r="1902" spans="1:10" x14ac:dyDescent="0.3">
      <c r="A1902" t="s">
        <v>3709</v>
      </c>
      <c r="B1902" s="1">
        <v>45329</v>
      </c>
      <c r="C1902" t="s">
        <v>917</v>
      </c>
      <c r="D1902" t="s">
        <v>1529</v>
      </c>
      <c r="E1902" t="s">
        <v>1777</v>
      </c>
      <c r="F1902">
        <v>2</v>
      </c>
      <c r="G1902">
        <v>237.59</v>
      </c>
      <c r="H1902">
        <v>0.12</v>
      </c>
      <c r="I1902" t="s">
        <v>1807</v>
      </c>
      <c r="J1902">
        <v>418.15839999999997</v>
      </c>
    </row>
    <row r="1903" spans="1:10" x14ac:dyDescent="0.3">
      <c r="A1903" t="s">
        <v>3710</v>
      </c>
      <c r="B1903" s="1">
        <v>45250</v>
      </c>
      <c r="C1903" t="s">
        <v>1321</v>
      </c>
      <c r="D1903" t="s">
        <v>1581</v>
      </c>
      <c r="E1903" t="s">
        <v>1765</v>
      </c>
      <c r="F1903">
        <v>1</v>
      </c>
      <c r="G1903">
        <v>52.06</v>
      </c>
      <c r="H1903">
        <v>0.27</v>
      </c>
      <c r="I1903" t="s">
        <v>1812</v>
      </c>
      <c r="J1903">
        <v>38.003799999999998</v>
      </c>
    </row>
    <row r="1904" spans="1:10" x14ac:dyDescent="0.3">
      <c r="A1904" t="s">
        <v>3711</v>
      </c>
      <c r="B1904" s="1">
        <v>45691</v>
      </c>
      <c r="C1904" t="s">
        <v>1389</v>
      </c>
      <c r="D1904" t="s">
        <v>1534</v>
      </c>
      <c r="E1904" t="s">
        <v>1740</v>
      </c>
      <c r="F1904">
        <v>2</v>
      </c>
      <c r="G1904">
        <v>594.63</v>
      </c>
      <c r="H1904">
        <v>0.12</v>
      </c>
      <c r="I1904" t="s">
        <v>1807</v>
      </c>
      <c r="J1904">
        <v>1046.5488</v>
      </c>
    </row>
    <row r="1905" spans="1:10" x14ac:dyDescent="0.3">
      <c r="A1905" t="s">
        <v>3712</v>
      </c>
      <c r="B1905" s="1">
        <v>45644</v>
      </c>
      <c r="C1905" t="s">
        <v>551</v>
      </c>
      <c r="D1905" t="s">
        <v>1534</v>
      </c>
      <c r="E1905" t="s">
        <v>1735</v>
      </c>
      <c r="F1905">
        <v>3</v>
      </c>
      <c r="G1905">
        <v>476.1</v>
      </c>
      <c r="H1905">
        <v>0.05</v>
      </c>
      <c r="I1905" t="s">
        <v>1812</v>
      </c>
      <c r="J1905">
        <v>1356.885</v>
      </c>
    </row>
    <row r="1906" spans="1:10" x14ac:dyDescent="0.3">
      <c r="A1906" t="s">
        <v>3713</v>
      </c>
      <c r="B1906" s="1">
        <v>45514</v>
      </c>
      <c r="C1906" t="s">
        <v>224</v>
      </c>
      <c r="D1906" t="s">
        <v>1653</v>
      </c>
      <c r="E1906" t="s">
        <v>1759</v>
      </c>
      <c r="F1906">
        <v>1</v>
      </c>
      <c r="G1906">
        <v>546.47</v>
      </c>
      <c r="H1906">
        <v>0.08</v>
      </c>
      <c r="I1906" t="s">
        <v>1812</v>
      </c>
      <c r="J1906">
        <v>502.75240000000002</v>
      </c>
    </row>
    <row r="1907" spans="1:10" x14ac:dyDescent="0.3">
      <c r="A1907" t="s">
        <v>3714</v>
      </c>
      <c r="B1907" s="1">
        <v>45760</v>
      </c>
      <c r="C1907" t="s">
        <v>576</v>
      </c>
      <c r="D1907" t="s">
        <v>1681</v>
      </c>
      <c r="E1907" t="s">
        <v>1777</v>
      </c>
      <c r="F1907">
        <v>1</v>
      </c>
      <c r="G1907">
        <v>979.49</v>
      </c>
      <c r="H1907">
        <v>0.19</v>
      </c>
      <c r="I1907" t="s">
        <v>1812</v>
      </c>
      <c r="J1907">
        <v>793.38690000000008</v>
      </c>
    </row>
    <row r="1908" spans="1:10" x14ac:dyDescent="0.3">
      <c r="A1908" t="s">
        <v>3715</v>
      </c>
      <c r="B1908" s="1">
        <v>45289</v>
      </c>
      <c r="C1908" t="s">
        <v>628</v>
      </c>
      <c r="D1908" t="s">
        <v>1565</v>
      </c>
      <c r="E1908" t="s">
        <v>1744</v>
      </c>
      <c r="F1908">
        <v>3</v>
      </c>
      <c r="G1908">
        <v>988.53</v>
      </c>
      <c r="H1908">
        <v>0.3</v>
      </c>
      <c r="I1908" t="s">
        <v>1812</v>
      </c>
      <c r="J1908">
        <v>2075.913</v>
      </c>
    </row>
    <row r="1909" spans="1:10" x14ac:dyDescent="0.3">
      <c r="A1909" t="s">
        <v>3716</v>
      </c>
      <c r="B1909" s="1">
        <v>45704</v>
      </c>
      <c r="C1909" t="s">
        <v>808</v>
      </c>
      <c r="D1909" t="s">
        <v>1683</v>
      </c>
      <c r="E1909" t="s">
        <v>1749</v>
      </c>
      <c r="F1909">
        <v>4</v>
      </c>
      <c r="G1909">
        <v>849.29</v>
      </c>
      <c r="H1909">
        <v>0.26</v>
      </c>
      <c r="I1909" t="s">
        <v>1807</v>
      </c>
      <c r="J1909">
        <v>2513.8984</v>
      </c>
    </row>
    <row r="1910" spans="1:10" x14ac:dyDescent="0.3">
      <c r="A1910" t="s">
        <v>3717</v>
      </c>
      <c r="B1910" s="1">
        <v>45318</v>
      </c>
      <c r="C1910" t="s">
        <v>1066</v>
      </c>
      <c r="D1910" t="s">
        <v>1721</v>
      </c>
      <c r="E1910" t="s">
        <v>1782</v>
      </c>
      <c r="F1910">
        <v>2</v>
      </c>
      <c r="G1910">
        <v>452.29</v>
      </c>
      <c r="H1910">
        <v>0.01</v>
      </c>
      <c r="I1910" t="s">
        <v>1812</v>
      </c>
      <c r="J1910">
        <v>895.53420000000006</v>
      </c>
    </row>
    <row r="1911" spans="1:10" x14ac:dyDescent="0.3">
      <c r="A1911" t="s">
        <v>3718</v>
      </c>
      <c r="B1911" s="1">
        <v>45495</v>
      </c>
      <c r="C1911" t="s">
        <v>1361</v>
      </c>
      <c r="D1911" t="s">
        <v>1639</v>
      </c>
      <c r="E1911" t="s">
        <v>1793</v>
      </c>
      <c r="F1911">
        <v>2</v>
      </c>
      <c r="G1911">
        <v>810.81</v>
      </c>
      <c r="H1911">
        <v>0.11</v>
      </c>
      <c r="I1911" t="s">
        <v>1812</v>
      </c>
      <c r="J1911">
        <v>1443.2418</v>
      </c>
    </row>
    <row r="1912" spans="1:10" x14ac:dyDescent="0.3">
      <c r="A1912" t="s">
        <v>3719</v>
      </c>
      <c r="B1912" s="1">
        <v>45560</v>
      </c>
      <c r="C1912" t="s">
        <v>127</v>
      </c>
      <c r="D1912" t="s">
        <v>1653</v>
      </c>
      <c r="E1912" t="s">
        <v>1765</v>
      </c>
      <c r="F1912">
        <v>1</v>
      </c>
      <c r="G1912">
        <v>846.67</v>
      </c>
      <c r="H1912">
        <v>0.1</v>
      </c>
      <c r="I1912" t="s">
        <v>1812</v>
      </c>
      <c r="J1912">
        <v>762.00299999999993</v>
      </c>
    </row>
    <row r="1913" spans="1:10" x14ac:dyDescent="0.3">
      <c r="A1913" t="s">
        <v>3720</v>
      </c>
      <c r="B1913" s="1">
        <v>45367</v>
      </c>
      <c r="C1913" t="s">
        <v>78</v>
      </c>
      <c r="D1913" t="s">
        <v>1579</v>
      </c>
      <c r="E1913" t="s">
        <v>1759</v>
      </c>
      <c r="F1913">
        <v>4</v>
      </c>
      <c r="G1913">
        <v>73.55</v>
      </c>
      <c r="H1913">
        <v>0.24</v>
      </c>
      <c r="I1913" t="s">
        <v>1812</v>
      </c>
      <c r="J1913">
        <v>223.59200000000001</v>
      </c>
    </row>
    <row r="1914" spans="1:10" x14ac:dyDescent="0.3">
      <c r="A1914" t="s">
        <v>3721</v>
      </c>
      <c r="B1914" s="1">
        <v>45861</v>
      </c>
      <c r="C1914" t="s">
        <v>876</v>
      </c>
      <c r="D1914" t="s">
        <v>1715</v>
      </c>
      <c r="E1914" t="s">
        <v>1759</v>
      </c>
      <c r="F1914">
        <v>1</v>
      </c>
      <c r="G1914">
        <v>882.03</v>
      </c>
      <c r="H1914">
        <v>0.04</v>
      </c>
      <c r="I1914" t="s">
        <v>1812</v>
      </c>
      <c r="J1914">
        <v>846.74879999999996</v>
      </c>
    </row>
    <row r="1915" spans="1:10" x14ac:dyDescent="0.3">
      <c r="A1915" t="s">
        <v>3722</v>
      </c>
      <c r="B1915" s="1">
        <v>45589</v>
      </c>
      <c r="C1915" t="s">
        <v>44</v>
      </c>
      <c r="D1915" t="s">
        <v>1575</v>
      </c>
      <c r="E1915" t="s">
        <v>1782</v>
      </c>
      <c r="F1915">
        <v>1</v>
      </c>
      <c r="G1915">
        <v>958.44</v>
      </c>
      <c r="H1915">
        <v>0.21</v>
      </c>
      <c r="I1915" t="s">
        <v>1807</v>
      </c>
      <c r="J1915">
        <v>757.16760000000011</v>
      </c>
    </row>
    <row r="1916" spans="1:10" x14ac:dyDescent="0.3">
      <c r="A1916" t="s">
        <v>3723</v>
      </c>
      <c r="B1916" s="1">
        <v>45560</v>
      </c>
      <c r="C1916" t="s">
        <v>44</v>
      </c>
      <c r="D1916" t="s">
        <v>1729</v>
      </c>
      <c r="E1916" t="s">
        <v>1744</v>
      </c>
      <c r="F1916">
        <v>1</v>
      </c>
      <c r="G1916">
        <v>716.29</v>
      </c>
      <c r="H1916">
        <v>0.01</v>
      </c>
      <c r="I1916" t="s">
        <v>1809</v>
      </c>
      <c r="J1916">
        <v>709.12709999999993</v>
      </c>
    </row>
    <row r="1917" spans="1:10" x14ac:dyDescent="0.3">
      <c r="A1917" t="s">
        <v>3724</v>
      </c>
      <c r="B1917" s="1">
        <v>45408</v>
      </c>
      <c r="C1917" t="s">
        <v>1007</v>
      </c>
      <c r="D1917" t="s">
        <v>1548</v>
      </c>
      <c r="E1917" t="s">
        <v>1787</v>
      </c>
      <c r="F1917">
        <v>2</v>
      </c>
      <c r="G1917">
        <v>409.14</v>
      </c>
      <c r="H1917">
        <v>0.01</v>
      </c>
      <c r="I1917" t="s">
        <v>1809</v>
      </c>
      <c r="J1917">
        <v>810.09719999999993</v>
      </c>
    </row>
    <row r="1918" spans="1:10" x14ac:dyDescent="0.3">
      <c r="A1918" t="s">
        <v>3725</v>
      </c>
      <c r="B1918" s="1">
        <v>45714</v>
      </c>
      <c r="C1918" t="s">
        <v>301</v>
      </c>
      <c r="D1918" t="s">
        <v>1729</v>
      </c>
      <c r="E1918" t="s">
        <v>1769</v>
      </c>
      <c r="F1918">
        <v>4</v>
      </c>
      <c r="G1918">
        <v>261.73</v>
      </c>
      <c r="H1918">
        <v>0.1</v>
      </c>
      <c r="I1918" t="s">
        <v>1809</v>
      </c>
      <c r="J1918">
        <v>942.22800000000007</v>
      </c>
    </row>
    <row r="1919" spans="1:10" x14ac:dyDescent="0.3">
      <c r="A1919" t="s">
        <v>3726</v>
      </c>
      <c r="B1919" s="1">
        <v>45661</v>
      </c>
      <c r="C1919" t="s">
        <v>1421</v>
      </c>
      <c r="D1919" t="s">
        <v>1555</v>
      </c>
      <c r="E1919" t="s">
        <v>1735</v>
      </c>
      <c r="F1919">
        <v>2</v>
      </c>
      <c r="G1919">
        <v>687.35</v>
      </c>
      <c r="H1919">
        <v>0.2</v>
      </c>
      <c r="I1919" t="s">
        <v>1812</v>
      </c>
      <c r="J1919">
        <v>1099.76</v>
      </c>
    </row>
    <row r="1920" spans="1:10" x14ac:dyDescent="0.3">
      <c r="A1920" t="s">
        <v>3727</v>
      </c>
      <c r="B1920" s="1">
        <v>45921</v>
      </c>
      <c r="C1920" t="s">
        <v>669</v>
      </c>
      <c r="D1920" t="s">
        <v>1699</v>
      </c>
      <c r="E1920" t="s">
        <v>1765</v>
      </c>
      <c r="F1920">
        <v>2</v>
      </c>
      <c r="G1920">
        <v>30.14</v>
      </c>
      <c r="H1920">
        <v>0.21</v>
      </c>
      <c r="I1920" t="s">
        <v>1807</v>
      </c>
      <c r="J1920">
        <v>47.621200000000002</v>
      </c>
    </row>
    <row r="1921" spans="1:10" x14ac:dyDescent="0.3">
      <c r="A1921" t="s">
        <v>3728</v>
      </c>
      <c r="B1921" s="1">
        <v>45651</v>
      </c>
      <c r="C1921" t="s">
        <v>348</v>
      </c>
      <c r="D1921" t="s">
        <v>1599</v>
      </c>
      <c r="E1921" t="s">
        <v>1765</v>
      </c>
      <c r="F1921">
        <v>3</v>
      </c>
      <c r="G1921">
        <v>570.12</v>
      </c>
      <c r="H1921">
        <v>0.12</v>
      </c>
      <c r="I1921" t="s">
        <v>1809</v>
      </c>
      <c r="J1921">
        <v>1505.1168</v>
      </c>
    </row>
    <row r="1922" spans="1:10" x14ac:dyDescent="0.3">
      <c r="A1922" t="s">
        <v>3729</v>
      </c>
      <c r="B1922" s="1">
        <v>45883</v>
      </c>
      <c r="C1922" t="s">
        <v>885</v>
      </c>
      <c r="D1922" t="s">
        <v>1685</v>
      </c>
      <c r="E1922" t="s">
        <v>1796</v>
      </c>
      <c r="F1922">
        <v>3</v>
      </c>
      <c r="G1922">
        <v>401.87</v>
      </c>
      <c r="H1922">
        <v>0.28999999999999998</v>
      </c>
      <c r="I1922" t="s">
        <v>1812</v>
      </c>
      <c r="J1922">
        <v>855.98310000000004</v>
      </c>
    </row>
    <row r="1923" spans="1:10" x14ac:dyDescent="0.3">
      <c r="A1923" t="s">
        <v>3730</v>
      </c>
      <c r="B1923" s="1">
        <v>45624</v>
      </c>
      <c r="C1923" t="s">
        <v>1507</v>
      </c>
      <c r="D1923" t="s">
        <v>1689</v>
      </c>
      <c r="E1923" t="s">
        <v>1777</v>
      </c>
      <c r="F1923">
        <v>4</v>
      </c>
      <c r="G1923">
        <v>619.35</v>
      </c>
      <c r="H1923">
        <v>0.3</v>
      </c>
      <c r="I1923" t="s">
        <v>1807</v>
      </c>
      <c r="J1923">
        <v>1734.18</v>
      </c>
    </row>
    <row r="1924" spans="1:10" x14ac:dyDescent="0.3">
      <c r="A1924" t="s">
        <v>3731</v>
      </c>
      <c r="B1924" s="1">
        <v>45276</v>
      </c>
      <c r="C1924" t="s">
        <v>785</v>
      </c>
      <c r="D1924" t="s">
        <v>1623</v>
      </c>
      <c r="E1924" t="s">
        <v>1790</v>
      </c>
      <c r="F1924">
        <v>4</v>
      </c>
      <c r="G1924">
        <v>569.36</v>
      </c>
      <c r="H1924">
        <v>0.27</v>
      </c>
      <c r="I1924" t="s">
        <v>1809</v>
      </c>
      <c r="J1924">
        <v>1662.5311999999999</v>
      </c>
    </row>
    <row r="1925" spans="1:10" x14ac:dyDescent="0.3">
      <c r="A1925" t="s">
        <v>3732</v>
      </c>
      <c r="B1925" s="1">
        <v>45344</v>
      </c>
      <c r="C1925" t="s">
        <v>1450</v>
      </c>
      <c r="D1925" t="s">
        <v>1585</v>
      </c>
      <c r="E1925" t="s">
        <v>1752</v>
      </c>
      <c r="F1925">
        <v>2</v>
      </c>
      <c r="G1925">
        <v>846.35</v>
      </c>
      <c r="H1925">
        <v>0.3</v>
      </c>
      <c r="I1925" t="s">
        <v>1812</v>
      </c>
      <c r="J1925">
        <v>1184.8900000000001</v>
      </c>
    </row>
    <row r="1926" spans="1:10" x14ac:dyDescent="0.3">
      <c r="A1926" t="s">
        <v>3733</v>
      </c>
      <c r="B1926" s="1">
        <v>45849</v>
      </c>
      <c r="C1926" t="s">
        <v>1330</v>
      </c>
      <c r="D1926" t="s">
        <v>1591</v>
      </c>
      <c r="E1926" t="s">
        <v>1744</v>
      </c>
      <c r="F1926">
        <v>1</v>
      </c>
      <c r="G1926">
        <v>788.45</v>
      </c>
      <c r="H1926">
        <v>0.28999999999999998</v>
      </c>
      <c r="I1926" t="s">
        <v>1809</v>
      </c>
      <c r="J1926">
        <v>559.79949999999997</v>
      </c>
    </row>
    <row r="1927" spans="1:10" x14ac:dyDescent="0.3">
      <c r="A1927" t="s">
        <v>3734</v>
      </c>
      <c r="B1927" s="1">
        <v>45880</v>
      </c>
      <c r="C1927" t="s">
        <v>1115</v>
      </c>
      <c r="D1927" t="s">
        <v>1601</v>
      </c>
      <c r="E1927" t="s">
        <v>1777</v>
      </c>
      <c r="F1927">
        <v>2</v>
      </c>
      <c r="G1927">
        <v>338.81</v>
      </c>
      <c r="H1927">
        <v>7.0000000000000007E-2</v>
      </c>
      <c r="I1927" t="s">
        <v>1812</v>
      </c>
      <c r="J1927">
        <v>630.1866</v>
      </c>
    </row>
    <row r="1928" spans="1:10" x14ac:dyDescent="0.3">
      <c r="A1928" t="s">
        <v>3735</v>
      </c>
      <c r="B1928" s="1">
        <v>45907</v>
      </c>
      <c r="C1928" t="s">
        <v>110</v>
      </c>
      <c r="D1928" t="s">
        <v>1559</v>
      </c>
      <c r="E1928" t="s">
        <v>1756</v>
      </c>
      <c r="F1928">
        <v>4</v>
      </c>
      <c r="G1928">
        <v>94.48</v>
      </c>
      <c r="H1928">
        <v>0.06</v>
      </c>
      <c r="I1928" t="s">
        <v>1812</v>
      </c>
      <c r="J1928">
        <v>355.2448</v>
      </c>
    </row>
    <row r="1929" spans="1:10" x14ac:dyDescent="0.3">
      <c r="A1929" t="s">
        <v>3736</v>
      </c>
      <c r="B1929" s="1">
        <v>45545</v>
      </c>
      <c r="C1929" t="s">
        <v>1453</v>
      </c>
      <c r="D1929" t="s">
        <v>1569</v>
      </c>
      <c r="E1929" t="s">
        <v>1780</v>
      </c>
      <c r="F1929">
        <v>3</v>
      </c>
      <c r="G1929">
        <v>941.85</v>
      </c>
      <c r="H1929">
        <v>0.16</v>
      </c>
      <c r="I1929" t="s">
        <v>1809</v>
      </c>
      <c r="J1929">
        <v>2373.462</v>
      </c>
    </row>
    <row r="1930" spans="1:10" x14ac:dyDescent="0.3">
      <c r="A1930" t="s">
        <v>3737</v>
      </c>
      <c r="B1930" s="1">
        <v>45257</v>
      </c>
      <c r="C1930" t="s">
        <v>533</v>
      </c>
      <c r="D1930" t="s">
        <v>1621</v>
      </c>
      <c r="E1930" t="s">
        <v>1756</v>
      </c>
      <c r="F1930">
        <v>2</v>
      </c>
      <c r="G1930">
        <v>336.97</v>
      </c>
      <c r="H1930">
        <v>0.14000000000000001</v>
      </c>
      <c r="I1930" t="s">
        <v>1809</v>
      </c>
      <c r="J1930">
        <v>579.58840000000009</v>
      </c>
    </row>
    <row r="1931" spans="1:10" x14ac:dyDescent="0.3">
      <c r="A1931" t="s">
        <v>3738</v>
      </c>
      <c r="B1931" s="1">
        <v>45466</v>
      </c>
      <c r="C1931" t="s">
        <v>968</v>
      </c>
      <c r="D1931" t="s">
        <v>1538</v>
      </c>
      <c r="E1931" t="s">
        <v>1756</v>
      </c>
      <c r="F1931">
        <v>2</v>
      </c>
      <c r="G1931">
        <v>344.16</v>
      </c>
      <c r="H1931">
        <v>0.09</v>
      </c>
      <c r="I1931" t="s">
        <v>1809</v>
      </c>
      <c r="J1931">
        <v>626.37120000000004</v>
      </c>
    </row>
    <row r="1932" spans="1:10" x14ac:dyDescent="0.3">
      <c r="A1932" t="s">
        <v>3739</v>
      </c>
      <c r="B1932" s="1">
        <v>45847</v>
      </c>
      <c r="C1932" t="s">
        <v>939</v>
      </c>
      <c r="D1932" t="s">
        <v>1627</v>
      </c>
      <c r="E1932" t="s">
        <v>1769</v>
      </c>
      <c r="F1932">
        <v>1</v>
      </c>
      <c r="G1932">
        <v>841.53</v>
      </c>
      <c r="H1932">
        <v>0.15</v>
      </c>
      <c r="I1932" t="s">
        <v>1807</v>
      </c>
      <c r="J1932">
        <v>715.30049999999994</v>
      </c>
    </row>
    <row r="1933" spans="1:10" x14ac:dyDescent="0.3">
      <c r="A1933" t="s">
        <v>3740</v>
      </c>
      <c r="B1933" s="1">
        <v>45825</v>
      </c>
      <c r="C1933" t="s">
        <v>1300</v>
      </c>
      <c r="D1933" t="s">
        <v>1697</v>
      </c>
      <c r="E1933" t="s">
        <v>1790</v>
      </c>
      <c r="F1933">
        <v>3</v>
      </c>
      <c r="G1933">
        <v>63.36</v>
      </c>
      <c r="H1933">
        <v>0.28999999999999998</v>
      </c>
      <c r="I1933" t="s">
        <v>1812</v>
      </c>
      <c r="J1933">
        <v>134.95679999999999</v>
      </c>
    </row>
    <row r="1934" spans="1:10" x14ac:dyDescent="0.3">
      <c r="A1934" t="s">
        <v>3741</v>
      </c>
      <c r="B1934" s="1">
        <v>45839</v>
      </c>
      <c r="C1934" t="s">
        <v>1507</v>
      </c>
      <c r="D1934" t="s">
        <v>1687</v>
      </c>
      <c r="E1934" t="s">
        <v>1765</v>
      </c>
      <c r="F1934">
        <v>2</v>
      </c>
      <c r="G1934">
        <v>552.49</v>
      </c>
      <c r="H1934">
        <v>0.1</v>
      </c>
      <c r="I1934" t="s">
        <v>1807</v>
      </c>
      <c r="J1934">
        <v>994.48200000000008</v>
      </c>
    </row>
    <row r="1935" spans="1:10" x14ac:dyDescent="0.3">
      <c r="A1935" t="s">
        <v>3742</v>
      </c>
      <c r="B1935" s="1">
        <v>45720</v>
      </c>
      <c r="C1935" t="s">
        <v>752</v>
      </c>
      <c r="D1935" t="s">
        <v>1579</v>
      </c>
      <c r="E1935" t="s">
        <v>1759</v>
      </c>
      <c r="F1935">
        <v>3</v>
      </c>
      <c r="G1935">
        <v>447.38</v>
      </c>
      <c r="H1935">
        <v>0.03</v>
      </c>
      <c r="I1935" t="s">
        <v>1807</v>
      </c>
      <c r="J1935">
        <v>1301.8758</v>
      </c>
    </row>
    <row r="1936" spans="1:10" x14ac:dyDescent="0.3">
      <c r="A1936" t="s">
        <v>3743</v>
      </c>
      <c r="B1936" s="1">
        <v>45250</v>
      </c>
      <c r="C1936" t="s">
        <v>1376</v>
      </c>
      <c r="D1936" t="s">
        <v>1677</v>
      </c>
      <c r="E1936" t="s">
        <v>1796</v>
      </c>
      <c r="F1936">
        <v>1</v>
      </c>
      <c r="G1936">
        <v>727.7</v>
      </c>
      <c r="H1936">
        <v>0.21</v>
      </c>
      <c r="I1936" t="s">
        <v>1812</v>
      </c>
      <c r="J1936">
        <v>574.88300000000004</v>
      </c>
    </row>
    <row r="1937" spans="1:10" x14ac:dyDescent="0.3">
      <c r="A1937" t="s">
        <v>3744</v>
      </c>
      <c r="B1937" s="1">
        <v>45258</v>
      </c>
      <c r="C1937" t="s">
        <v>1336</v>
      </c>
      <c r="D1937" t="s">
        <v>1633</v>
      </c>
      <c r="E1937" t="s">
        <v>1762</v>
      </c>
      <c r="F1937">
        <v>4</v>
      </c>
      <c r="G1937">
        <v>581.34</v>
      </c>
      <c r="H1937">
        <v>0.08</v>
      </c>
      <c r="I1937" t="s">
        <v>1807</v>
      </c>
      <c r="J1937">
        <v>2139.3312000000001</v>
      </c>
    </row>
    <row r="1938" spans="1:10" x14ac:dyDescent="0.3">
      <c r="A1938" t="s">
        <v>3745</v>
      </c>
      <c r="B1938" s="1">
        <v>45793</v>
      </c>
      <c r="C1938" t="s">
        <v>339</v>
      </c>
      <c r="D1938" t="s">
        <v>1663</v>
      </c>
      <c r="E1938" t="s">
        <v>1740</v>
      </c>
      <c r="F1938">
        <v>1</v>
      </c>
      <c r="G1938">
        <v>338.83</v>
      </c>
      <c r="H1938">
        <v>0.19</v>
      </c>
      <c r="I1938" t="s">
        <v>1809</v>
      </c>
      <c r="J1938">
        <v>274.45229999999998</v>
      </c>
    </row>
    <row r="1939" spans="1:10" x14ac:dyDescent="0.3">
      <c r="A1939" t="s">
        <v>3746</v>
      </c>
      <c r="B1939" s="1">
        <v>45265</v>
      </c>
      <c r="C1939" t="s">
        <v>897</v>
      </c>
      <c r="D1939" t="s">
        <v>1629</v>
      </c>
      <c r="E1939" t="s">
        <v>1780</v>
      </c>
      <c r="F1939">
        <v>4</v>
      </c>
      <c r="G1939">
        <v>568.80999999999995</v>
      </c>
      <c r="H1939">
        <v>0.25</v>
      </c>
      <c r="I1939" t="s">
        <v>1807</v>
      </c>
      <c r="J1939">
        <v>1706.43</v>
      </c>
    </row>
    <row r="1940" spans="1:10" x14ac:dyDescent="0.3">
      <c r="A1940" t="s">
        <v>3747</v>
      </c>
      <c r="B1940" s="1">
        <v>45607</v>
      </c>
      <c r="C1940" t="s">
        <v>1159</v>
      </c>
      <c r="D1940" t="s">
        <v>1653</v>
      </c>
      <c r="E1940" t="s">
        <v>1790</v>
      </c>
      <c r="F1940">
        <v>2</v>
      </c>
      <c r="G1940">
        <v>352.63</v>
      </c>
      <c r="H1940">
        <v>0.15</v>
      </c>
      <c r="I1940" t="s">
        <v>1809</v>
      </c>
      <c r="J1940">
        <v>599.471</v>
      </c>
    </row>
    <row r="1941" spans="1:10" x14ac:dyDescent="0.3">
      <c r="A1941" t="s">
        <v>3748</v>
      </c>
      <c r="B1941" s="1">
        <v>45382</v>
      </c>
      <c r="C1941" t="s">
        <v>518</v>
      </c>
      <c r="D1941" t="s">
        <v>1723</v>
      </c>
      <c r="E1941" t="s">
        <v>1780</v>
      </c>
      <c r="F1941">
        <v>2</v>
      </c>
      <c r="G1941">
        <v>629.86</v>
      </c>
      <c r="H1941">
        <v>0.15</v>
      </c>
      <c r="I1941" t="s">
        <v>1809</v>
      </c>
      <c r="J1941">
        <v>1070.7619999999999</v>
      </c>
    </row>
    <row r="1942" spans="1:10" x14ac:dyDescent="0.3">
      <c r="A1942" t="s">
        <v>3749</v>
      </c>
      <c r="B1942" s="1">
        <v>45793</v>
      </c>
      <c r="C1942" t="s">
        <v>1499</v>
      </c>
      <c r="D1942" t="s">
        <v>1727</v>
      </c>
      <c r="E1942" t="s">
        <v>1749</v>
      </c>
      <c r="F1942">
        <v>3</v>
      </c>
      <c r="G1942">
        <v>212.08</v>
      </c>
      <c r="H1942">
        <v>7.0000000000000007E-2</v>
      </c>
      <c r="I1942" t="s">
        <v>1807</v>
      </c>
      <c r="J1942">
        <v>591.70319999999992</v>
      </c>
    </row>
    <row r="1943" spans="1:10" x14ac:dyDescent="0.3">
      <c r="A1943" t="s">
        <v>3750</v>
      </c>
      <c r="B1943" s="1">
        <v>45590</v>
      </c>
      <c r="C1943" t="s">
        <v>533</v>
      </c>
      <c r="D1943" t="s">
        <v>1645</v>
      </c>
      <c r="E1943" t="s">
        <v>1744</v>
      </c>
      <c r="F1943">
        <v>3</v>
      </c>
      <c r="G1943">
        <v>878.62</v>
      </c>
      <c r="H1943">
        <v>0.05</v>
      </c>
      <c r="I1943" t="s">
        <v>1809</v>
      </c>
      <c r="J1943">
        <v>2504.067</v>
      </c>
    </row>
    <row r="1944" spans="1:10" x14ac:dyDescent="0.3">
      <c r="A1944" t="s">
        <v>3751</v>
      </c>
      <c r="B1944" s="1">
        <v>45679</v>
      </c>
      <c r="C1944" t="s">
        <v>826</v>
      </c>
      <c r="D1944" t="s">
        <v>1691</v>
      </c>
      <c r="E1944" t="s">
        <v>1772</v>
      </c>
      <c r="F1944">
        <v>4</v>
      </c>
      <c r="G1944">
        <v>87.83</v>
      </c>
      <c r="H1944">
        <v>0.23</v>
      </c>
      <c r="I1944" t="s">
        <v>1809</v>
      </c>
      <c r="J1944">
        <v>270.51639999999998</v>
      </c>
    </row>
    <row r="1945" spans="1:10" x14ac:dyDescent="0.3">
      <c r="A1945" t="s">
        <v>3752</v>
      </c>
      <c r="B1945" s="1">
        <v>45814</v>
      </c>
      <c r="C1945" t="s">
        <v>867</v>
      </c>
      <c r="D1945" t="s">
        <v>1643</v>
      </c>
      <c r="E1945" t="s">
        <v>1769</v>
      </c>
      <c r="F1945">
        <v>3</v>
      </c>
      <c r="G1945">
        <v>442.64</v>
      </c>
      <c r="H1945">
        <v>0.15</v>
      </c>
      <c r="I1945" t="s">
        <v>1812</v>
      </c>
      <c r="J1945">
        <v>1128.732</v>
      </c>
    </row>
    <row r="1946" spans="1:10" x14ac:dyDescent="0.3">
      <c r="A1946" t="s">
        <v>3753</v>
      </c>
      <c r="B1946" s="1">
        <v>45795</v>
      </c>
      <c r="C1946" t="s">
        <v>330</v>
      </c>
      <c r="D1946" t="s">
        <v>1607</v>
      </c>
      <c r="E1946" t="s">
        <v>1744</v>
      </c>
      <c r="F1946">
        <v>3</v>
      </c>
      <c r="G1946">
        <v>410.04</v>
      </c>
      <c r="H1946">
        <v>0.09</v>
      </c>
      <c r="I1946" t="s">
        <v>1812</v>
      </c>
      <c r="J1946">
        <v>1119.4092000000001</v>
      </c>
    </row>
    <row r="1947" spans="1:10" x14ac:dyDescent="0.3">
      <c r="A1947" t="s">
        <v>3754</v>
      </c>
      <c r="B1947" s="1">
        <v>45797</v>
      </c>
      <c r="C1947" t="s">
        <v>450</v>
      </c>
      <c r="D1947" t="s">
        <v>1719</v>
      </c>
      <c r="E1947" t="s">
        <v>1790</v>
      </c>
      <c r="F1947">
        <v>1</v>
      </c>
      <c r="G1947">
        <v>355.31</v>
      </c>
      <c r="H1947">
        <v>0.27</v>
      </c>
      <c r="I1947" t="s">
        <v>1807</v>
      </c>
      <c r="J1947">
        <v>259.37630000000001</v>
      </c>
    </row>
    <row r="1948" spans="1:10" x14ac:dyDescent="0.3">
      <c r="A1948" t="s">
        <v>3755</v>
      </c>
      <c r="B1948" s="1">
        <v>45607</v>
      </c>
      <c r="C1948" t="s">
        <v>1162</v>
      </c>
      <c r="D1948" t="s">
        <v>1548</v>
      </c>
      <c r="E1948" t="s">
        <v>1780</v>
      </c>
      <c r="F1948">
        <v>4</v>
      </c>
      <c r="G1948">
        <v>243.13</v>
      </c>
      <c r="H1948">
        <v>0.25</v>
      </c>
      <c r="I1948" t="s">
        <v>1812</v>
      </c>
      <c r="J1948">
        <v>729.39</v>
      </c>
    </row>
    <row r="1949" spans="1:10" x14ac:dyDescent="0.3">
      <c r="A1949" t="s">
        <v>3756</v>
      </c>
      <c r="B1949" s="1">
        <v>45614</v>
      </c>
      <c r="C1949" t="s">
        <v>731</v>
      </c>
      <c r="D1949" t="s">
        <v>1649</v>
      </c>
      <c r="E1949" t="s">
        <v>1775</v>
      </c>
      <c r="F1949">
        <v>2</v>
      </c>
      <c r="G1949">
        <v>410.63</v>
      </c>
      <c r="H1949">
        <v>0.28000000000000003</v>
      </c>
      <c r="I1949" t="s">
        <v>1812</v>
      </c>
      <c r="J1949">
        <v>591.30719999999997</v>
      </c>
    </row>
    <row r="1950" spans="1:10" x14ac:dyDescent="0.3">
      <c r="A1950" t="s">
        <v>3757</v>
      </c>
      <c r="B1950" s="1">
        <v>45293</v>
      </c>
      <c r="C1950" t="s">
        <v>1303</v>
      </c>
      <c r="D1950" t="s">
        <v>1719</v>
      </c>
      <c r="E1950" t="s">
        <v>1772</v>
      </c>
      <c r="F1950">
        <v>4</v>
      </c>
      <c r="G1950">
        <v>101.25</v>
      </c>
      <c r="H1950">
        <v>0.16</v>
      </c>
      <c r="I1950" t="s">
        <v>1809</v>
      </c>
      <c r="J1950">
        <v>340.2</v>
      </c>
    </row>
    <row r="1951" spans="1:10" x14ac:dyDescent="0.3">
      <c r="A1951" t="s">
        <v>3758</v>
      </c>
      <c r="B1951" s="1">
        <v>45301</v>
      </c>
      <c r="C1951" t="s">
        <v>724</v>
      </c>
      <c r="D1951" t="s">
        <v>1543</v>
      </c>
      <c r="E1951" t="s">
        <v>1790</v>
      </c>
      <c r="F1951">
        <v>4</v>
      </c>
      <c r="G1951">
        <v>716.39</v>
      </c>
      <c r="H1951">
        <v>0.03</v>
      </c>
      <c r="I1951" t="s">
        <v>1809</v>
      </c>
      <c r="J1951">
        <v>2779.5931999999998</v>
      </c>
    </row>
    <row r="1952" spans="1:10" x14ac:dyDescent="0.3">
      <c r="A1952" t="s">
        <v>3759</v>
      </c>
      <c r="B1952" s="1">
        <v>45311</v>
      </c>
      <c r="C1952" t="s">
        <v>333</v>
      </c>
      <c r="D1952" t="s">
        <v>1677</v>
      </c>
      <c r="E1952" t="s">
        <v>1740</v>
      </c>
      <c r="F1952">
        <v>1</v>
      </c>
      <c r="G1952">
        <v>721.74</v>
      </c>
      <c r="H1952">
        <v>0.24</v>
      </c>
      <c r="I1952" t="s">
        <v>1809</v>
      </c>
      <c r="J1952">
        <v>548.52240000000006</v>
      </c>
    </row>
    <row r="1953" spans="1:10" x14ac:dyDescent="0.3">
      <c r="A1953" t="s">
        <v>3760</v>
      </c>
      <c r="B1953" s="1">
        <v>45702</v>
      </c>
      <c r="C1953" t="s">
        <v>202</v>
      </c>
      <c r="D1953" t="s">
        <v>1655</v>
      </c>
      <c r="E1953" t="s">
        <v>1775</v>
      </c>
      <c r="F1953">
        <v>2</v>
      </c>
      <c r="G1953">
        <v>527.91</v>
      </c>
      <c r="H1953">
        <v>0.02</v>
      </c>
      <c r="I1953" t="s">
        <v>1807</v>
      </c>
      <c r="J1953">
        <v>1034.7036000000001</v>
      </c>
    </row>
    <row r="1954" spans="1:10" x14ac:dyDescent="0.3">
      <c r="A1954" t="s">
        <v>3761</v>
      </c>
      <c r="B1954" s="1">
        <v>45525</v>
      </c>
      <c r="C1954" t="s">
        <v>995</v>
      </c>
      <c r="D1954" t="s">
        <v>1635</v>
      </c>
      <c r="E1954" t="s">
        <v>1780</v>
      </c>
      <c r="F1954">
        <v>2</v>
      </c>
      <c r="G1954">
        <v>945.92</v>
      </c>
      <c r="H1954">
        <v>0.19</v>
      </c>
      <c r="I1954" t="s">
        <v>1812</v>
      </c>
      <c r="J1954">
        <v>1532.3904</v>
      </c>
    </row>
    <row r="1955" spans="1:10" x14ac:dyDescent="0.3">
      <c r="A1955" t="s">
        <v>3762</v>
      </c>
      <c r="B1955" s="1">
        <v>45780</v>
      </c>
      <c r="C1955" t="s">
        <v>292</v>
      </c>
      <c r="D1955" t="s">
        <v>1643</v>
      </c>
      <c r="E1955" t="s">
        <v>1790</v>
      </c>
      <c r="F1955">
        <v>2</v>
      </c>
      <c r="G1955">
        <v>981.35</v>
      </c>
      <c r="H1955">
        <v>0.16</v>
      </c>
      <c r="I1955" t="s">
        <v>1809</v>
      </c>
      <c r="J1955">
        <v>1648.6679999999999</v>
      </c>
    </row>
    <row r="1956" spans="1:10" x14ac:dyDescent="0.3">
      <c r="A1956" t="s">
        <v>3763</v>
      </c>
      <c r="B1956" s="1">
        <v>45819</v>
      </c>
      <c r="C1956" t="s">
        <v>716</v>
      </c>
      <c r="D1956" t="s">
        <v>1649</v>
      </c>
      <c r="E1956" t="s">
        <v>1749</v>
      </c>
      <c r="F1956">
        <v>1</v>
      </c>
      <c r="G1956">
        <v>913.99</v>
      </c>
      <c r="H1956">
        <v>0.14000000000000001</v>
      </c>
      <c r="I1956" t="s">
        <v>1807</v>
      </c>
      <c r="J1956">
        <v>786.03139999999996</v>
      </c>
    </row>
    <row r="1957" spans="1:10" x14ac:dyDescent="0.3">
      <c r="A1957" t="s">
        <v>3764</v>
      </c>
      <c r="B1957" s="1">
        <v>45863</v>
      </c>
      <c r="C1957" t="s">
        <v>55</v>
      </c>
      <c r="D1957" t="s">
        <v>1663</v>
      </c>
      <c r="E1957" t="s">
        <v>1765</v>
      </c>
      <c r="F1957">
        <v>4</v>
      </c>
      <c r="G1957">
        <v>270.69</v>
      </c>
      <c r="H1957">
        <v>0.18</v>
      </c>
      <c r="I1957" t="s">
        <v>1809</v>
      </c>
      <c r="J1957">
        <v>887.86320000000001</v>
      </c>
    </row>
    <row r="1958" spans="1:10" x14ac:dyDescent="0.3">
      <c r="A1958" t="s">
        <v>3765</v>
      </c>
      <c r="B1958" s="1">
        <v>45687</v>
      </c>
      <c r="C1958" t="s">
        <v>533</v>
      </c>
      <c r="D1958" t="s">
        <v>1685</v>
      </c>
      <c r="E1958" t="s">
        <v>1759</v>
      </c>
      <c r="F1958">
        <v>3</v>
      </c>
      <c r="G1958">
        <v>998.58</v>
      </c>
      <c r="H1958">
        <v>0.02</v>
      </c>
      <c r="I1958" t="s">
        <v>1807</v>
      </c>
      <c r="J1958">
        <v>2935.8252000000002</v>
      </c>
    </row>
    <row r="1959" spans="1:10" x14ac:dyDescent="0.3">
      <c r="A1959" t="s">
        <v>3766</v>
      </c>
      <c r="B1959" s="1">
        <v>45806</v>
      </c>
      <c r="C1959" t="s">
        <v>1392</v>
      </c>
      <c r="D1959" t="s">
        <v>1605</v>
      </c>
      <c r="E1959" t="s">
        <v>1769</v>
      </c>
      <c r="F1959">
        <v>3</v>
      </c>
      <c r="G1959">
        <v>765.12</v>
      </c>
      <c r="H1959">
        <v>0.18</v>
      </c>
      <c r="I1959" t="s">
        <v>1807</v>
      </c>
      <c r="J1959">
        <v>1882.1952000000001</v>
      </c>
    </row>
    <row r="1960" spans="1:10" x14ac:dyDescent="0.3">
      <c r="A1960" t="s">
        <v>3767</v>
      </c>
      <c r="B1960" s="1">
        <v>45216</v>
      </c>
      <c r="C1960" t="s">
        <v>261</v>
      </c>
      <c r="D1960" t="s">
        <v>1659</v>
      </c>
      <c r="E1960" t="s">
        <v>1796</v>
      </c>
      <c r="F1960">
        <v>3</v>
      </c>
      <c r="G1960">
        <v>449.99</v>
      </c>
      <c r="H1960">
        <v>0.17</v>
      </c>
      <c r="I1960" t="s">
        <v>1812</v>
      </c>
      <c r="J1960">
        <v>1120.4751000000001</v>
      </c>
    </row>
    <row r="1961" spans="1:10" x14ac:dyDescent="0.3">
      <c r="A1961" t="s">
        <v>3768</v>
      </c>
      <c r="B1961" s="1">
        <v>45639</v>
      </c>
      <c r="C1961" t="s">
        <v>800</v>
      </c>
      <c r="D1961" t="s">
        <v>1617</v>
      </c>
      <c r="E1961" t="s">
        <v>1775</v>
      </c>
      <c r="F1961">
        <v>2</v>
      </c>
      <c r="G1961">
        <v>249.02</v>
      </c>
      <c r="H1961">
        <v>0.01</v>
      </c>
      <c r="I1961" t="s">
        <v>1812</v>
      </c>
      <c r="J1961">
        <v>493.05959999999999</v>
      </c>
    </row>
    <row r="1962" spans="1:10" x14ac:dyDescent="0.3">
      <c r="A1962" t="s">
        <v>3769</v>
      </c>
      <c r="B1962" s="1">
        <v>45454</v>
      </c>
      <c r="C1962" t="s">
        <v>462</v>
      </c>
      <c r="D1962" t="s">
        <v>1645</v>
      </c>
      <c r="E1962" t="s">
        <v>1796</v>
      </c>
      <c r="F1962">
        <v>3</v>
      </c>
      <c r="G1962">
        <v>223.64</v>
      </c>
      <c r="H1962">
        <v>0.05</v>
      </c>
      <c r="I1962" t="s">
        <v>1807</v>
      </c>
      <c r="J1962">
        <v>637.37399999999991</v>
      </c>
    </row>
    <row r="1963" spans="1:10" x14ac:dyDescent="0.3">
      <c r="A1963" t="s">
        <v>3770</v>
      </c>
      <c r="B1963" s="1">
        <v>45934</v>
      </c>
      <c r="C1963" t="s">
        <v>370</v>
      </c>
      <c r="D1963" t="s">
        <v>1579</v>
      </c>
      <c r="E1963" t="s">
        <v>1752</v>
      </c>
      <c r="F1963">
        <v>2</v>
      </c>
      <c r="G1963">
        <v>92.94</v>
      </c>
      <c r="H1963">
        <v>0.12</v>
      </c>
      <c r="I1963" t="s">
        <v>1807</v>
      </c>
      <c r="J1963">
        <v>163.5744</v>
      </c>
    </row>
    <row r="1964" spans="1:10" x14ac:dyDescent="0.3">
      <c r="A1964" t="s">
        <v>3771</v>
      </c>
      <c r="B1964" s="1">
        <v>45401</v>
      </c>
      <c r="C1964" t="s">
        <v>1118</v>
      </c>
      <c r="D1964" t="s">
        <v>1563</v>
      </c>
      <c r="E1964" t="s">
        <v>1744</v>
      </c>
      <c r="F1964">
        <v>4</v>
      </c>
      <c r="G1964">
        <v>268.3</v>
      </c>
      <c r="H1964">
        <v>0.02</v>
      </c>
      <c r="I1964" t="s">
        <v>1812</v>
      </c>
      <c r="J1964">
        <v>1051.7360000000001</v>
      </c>
    </row>
    <row r="1965" spans="1:10" x14ac:dyDescent="0.3">
      <c r="A1965" t="s">
        <v>3772</v>
      </c>
      <c r="B1965" s="1">
        <v>45770</v>
      </c>
      <c r="C1965" t="s">
        <v>1352</v>
      </c>
      <c r="D1965" t="s">
        <v>1649</v>
      </c>
      <c r="E1965" t="s">
        <v>1796</v>
      </c>
      <c r="F1965">
        <v>4</v>
      </c>
      <c r="G1965">
        <v>835.61</v>
      </c>
      <c r="H1965">
        <v>0.03</v>
      </c>
      <c r="I1965" t="s">
        <v>1807</v>
      </c>
      <c r="J1965">
        <v>3242.1668</v>
      </c>
    </row>
    <row r="1966" spans="1:10" x14ac:dyDescent="0.3">
      <c r="A1966" t="s">
        <v>3773</v>
      </c>
      <c r="B1966" s="1">
        <v>45405</v>
      </c>
      <c r="C1966" t="s">
        <v>1180</v>
      </c>
      <c r="D1966" t="s">
        <v>1667</v>
      </c>
      <c r="E1966" t="s">
        <v>1756</v>
      </c>
      <c r="F1966">
        <v>3</v>
      </c>
      <c r="G1966">
        <v>120.97</v>
      </c>
      <c r="H1966">
        <v>0.11</v>
      </c>
      <c r="I1966" t="s">
        <v>1807</v>
      </c>
      <c r="J1966">
        <v>322.98989999999998</v>
      </c>
    </row>
    <row r="1967" spans="1:10" x14ac:dyDescent="0.3">
      <c r="A1967" t="s">
        <v>3774</v>
      </c>
      <c r="B1967" s="1">
        <v>45424</v>
      </c>
      <c r="C1967" t="s">
        <v>124</v>
      </c>
      <c r="D1967" t="s">
        <v>1611</v>
      </c>
      <c r="E1967" t="s">
        <v>1769</v>
      </c>
      <c r="F1967">
        <v>2</v>
      </c>
      <c r="G1967">
        <v>26.36</v>
      </c>
      <c r="H1967">
        <v>0.03</v>
      </c>
      <c r="I1967" t="s">
        <v>1812</v>
      </c>
      <c r="J1967">
        <v>51.138399999999997</v>
      </c>
    </row>
    <row r="1968" spans="1:10" x14ac:dyDescent="0.3">
      <c r="A1968" t="s">
        <v>3775</v>
      </c>
      <c r="B1968" s="1">
        <v>45881</v>
      </c>
      <c r="C1968" t="s">
        <v>134</v>
      </c>
      <c r="D1968" t="s">
        <v>1685</v>
      </c>
      <c r="E1968" t="s">
        <v>1759</v>
      </c>
      <c r="F1968">
        <v>1</v>
      </c>
      <c r="G1968">
        <v>918.87</v>
      </c>
      <c r="H1968">
        <v>0.11</v>
      </c>
      <c r="I1968" t="s">
        <v>1809</v>
      </c>
      <c r="J1968">
        <v>817.79430000000002</v>
      </c>
    </row>
    <row r="1969" spans="1:10" x14ac:dyDescent="0.3">
      <c r="A1969" t="s">
        <v>3776</v>
      </c>
      <c r="B1969" s="1">
        <v>45794</v>
      </c>
      <c r="C1969" t="s">
        <v>127</v>
      </c>
      <c r="D1969" t="s">
        <v>1665</v>
      </c>
      <c r="E1969" t="s">
        <v>1775</v>
      </c>
      <c r="F1969">
        <v>2</v>
      </c>
      <c r="G1969">
        <v>924.73</v>
      </c>
      <c r="H1969">
        <v>0.28999999999999998</v>
      </c>
      <c r="I1969" t="s">
        <v>1809</v>
      </c>
      <c r="J1969">
        <v>1313.1166000000001</v>
      </c>
    </row>
    <row r="1970" spans="1:10" x14ac:dyDescent="0.3">
      <c r="A1970" t="s">
        <v>3777</v>
      </c>
      <c r="B1970" s="1">
        <v>45665</v>
      </c>
      <c r="C1970" t="s">
        <v>93</v>
      </c>
      <c r="D1970" t="s">
        <v>1555</v>
      </c>
      <c r="E1970" t="s">
        <v>1772</v>
      </c>
      <c r="F1970">
        <v>3</v>
      </c>
      <c r="G1970">
        <v>195.31</v>
      </c>
      <c r="H1970">
        <v>0.13</v>
      </c>
      <c r="I1970" t="s">
        <v>1812</v>
      </c>
      <c r="J1970">
        <v>509.75909999999999</v>
      </c>
    </row>
    <row r="1971" spans="1:10" x14ac:dyDescent="0.3">
      <c r="A1971" t="s">
        <v>3778</v>
      </c>
      <c r="B1971" s="1">
        <v>45793</v>
      </c>
      <c r="C1971" t="s">
        <v>476</v>
      </c>
      <c r="D1971" t="s">
        <v>1607</v>
      </c>
      <c r="E1971" t="s">
        <v>1765</v>
      </c>
      <c r="F1971">
        <v>1</v>
      </c>
      <c r="G1971">
        <v>91.38</v>
      </c>
      <c r="H1971">
        <v>0.14000000000000001</v>
      </c>
      <c r="I1971" t="s">
        <v>1807</v>
      </c>
      <c r="J1971">
        <v>78.586799999999997</v>
      </c>
    </row>
    <row r="1972" spans="1:10" x14ac:dyDescent="0.3">
      <c r="A1972" t="s">
        <v>3779</v>
      </c>
      <c r="B1972" s="1">
        <v>45563</v>
      </c>
      <c r="C1972" t="s">
        <v>1470</v>
      </c>
      <c r="D1972" t="s">
        <v>1703</v>
      </c>
      <c r="E1972" t="s">
        <v>1775</v>
      </c>
      <c r="F1972">
        <v>2</v>
      </c>
      <c r="G1972">
        <v>494.35</v>
      </c>
      <c r="H1972">
        <v>0.1</v>
      </c>
      <c r="I1972" t="s">
        <v>1807</v>
      </c>
      <c r="J1972">
        <v>889.83</v>
      </c>
    </row>
    <row r="1973" spans="1:10" x14ac:dyDescent="0.3">
      <c r="A1973" t="s">
        <v>3780</v>
      </c>
      <c r="B1973" s="1">
        <v>45577</v>
      </c>
      <c r="C1973" t="s">
        <v>808</v>
      </c>
      <c r="D1973" t="s">
        <v>1579</v>
      </c>
      <c r="E1973" t="s">
        <v>1772</v>
      </c>
      <c r="F1973">
        <v>1</v>
      </c>
      <c r="G1973">
        <v>412.2</v>
      </c>
      <c r="H1973">
        <v>0.11</v>
      </c>
      <c r="I1973" t="s">
        <v>1807</v>
      </c>
      <c r="J1973">
        <v>366.858</v>
      </c>
    </row>
    <row r="1974" spans="1:10" x14ac:dyDescent="0.3">
      <c r="A1974" t="s">
        <v>3781</v>
      </c>
      <c r="B1974" s="1">
        <v>45466</v>
      </c>
      <c r="C1974" t="s">
        <v>1216</v>
      </c>
      <c r="D1974" t="s">
        <v>1689</v>
      </c>
      <c r="E1974" t="s">
        <v>1787</v>
      </c>
      <c r="F1974">
        <v>1</v>
      </c>
      <c r="G1974">
        <v>650.47</v>
      </c>
      <c r="H1974">
        <v>0.13</v>
      </c>
      <c r="I1974" t="s">
        <v>1809</v>
      </c>
      <c r="J1974">
        <v>565.90890000000002</v>
      </c>
    </row>
    <row r="1975" spans="1:10" x14ac:dyDescent="0.3">
      <c r="A1975" t="s">
        <v>3782</v>
      </c>
      <c r="B1975" s="1">
        <v>45256</v>
      </c>
      <c r="C1975" t="s">
        <v>515</v>
      </c>
      <c r="D1975" t="s">
        <v>1559</v>
      </c>
      <c r="E1975" t="s">
        <v>1777</v>
      </c>
      <c r="F1975">
        <v>1</v>
      </c>
      <c r="G1975">
        <v>68.209999999999994</v>
      </c>
      <c r="H1975">
        <v>0.05</v>
      </c>
      <c r="I1975" t="s">
        <v>1809</v>
      </c>
      <c r="J1975">
        <v>64.799499999999995</v>
      </c>
    </row>
    <row r="1976" spans="1:10" x14ac:dyDescent="0.3">
      <c r="A1976" t="s">
        <v>3783</v>
      </c>
      <c r="B1976" s="1">
        <v>45886</v>
      </c>
      <c r="C1976" t="s">
        <v>456</v>
      </c>
      <c r="D1976" t="s">
        <v>1637</v>
      </c>
      <c r="E1976" t="s">
        <v>1762</v>
      </c>
      <c r="F1976">
        <v>2</v>
      </c>
      <c r="G1976">
        <v>842.89</v>
      </c>
      <c r="H1976">
        <v>0.25</v>
      </c>
      <c r="I1976" t="s">
        <v>1812</v>
      </c>
      <c r="J1976">
        <v>1264.335</v>
      </c>
    </row>
    <row r="1977" spans="1:10" x14ac:dyDescent="0.3">
      <c r="A1977" t="s">
        <v>3784</v>
      </c>
      <c r="B1977" s="1">
        <v>45390</v>
      </c>
      <c r="C1977" t="s">
        <v>939</v>
      </c>
      <c r="D1977" t="s">
        <v>1538</v>
      </c>
      <c r="E1977" t="s">
        <v>1752</v>
      </c>
      <c r="F1977">
        <v>2</v>
      </c>
      <c r="G1977">
        <v>227.95</v>
      </c>
      <c r="H1977">
        <v>0.24</v>
      </c>
      <c r="I1977" t="s">
        <v>1812</v>
      </c>
      <c r="J1977">
        <v>346.48399999999998</v>
      </c>
    </row>
    <row r="1978" spans="1:10" x14ac:dyDescent="0.3">
      <c r="A1978" t="s">
        <v>3785</v>
      </c>
      <c r="B1978" s="1">
        <v>45388</v>
      </c>
      <c r="C1978" t="s">
        <v>625</v>
      </c>
      <c r="D1978" t="s">
        <v>1663</v>
      </c>
      <c r="E1978" t="s">
        <v>1777</v>
      </c>
      <c r="F1978">
        <v>3</v>
      </c>
      <c r="G1978">
        <v>685.97</v>
      </c>
      <c r="H1978">
        <v>0.24</v>
      </c>
      <c r="I1978" t="s">
        <v>1809</v>
      </c>
      <c r="J1978">
        <v>1564.0116</v>
      </c>
    </row>
    <row r="1979" spans="1:10" x14ac:dyDescent="0.3">
      <c r="A1979" t="s">
        <v>3786</v>
      </c>
      <c r="B1979" s="1">
        <v>45793</v>
      </c>
      <c r="C1979" t="s">
        <v>1129</v>
      </c>
      <c r="D1979" t="s">
        <v>1589</v>
      </c>
      <c r="E1979" t="s">
        <v>1744</v>
      </c>
      <c r="F1979">
        <v>1</v>
      </c>
      <c r="G1979">
        <v>722.57</v>
      </c>
      <c r="H1979">
        <v>0.18</v>
      </c>
      <c r="I1979" t="s">
        <v>1807</v>
      </c>
      <c r="J1979">
        <v>592.50740000000008</v>
      </c>
    </row>
    <row r="1980" spans="1:10" x14ac:dyDescent="0.3">
      <c r="A1980" t="s">
        <v>3787</v>
      </c>
      <c r="B1980" s="1">
        <v>45615</v>
      </c>
      <c r="C1980" t="s">
        <v>470</v>
      </c>
      <c r="D1980" t="s">
        <v>1601</v>
      </c>
      <c r="E1980" t="s">
        <v>1756</v>
      </c>
      <c r="F1980">
        <v>3</v>
      </c>
      <c r="G1980">
        <v>585.54999999999995</v>
      </c>
      <c r="H1980">
        <v>0.14000000000000001</v>
      </c>
      <c r="I1980" t="s">
        <v>1812</v>
      </c>
      <c r="J1980">
        <v>1510.7190000000001</v>
      </c>
    </row>
    <row r="1981" spans="1:10" x14ac:dyDescent="0.3">
      <c r="A1981" t="s">
        <v>3788</v>
      </c>
      <c r="B1981" s="1">
        <v>45666</v>
      </c>
      <c r="C1981" t="s">
        <v>965</v>
      </c>
      <c r="D1981" t="s">
        <v>1623</v>
      </c>
      <c r="E1981" t="s">
        <v>1780</v>
      </c>
      <c r="F1981">
        <v>2</v>
      </c>
      <c r="G1981">
        <v>635.80999999999995</v>
      </c>
      <c r="H1981">
        <v>0.13</v>
      </c>
      <c r="I1981" t="s">
        <v>1809</v>
      </c>
      <c r="J1981">
        <v>1106.3094000000001</v>
      </c>
    </row>
    <row r="1982" spans="1:10" x14ac:dyDescent="0.3">
      <c r="A1982" t="s">
        <v>3789</v>
      </c>
      <c r="B1982" s="1">
        <v>45644</v>
      </c>
      <c r="C1982" t="s">
        <v>873</v>
      </c>
      <c r="D1982" t="s">
        <v>1559</v>
      </c>
      <c r="E1982" t="s">
        <v>1752</v>
      </c>
      <c r="F1982">
        <v>2</v>
      </c>
      <c r="G1982">
        <v>353.74</v>
      </c>
      <c r="H1982">
        <v>0.01</v>
      </c>
      <c r="I1982" t="s">
        <v>1807</v>
      </c>
      <c r="J1982">
        <v>700.40520000000004</v>
      </c>
    </row>
    <row r="1983" spans="1:10" x14ac:dyDescent="0.3">
      <c r="A1983" t="s">
        <v>3790</v>
      </c>
      <c r="B1983" s="1">
        <v>45648</v>
      </c>
      <c r="C1983" t="s">
        <v>835</v>
      </c>
      <c r="D1983" t="s">
        <v>1603</v>
      </c>
      <c r="E1983" t="s">
        <v>1762</v>
      </c>
      <c r="F1983">
        <v>1</v>
      </c>
      <c r="G1983">
        <v>377.52</v>
      </c>
      <c r="H1983">
        <v>0.15</v>
      </c>
      <c r="I1983" t="s">
        <v>1807</v>
      </c>
      <c r="J1983">
        <v>320.892</v>
      </c>
    </row>
    <row r="1984" spans="1:10" x14ac:dyDescent="0.3">
      <c r="A1984" t="s">
        <v>3791</v>
      </c>
      <c r="B1984" s="1">
        <v>45500</v>
      </c>
      <c r="C1984" t="s">
        <v>663</v>
      </c>
      <c r="D1984" t="s">
        <v>1667</v>
      </c>
      <c r="E1984" t="s">
        <v>1744</v>
      </c>
      <c r="F1984">
        <v>3</v>
      </c>
      <c r="G1984">
        <v>901.49</v>
      </c>
      <c r="H1984">
        <v>0</v>
      </c>
      <c r="I1984" t="s">
        <v>1807</v>
      </c>
      <c r="J1984">
        <v>2704.47</v>
      </c>
    </row>
    <row r="1985" spans="1:10" x14ac:dyDescent="0.3">
      <c r="A1985" t="s">
        <v>3792</v>
      </c>
      <c r="B1985" s="1">
        <v>45806</v>
      </c>
      <c r="C1985" t="s">
        <v>648</v>
      </c>
      <c r="D1985" t="s">
        <v>1591</v>
      </c>
      <c r="E1985" t="s">
        <v>1756</v>
      </c>
      <c r="F1985">
        <v>1</v>
      </c>
      <c r="G1985">
        <v>563.01</v>
      </c>
      <c r="H1985">
        <v>0.1</v>
      </c>
      <c r="I1985" t="s">
        <v>1807</v>
      </c>
      <c r="J1985">
        <v>506.709</v>
      </c>
    </row>
    <row r="1986" spans="1:10" x14ac:dyDescent="0.3">
      <c r="A1986" t="s">
        <v>3793</v>
      </c>
      <c r="B1986" s="1">
        <v>45365</v>
      </c>
      <c r="C1986" t="s">
        <v>195</v>
      </c>
      <c r="D1986" t="s">
        <v>1671</v>
      </c>
      <c r="E1986" t="s">
        <v>1759</v>
      </c>
      <c r="F1986">
        <v>4</v>
      </c>
      <c r="G1986">
        <v>167.25</v>
      </c>
      <c r="H1986">
        <v>0.11</v>
      </c>
      <c r="I1986" t="s">
        <v>1807</v>
      </c>
      <c r="J1986">
        <v>595.41</v>
      </c>
    </row>
    <row r="1987" spans="1:10" x14ac:dyDescent="0.3">
      <c r="A1987" t="s">
        <v>3794</v>
      </c>
      <c r="B1987" s="1">
        <v>45229</v>
      </c>
      <c r="C1987" t="s">
        <v>1387</v>
      </c>
      <c r="D1987" t="s">
        <v>1651</v>
      </c>
      <c r="E1987" t="s">
        <v>1793</v>
      </c>
      <c r="F1987">
        <v>3</v>
      </c>
      <c r="G1987">
        <v>345.43</v>
      </c>
      <c r="H1987">
        <v>0.08</v>
      </c>
      <c r="I1987" t="s">
        <v>1812</v>
      </c>
      <c r="J1987">
        <v>953.38679999999999</v>
      </c>
    </row>
    <row r="1988" spans="1:10" x14ac:dyDescent="0.3">
      <c r="A1988" t="s">
        <v>3795</v>
      </c>
      <c r="B1988" s="1">
        <v>45349</v>
      </c>
      <c r="C1988" t="s">
        <v>962</v>
      </c>
      <c r="D1988" t="s">
        <v>1695</v>
      </c>
      <c r="E1988" t="s">
        <v>1769</v>
      </c>
      <c r="F1988">
        <v>4</v>
      </c>
      <c r="G1988">
        <v>752.48</v>
      </c>
      <c r="H1988">
        <v>0.23</v>
      </c>
      <c r="I1988" t="s">
        <v>1807</v>
      </c>
      <c r="J1988">
        <v>2317.6383999999998</v>
      </c>
    </row>
    <row r="1989" spans="1:10" x14ac:dyDescent="0.3">
      <c r="A1989" t="s">
        <v>3796</v>
      </c>
      <c r="B1989" s="1">
        <v>45886</v>
      </c>
      <c r="C1989" t="s">
        <v>1373</v>
      </c>
      <c r="D1989" t="s">
        <v>1645</v>
      </c>
      <c r="E1989" t="s">
        <v>1796</v>
      </c>
      <c r="F1989">
        <v>1</v>
      </c>
      <c r="G1989">
        <v>120.02</v>
      </c>
      <c r="H1989">
        <v>0.26</v>
      </c>
      <c r="I1989" t="s">
        <v>1807</v>
      </c>
      <c r="J1989">
        <v>88.814799999999991</v>
      </c>
    </row>
    <row r="1990" spans="1:10" x14ac:dyDescent="0.3">
      <c r="A1990" t="s">
        <v>3797</v>
      </c>
      <c r="B1990" s="1">
        <v>45359</v>
      </c>
      <c r="C1990" t="s">
        <v>1007</v>
      </c>
      <c r="D1990" t="s">
        <v>1613</v>
      </c>
      <c r="E1990" t="s">
        <v>1765</v>
      </c>
      <c r="F1990">
        <v>3</v>
      </c>
      <c r="G1990">
        <v>146.71</v>
      </c>
      <c r="H1990">
        <v>0.28000000000000003</v>
      </c>
      <c r="I1990" t="s">
        <v>1807</v>
      </c>
      <c r="J1990">
        <v>316.89359999999999</v>
      </c>
    </row>
    <row r="1991" spans="1:10" x14ac:dyDescent="0.3">
      <c r="A1991" t="s">
        <v>3798</v>
      </c>
      <c r="B1991" s="1">
        <v>45730</v>
      </c>
      <c r="C1991" t="s">
        <v>295</v>
      </c>
      <c r="D1991" t="s">
        <v>1659</v>
      </c>
      <c r="E1991" t="s">
        <v>1735</v>
      </c>
      <c r="F1991">
        <v>2</v>
      </c>
      <c r="G1991">
        <v>358.87</v>
      </c>
      <c r="H1991">
        <v>0.24</v>
      </c>
      <c r="I1991" t="s">
        <v>1807</v>
      </c>
      <c r="J1991">
        <v>545.48239999999998</v>
      </c>
    </row>
    <row r="1992" spans="1:10" x14ac:dyDescent="0.3">
      <c r="A1992" t="s">
        <v>3799</v>
      </c>
      <c r="B1992" s="1">
        <v>45456</v>
      </c>
      <c r="C1992" t="s">
        <v>767</v>
      </c>
      <c r="D1992" t="s">
        <v>1635</v>
      </c>
      <c r="E1992" t="s">
        <v>1749</v>
      </c>
      <c r="F1992">
        <v>4</v>
      </c>
      <c r="G1992">
        <v>212.75</v>
      </c>
      <c r="H1992">
        <v>0.11</v>
      </c>
      <c r="I1992" t="s">
        <v>1812</v>
      </c>
      <c r="J1992">
        <v>757.39</v>
      </c>
    </row>
    <row r="1993" spans="1:10" x14ac:dyDescent="0.3">
      <c r="A1993" t="s">
        <v>3800</v>
      </c>
      <c r="B1993" s="1">
        <v>45450</v>
      </c>
      <c r="C1993" t="s">
        <v>1018</v>
      </c>
      <c r="D1993" t="s">
        <v>1621</v>
      </c>
      <c r="E1993" t="s">
        <v>1775</v>
      </c>
      <c r="F1993">
        <v>1</v>
      </c>
      <c r="G1993">
        <v>183.47</v>
      </c>
      <c r="H1993">
        <v>0.17</v>
      </c>
      <c r="I1993" t="s">
        <v>1809</v>
      </c>
      <c r="J1993">
        <v>152.2801</v>
      </c>
    </row>
    <row r="1994" spans="1:10" x14ac:dyDescent="0.3">
      <c r="A1994" t="s">
        <v>3801</v>
      </c>
      <c r="B1994" s="1">
        <v>45493</v>
      </c>
      <c r="C1994" t="s">
        <v>248</v>
      </c>
      <c r="D1994" t="s">
        <v>1709</v>
      </c>
      <c r="E1994" t="s">
        <v>1784</v>
      </c>
      <c r="F1994">
        <v>4</v>
      </c>
      <c r="G1994">
        <v>569.98</v>
      </c>
      <c r="H1994">
        <v>0.23</v>
      </c>
      <c r="I1994" t="s">
        <v>1807</v>
      </c>
      <c r="J1994">
        <v>1755.5383999999999</v>
      </c>
    </row>
    <row r="1995" spans="1:10" x14ac:dyDescent="0.3">
      <c r="A1995" t="s">
        <v>3802</v>
      </c>
      <c r="B1995" s="1">
        <v>45274</v>
      </c>
      <c r="C1995" t="s">
        <v>1439</v>
      </c>
      <c r="D1995" t="s">
        <v>1573</v>
      </c>
      <c r="E1995" t="s">
        <v>1777</v>
      </c>
      <c r="F1995">
        <v>3</v>
      </c>
      <c r="G1995">
        <v>984.12</v>
      </c>
      <c r="H1995">
        <v>0.27</v>
      </c>
      <c r="I1995" t="s">
        <v>1807</v>
      </c>
      <c r="J1995">
        <v>2155.2228</v>
      </c>
    </row>
    <row r="1996" spans="1:10" x14ac:dyDescent="0.3">
      <c r="A1996" t="s">
        <v>3803</v>
      </c>
      <c r="B1996" s="1">
        <v>45844</v>
      </c>
      <c r="C1996" t="s">
        <v>1442</v>
      </c>
      <c r="D1996" t="s">
        <v>1699</v>
      </c>
      <c r="E1996" t="s">
        <v>1765</v>
      </c>
      <c r="F1996">
        <v>1</v>
      </c>
      <c r="G1996">
        <v>905.23</v>
      </c>
      <c r="H1996">
        <v>0</v>
      </c>
      <c r="I1996" t="s">
        <v>1807</v>
      </c>
      <c r="J1996">
        <v>905.23</v>
      </c>
    </row>
    <row r="1997" spans="1:10" x14ac:dyDescent="0.3">
      <c r="A1997" t="s">
        <v>3804</v>
      </c>
      <c r="B1997" s="1">
        <v>45264</v>
      </c>
      <c r="C1997" t="s">
        <v>607</v>
      </c>
      <c r="D1997" t="s">
        <v>1729</v>
      </c>
      <c r="E1997" t="s">
        <v>1796</v>
      </c>
      <c r="F1997">
        <v>3</v>
      </c>
      <c r="G1997">
        <v>112.77</v>
      </c>
      <c r="H1997">
        <v>0.19</v>
      </c>
      <c r="I1997" t="s">
        <v>1807</v>
      </c>
      <c r="J1997">
        <v>274.03109999999998</v>
      </c>
    </row>
    <row r="1998" spans="1:10" x14ac:dyDescent="0.3">
      <c r="A1998" t="s">
        <v>3805</v>
      </c>
      <c r="B1998" s="1">
        <v>45773</v>
      </c>
      <c r="C1998" t="s">
        <v>533</v>
      </c>
      <c r="D1998" t="s">
        <v>1601</v>
      </c>
      <c r="E1998" t="s">
        <v>1765</v>
      </c>
      <c r="F1998">
        <v>3</v>
      </c>
      <c r="G1998">
        <v>875.99</v>
      </c>
      <c r="H1998">
        <v>0.09</v>
      </c>
      <c r="I1998" t="s">
        <v>1809</v>
      </c>
      <c r="J1998">
        <v>2391.4526999999998</v>
      </c>
    </row>
    <row r="1999" spans="1:10" x14ac:dyDescent="0.3">
      <c r="A1999" t="s">
        <v>3806</v>
      </c>
      <c r="B1999" s="1">
        <v>45460</v>
      </c>
      <c r="C1999" t="s">
        <v>436</v>
      </c>
      <c r="D1999" t="s">
        <v>1709</v>
      </c>
      <c r="E1999" t="s">
        <v>1772</v>
      </c>
      <c r="F1999">
        <v>2</v>
      </c>
      <c r="G1999">
        <v>685.31</v>
      </c>
      <c r="H1999">
        <v>0.26</v>
      </c>
      <c r="I1999" t="s">
        <v>1809</v>
      </c>
      <c r="J1999">
        <v>1014.2588</v>
      </c>
    </row>
    <row r="2000" spans="1:10" x14ac:dyDescent="0.3">
      <c r="A2000" t="s">
        <v>3807</v>
      </c>
      <c r="B2000" s="1">
        <v>45607</v>
      </c>
      <c r="C2000" t="s">
        <v>195</v>
      </c>
      <c r="D2000" t="s">
        <v>1653</v>
      </c>
      <c r="E2000" t="s">
        <v>1775</v>
      </c>
      <c r="F2000">
        <v>3</v>
      </c>
      <c r="G2000">
        <v>945.37</v>
      </c>
      <c r="H2000">
        <v>0.05</v>
      </c>
      <c r="I2000" t="s">
        <v>1807</v>
      </c>
      <c r="J2000">
        <v>2694.3045000000002</v>
      </c>
    </row>
    <row r="2001" spans="1:10" x14ac:dyDescent="0.3">
      <c r="A2001" t="s">
        <v>3808</v>
      </c>
      <c r="B2001" s="1">
        <v>45267</v>
      </c>
      <c r="C2001" t="s">
        <v>100</v>
      </c>
      <c r="D2001" t="s">
        <v>1683</v>
      </c>
      <c r="E2001" t="s">
        <v>1796</v>
      </c>
      <c r="F2001">
        <v>3</v>
      </c>
      <c r="G2001">
        <v>68.45</v>
      </c>
      <c r="H2001">
        <v>0.17</v>
      </c>
      <c r="I2001" t="s">
        <v>1809</v>
      </c>
      <c r="J2001">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52A7-3621-423E-B853-B07F840B6651}">
  <dimension ref="A1:S493"/>
  <sheetViews>
    <sheetView workbookViewId="0">
      <selection activeCell="D17" sqref="D17"/>
    </sheetView>
  </sheetViews>
  <sheetFormatPr defaultRowHeight="14.4" x14ac:dyDescent="0.3"/>
  <cols>
    <col min="1" max="1" width="9.77734375" customWidth="1"/>
    <col min="2" max="2" width="12.109375" bestFit="1" customWidth="1"/>
    <col min="3" max="3" width="11.88671875" customWidth="1"/>
    <col min="4" max="4" width="12.5546875" customWidth="1"/>
    <col min="5" max="5" width="4.6640625" customWidth="1"/>
    <col min="6" max="6" width="5.6640625" customWidth="1"/>
    <col min="7" max="7" width="13.33203125" customWidth="1"/>
    <col min="9" max="9" width="7.21875" customWidth="1"/>
    <col min="10" max="10" width="16.109375" customWidth="1"/>
    <col min="11" max="11" width="9.77734375" customWidth="1"/>
    <col min="12" max="12" width="10.109375" customWidth="1"/>
    <col min="13" max="13" width="10.44140625" bestFit="1" customWidth="1"/>
    <col min="14" max="14" width="11" customWidth="1"/>
    <col min="15" max="15" width="7.77734375" customWidth="1"/>
    <col min="16" max="16" width="16.109375" customWidth="1"/>
    <col min="17" max="17" width="11.21875" bestFit="1" customWidth="1"/>
    <col min="18" max="18" width="11.44140625" customWidth="1"/>
    <col min="19" max="19" width="12.6640625" customWidth="1"/>
  </cols>
  <sheetData>
    <row r="1" spans="1:19" x14ac:dyDescent="0.3">
      <c r="A1" s="2" t="s">
        <v>3963</v>
      </c>
      <c r="B1" s="3" t="s">
        <v>3962</v>
      </c>
      <c r="C1" s="3" t="s">
        <v>3964</v>
      </c>
      <c r="D1" s="3" t="s">
        <v>1</v>
      </c>
      <c r="E1" s="3" t="s">
        <v>2</v>
      </c>
      <c r="F1" s="3" t="s">
        <v>3</v>
      </c>
      <c r="G1" s="3" t="s">
        <v>4</v>
      </c>
      <c r="H1" s="3" t="s">
        <v>5</v>
      </c>
      <c r="I1" s="3" t="s">
        <v>3939</v>
      </c>
      <c r="J1" s="3" t="s">
        <v>3965</v>
      </c>
      <c r="K1" s="3" t="s">
        <v>1521</v>
      </c>
      <c r="L1" s="3" t="s">
        <v>3966</v>
      </c>
      <c r="M1" s="3" t="s">
        <v>1523</v>
      </c>
      <c r="N1" s="3" t="s">
        <v>1524</v>
      </c>
      <c r="O1" s="3" t="s">
        <v>1525</v>
      </c>
      <c r="P1" s="3" t="s">
        <v>3967</v>
      </c>
      <c r="Q1" s="3" t="s">
        <v>1733</v>
      </c>
      <c r="R1" s="3" t="s">
        <v>3968</v>
      </c>
      <c r="S1" s="3" t="s">
        <v>3969</v>
      </c>
    </row>
    <row r="2" spans="1:19" x14ac:dyDescent="0.3">
      <c r="A2" t="s">
        <v>8</v>
      </c>
      <c r="B2" t="str">
        <f>_xlfn.XLOOKUP(Table7[[#This Row],[Customer ID]],Table6[Customer_ID],Table6[Store_ID])</f>
        <v>STORE16</v>
      </c>
      <c r="C2" t="str">
        <f>_xlfn.XLOOKUP(Table7[[#This Row],[Customer ID]],Table6[Customer_ID],Table6[Product_ID])</f>
        <v>PROD63</v>
      </c>
      <c r="D2" t="str">
        <f>VLOOKUP(Table7[[#This Row],[Customer ID]],Table4[#All],2,FALSE)</f>
        <v>Sheena Bonilla</v>
      </c>
      <c r="E2">
        <f>VLOOKUP($A2,Table4[],3,FALSE)</f>
        <v>55</v>
      </c>
      <c r="F2" t="str">
        <f>VLOOKUP($A2,Table4[],4,FALSE)</f>
        <v>Male</v>
      </c>
      <c r="G2" t="str">
        <f>VLOOKUP($A2,Table4[],5,FALSE)</f>
        <v>Donaldton</v>
      </c>
      <c r="H2" t="str">
        <f>VLOOKUP($A2,Table4[],6,FALSE)</f>
        <v>North Carolina</v>
      </c>
      <c r="I2" t="str">
        <f>VLOOKUP($A2,Table4[],8,FALSE)</f>
        <v>Platinum</v>
      </c>
      <c r="J2" t="str">
        <f>VLOOKUP($C2,Table1[],2,FALSE)</f>
        <v>Organic Sunscreen Lotion</v>
      </c>
      <c r="K2" t="str">
        <f>VLOOKUP($C2,Table1[],3,FALSE)</f>
        <v>Beauty</v>
      </c>
      <c r="L2" t="str">
        <f>VLOOKUP($C2,Table1[],4,FALSE)</f>
        <v>Skincare</v>
      </c>
      <c r="M2" t="str">
        <f>VLOOKUP($C2,Table1[],5,FALSE)</f>
        <v>Anderson-Riley</v>
      </c>
      <c r="N2">
        <f>VLOOKUP($C2,Table1[],6,FALSE)</f>
        <v>266.86</v>
      </c>
      <c r="O2">
        <f>VLOOKUP($C2,Table1[],7,FALSE)</f>
        <v>458</v>
      </c>
      <c r="P2" t="str">
        <f>_xlfn.XLOOKUP($B2,Table3[Store_ID],Table3[Store_Name])</f>
        <v>Frederick-Wright</v>
      </c>
      <c r="Q2" t="str" cm="1">
        <f t="array" ref="Q2">_xlfn.XLOOKUP($B2,Store_Dim!$A$2:$A$21,Table3[Region])</f>
        <v>West</v>
      </c>
      <c r="R2" t="str" cm="1">
        <f t="array" ref="R2">_xlfn.XLOOKUP($B2,Store_Dim!$A$2:$A$21,Table3[Store_Type])</f>
        <v>Flagship</v>
      </c>
      <c r="S2">
        <f>VLOOKUP(Table7[[#This Row],[Customer ID]],Table6[[Customer_ID]:[Total_Amount]],8,FALSE)</f>
        <v>598.23900000000003</v>
      </c>
    </row>
    <row r="3" spans="1:19" x14ac:dyDescent="0.3">
      <c r="A3" t="s">
        <v>14</v>
      </c>
      <c r="B3" t="str">
        <f>_xlfn.XLOOKUP(Table7[[#This Row],[Customer ID]],Table6[Customer_ID],Table6[Store_ID])</f>
        <v>STORE14</v>
      </c>
      <c r="C3" t="str">
        <f>_xlfn.XLOOKUP(Table7[[#This Row],[Customer ID]],Table6[Customer_ID],Table6[Product_ID])</f>
        <v>PROD51</v>
      </c>
      <c r="D3" t="str">
        <f>VLOOKUP(Table7[[#This Row],[Customer ID]],Table4[#All],2,FALSE)</f>
        <v>Eugene Nelson</v>
      </c>
      <c r="E3">
        <f>VLOOKUP($A3,Table4[],3,FALSE)</f>
        <v>26</v>
      </c>
      <c r="F3" t="str">
        <f>VLOOKUP($A3,Table4[],4,FALSE)</f>
        <v>Female</v>
      </c>
      <c r="G3" t="str">
        <f>VLOOKUP($A3,Table4[],5,FALSE)</f>
        <v>Phillipsmouth</v>
      </c>
      <c r="H3" t="str">
        <f>VLOOKUP($A3,Table4[],6,FALSE)</f>
        <v>North Dakota</v>
      </c>
      <c r="I3" t="str">
        <f>VLOOKUP($A3,Table4[],8,FALSE)</f>
        <v>Platinum</v>
      </c>
      <c r="J3" t="str">
        <f>VLOOKUP($C3,Table1[],2,FALSE)</f>
        <v>HDMI Cable – 2m</v>
      </c>
      <c r="K3" t="str">
        <f>VLOOKUP($C3,Table1[],3,FALSE)</f>
        <v>Electronics</v>
      </c>
      <c r="L3" t="str">
        <f>VLOOKUP($C3,Table1[],4,FALSE)</f>
        <v>Accessories</v>
      </c>
      <c r="M3" t="str">
        <f>VLOOKUP($C3,Table1[],5,FALSE)</f>
        <v>Bautista, Green and Hale</v>
      </c>
      <c r="N3">
        <f>VLOOKUP($C3,Table1[],6,FALSE)</f>
        <v>88.49</v>
      </c>
      <c r="O3">
        <f>VLOOKUP($C3,Table1[],7,FALSE)</f>
        <v>246</v>
      </c>
      <c r="P3" t="str">
        <f>_xlfn.XLOOKUP($B3,Table3[Store_ID],Table3[Store_Name])</f>
        <v>Mcdonald Inc</v>
      </c>
      <c r="Q3" t="str" cm="1">
        <f t="array" ref="Q3">_xlfn.XLOOKUP($B3,Store_Dim!$A$2:$A$21,Table3[Region])</f>
        <v>South</v>
      </c>
      <c r="R3" t="str" cm="1">
        <f t="array" ref="R3">_xlfn.XLOOKUP($B3,Store_Dim!$A$2:$A$21,Table3[Store_Type])</f>
        <v>Outlet</v>
      </c>
      <c r="S3">
        <f>VLOOKUP(Table7[[#This Row],[Customer ID]],Table6[[Customer_ID]:[Total_Amount]],8,FALSE)</f>
        <v>837.23609999999985</v>
      </c>
    </row>
    <row r="4" spans="1:19" x14ac:dyDescent="0.3">
      <c r="A4" t="s">
        <v>20</v>
      </c>
      <c r="B4" t="str">
        <f>_xlfn.XLOOKUP(Table7[[#This Row],[Customer ID]],Table6[Customer_ID],Table6[Store_ID])</f>
        <v>STORE17</v>
      </c>
      <c r="C4" t="str">
        <f>_xlfn.XLOOKUP(Table7[[#This Row],[Customer ID]],Table6[Customer_ID],Table6[Product_ID])</f>
        <v>PROD79</v>
      </c>
      <c r="D4" t="str">
        <f>VLOOKUP(Table7[[#This Row],[Customer ID]],Table4[#All],2,FALSE)</f>
        <v>Dr. Benjamin Price</v>
      </c>
      <c r="E4">
        <f>VLOOKUP($A4,Table4[],3,FALSE)</f>
        <v>29</v>
      </c>
      <c r="F4" t="str">
        <f>VLOOKUP($A4,Table4[],4,FALSE)</f>
        <v>Female</v>
      </c>
      <c r="G4" t="str">
        <f>VLOOKUP($A4,Table4[],5,FALSE)</f>
        <v>Kylebury</v>
      </c>
      <c r="H4" t="str">
        <f>VLOOKUP($A4,Table4[],6,FALSE)</f>
        <v>Alabama</v>
      </c>
      <c r="I4" t="str">
        <f>VLOOKUP($A4,Table4[],8,FALSE)</f>
        <v>Platinum</v>
      </c>
      <c r="J4" t="str">
        <f>VLOOKUP($C4,Table1[],2,FALSE)</f>
        <v>Decorative Lamp Shade</v>
      </c>
      <c r="K4" t="str">
        <f>VLOOKUP($C4,Table1[],3,FALSE)</f>
        <v>Home</v>
      </c>
      <c r="L4" t="str">
        <f>VLOOKUP($C4,Table1[],4,FALSE)</f>
        <v>Lighting</v>
      </c>
      <c r="M4" t="str">
        <f>VLOOKUP($C4,Table1[],5,FALSE)</f>
        <v>Ramirez-Hanson</v>
      </c>
      <c r="N4">
        <f>VLOOKUP($C4,Table1[],6,FALSE)</f>
        <v>228.53</v>
      </c>
      <c r="O4">
        <f>VLOOKUP($C4,Table1[],7,FALSE)</f>
        <v>469</v>
      </c>
      <c r="P4" t="str">
        <f>_xlfn.XLOOKUP($B4,Table3[Store_ID],Table3[Store_Name])</f>
        <v>Holloway Ltd</v>
      </c>
      <c r="Q4" t="str" cm="1">
        <f t="array" ref="Q4">_xlfn.XLOOKUP($B4,Store_Dim!$A$2:$A$21,Table3[Region])</f>
        <v>North</v>
      </c>
      <c r="R4" t="str" cm="1">
        <f t="array" ref="R4">_xlfn.XLOOKUP($B4,Store_Dim!$A$2:$A$21,Table3[Store_Type])</f>
        <v>Flagship</v>
      </c>
      <c r="S4">
        <f>VLOOKUP(Table7[[#This Row],[Customer ID]],Table6[[Customer_ID]:[Total_Amount]],8,FALSE)</f>
        <v>602.25120000000004</v>
      </c>
    </row>
    <row r="5" spans="1:19" x14ac:dyDescent="0.3">
      <c r="A5" t="s">
        <v>23</v>
      </c>
      <c r="B5" t="str">
        <f>_xlfn.XLOOKUP(Table7[[#This Row],[Customer ID]],Table6[Customer_ID],Table6[Store_ID])</f>
        <v>STORE14</v>
      </c>
      <c r="C5" t="str">
        <f>_xlfn.XLOOKUP(Table7[[#This Row],[Customer ID]],Table6[Customer_ID],Table6[Product_ID])</f>
        <v>PROD0</v>
      </c>
      <c r="D5" t="str">
        <f>VLOOKUP(Table7[[#This Row],[Customer ID]],Table4[#All],2,FALSE)</f>
        <v>Jeremy Harris</v>
      </c>
      <c r="E5">
        <f>VLOOKUP($A5,Table4[],3,FALSE)</f>
        <v>59</v>
      </c>
      <c r="F5" t="str">
        <f>VLOOKUP($A5,Table4[],4,FALSE)</f>
        <v>Female</v>
      </c>
      <c r="G5" t="str">
        <f>VLOOKUP($A5,Table4[],5,FALSE)</f>
        <v>Thomastown</v>
      </c>
      <c r="H5" t="str">
        <f>VLOOKUP($A5,Table4[],6,FALSE)</f>
        <v>Ohio</v>
      </c>
      <c r="I5" t="str">
        <f>VLOOKUP($A5,Table4[],8,FALSE)</f>
        <v>Bronze</v>
      </c>
      <c r="J5" t="str">
        <f>VLOOKUP($C5,Table1[],2,FALSE)</f>
        <v>Brother Laser Printer</v>
      </c>
      <c r="K5" t="str">
        <f>VLOOKUP($C5,Table1[],3,FALSE)</f>
        <v>Electronics</v>
      </c>
      <c r="L5" t="str">
        <f>VLOOKUP($C5,Table1[],4,FALSE)</f>
        <v>Computer</v>
      </c>
      <c r="M5" t="str">
        <f>VLOOKUP($C5,Table1[],5,FALSE)</f>
        <v>Hunt Inc</v>
      </c>
      <c r="N5">
        <f>VLOOKUP($C5,Table1[],6,FALSE)</f>
        <v>112.42</v>
      </c>
      <c r="O5">
        <f>VLOOKUP($C5,Table1[],7,FALSE)</f>
        <v>416</v>
      </c>
      <c r="P5" t="str">
        <f>_xlfn.XLOOKUP($B5,Table3[Store_ID],Table3[Store_Name])</f>
        <v>Mcdonald Inc</v>
      </c>
      <c r="Q5" t="str" cm="1">
        <f t="array" ref="Q5">_xlfn.XLOOKUP($B5,Store_Dim!$A$2:$A$21,Table3[Region])</f>
        <v>South</v>
      </c>
      <c r="R5" t="str" cm="1">
        <f t="array" ref="R5">_xlfn.XLOOKUP($B5,Store_Dim!$A$2:$A$21,Table3[Store_Type])</f>
        <v>Outlet</v>
      </c>
      <c r="S5">
        <f>VLOOKUP(Table7[[#This Row],[Customer ID]],Table6[[Customer_ID]:[Total_Amount]],8,FALSE)</f>
        <v>445.10399999999998</v>
      </c>
    </row>
    <row r="6" spans="1:19" x14ac:dyDescent="0.3">
      <c r="A6" t="s">
        <v>27</v>
      </c>
      <c r="B6" t="str">
        <f>_xlfn.XLOOKUP(Table7[[#This Row],[Customer ID]],Table6[Customer_ID],Table6[Store_ID])</f>
        <v>STORE17</v>
      </c>
      <c r="C6" t="str">
        <f>_xlfn.XLOOKUP(Table7[[#This Row],[Customer ID]],Table6[Customer_ID],Table6[Product_ID])</f>
        <v>PROD47</v>
      </c>
      <c r="D6" t="str">
        <f>VLOOKUP(Table7[[#This Row],[Customer ID]],Table4[#All],2,FALSE)</f>
        <v>Caroline Collins</v>
      </c>
      <c r="E6">
        <f>VLOOKUP($A6,Table4[],3,FALSE)</f>
        <v>64</v>
      </c>
      <c r="F6" t="str">
        <f>VLOOKUP($A6,Table4[],4,FALSE)</f>
        <v>Female</v>
      </c>
      <c r="G6" t="str">
        <f>VLOOKUP($A6,Table4[],5,FALSE)</f>
        <v>Nicholasshire</v>
      </c>
      <c r="H6" t="str">
        <f>VLOOKUP($A6,Table4[],6,FALSE)</f>
        <v>California</v>
      </c>
      <c r="I6" t="str">
        <f>VLOOKUP($A6,Table4[],8,FALSE)</f>
        <v>Silver</v>
      </c>
      <c r="J6" t="str">
        <f>VLOOKUP($C6,Table1[],2,FALSE)</f>
        <v>Makeup Brush Set</v>
      </c>
      <c r="K6" t="str">
        <f>VLOOKUP($C6,Table1[],3,FALSE)</f>
        <v>Beauty</v>
      </c>
      <c r="L6" t="str">
        <f>VLOOKUP($C6,Table1[],4,FALSE)</f>
        <v>Makeup</v>
      </c>
      <c r="M6" t="str">
        <f>VLOOKUP($C6,Table1[],5,FALSE)</f>
        <v>Cook Inc</v>
      </c>
      <c r="N6">
        <f>VLOOKUP($C6,Table1[],6,FALSE)</f>
        <v>241.07</v>
      </c>
      <c r="O6">
        <f>VLOOKUP($C6,Table1[],7,FALSE)</f>
        <v>431</v>
      </c>
      <c r="P6" t="str">
        <f>_xlfn.XLOOKUP($B6,Table3[Store_ID],Table3[Store_Name])</f>
        <v>Holloway Ltd</v>
      </c>
      <c r="Q6" t="str" cm="1">
        <f t="array" ref="Q6">_xlfn.XLOOKUP($B6,Store_Dim!$A$2:$A$21,Table3[Region])</f>
        <v>North</v>
      </c>
      <c r="R6" t="str" cm="1">
        <f t="array" ref="R6">_xlfn.XLOOKUP($B6,Store_Dim!$A$2:$A$21,Table3[Store_Type])</f>
        <v>Flagship</v>
      </c>
      <c r="S6">
        <f>VLOOKUP(Table7[[#This Row],[Customer ID]],Table6[[Customer_ID]:[Total_Amount]],8,FALSE)</f>
        <v>476.91660000000002</v>
      </c>
    </row>
    <row r="7" spans="1:19" x14ac:dyDescent="0.3">
      <c r="A7" t="s">
        <v>32</v>
      </c>
      <c r="B7" t="str">
        <f>_xlfn.XLOOKUP(Table7[[#This Row],[Customer ID]],Table6[Customer_ID],Table6[Store_ID])</f>
        <v>STORE12</v>
      </c>
      <c r="C7" t="str">
        <f>_xlfn.XLOOKUP(Table7[[#This Row],[Customer ID]],Table6[Customer_ID],Table6[Product_ID])</f>
        <v>PROD61</v>
      </c>
      <c r="D7" t="str">
        <f>VLOOKUP(Table7[[#This Row],[Customer ID]],Table4[#All],2,FALSE)</f>
        <v>Christine Vaughn</v>
      </c>
      <c r="E7">
        <f>VLOOKUP($A7,Table4[],3,FALSE)</f>
        <v>24</v>
      </c>
      <c r="F7" t="str">
        <f>VLOOKUP($A7,Table4[],4,FALSE)</f>
        <v>Male</v>
      </c>
      <c r="G7" t="str">
        <f>VLOOKUP($A7,Table4[],5,FALSE)</f>
        <v>East Amandamouth</v>
      </c>
      <c r="H7" t="str">
        <f>VLOOKUP($A7,Table4[],6,FALSE)</f>
        <v>Oregon</v>
      </c>
      <c r="I7" t="str">
        <f>VLOOKUP($A7,Table4[],8,FALSE)</f>
        <v>Bronze</v>
      </c>
      <c r="J7" t="str">
        <f>VLOOKUP($C7,Table1[],2,FALSE)</f>
        <v>Tennis Ball 3-Pack</v>
      </c>
      <c r="K7" t="str">
        <f>VLOOKUP($C7,Table1[],3,FALSE)</f>
        <v>Sports</v>
      </c>
      <c r="L7" t="str">
        <f>VLOOKUP($C7,Table1[],4,FALSE)</f>
        <v>Equipment</v>
      </c>
      <c r="M7" t="str">
        <f>VLOOKUP($C7,Table1[],5,FALSE)</f>
        <v>Lopez LLC</v>
      </c>
      <c r="N7">
        <f>VLOOKUP($C7,Table1[],6,FALSE)</f>
        <v>103.45</v>
      </c>
      <c r="O7">
        <f>VLOOKUP($C7,Table1[],7,FALSE)</f>
        <v>465</v>
      </c>
      <c r="P7" t="str">
        <f>_xlfn.XLOOKUP($B7,Table3[Store_ID],Table3[Store_Name])</f>
        <v>Thomas, Bridges and Harris</v>
      </c>
      <c r="Q7" t="str" cm="1">
        <f t="array" ref="Q7">_xlfn.XLOOKUP($B7,Store_Dim!$A$2:$A$21,Table3[Region])</f>
        <v>North</v>
      </c>
      <c r="R7" t="str" cm="1">
        <f t="array" ref="R7">_xlfn.XLOOKUP($B7,Store_Dim!$A$2:$A$21,Table3[Store_Type])</f>
        <v>Online</v>
      </c>
      <c r="S7">
        <f>VLOOKUP(Table7[[#This Row],[Customer ID]],Table6[[Customer_ID]:[Total_Amount]],8,FALSE)</f>
        <v>2574.9856</v>
      </c>
    </row>
    <row r="8" spans="1:19" x14ac:dyDescent="0.3">
      <c r="A8" t="s">
        <v>36</v>
      </c>
      <c r="B8" t="str">
        <f>_xlfn.XLOOKUP(Table7[[#This Row],[Customer ID]],Table6[Customer_ID],Table6[Store_ID])</f>
        <v>STORE4</v>
      </c>
      <c r="C8" t="str">
        <f>_xlfn.XLOOKUP(Table7[[#This Row],[Customer ID]],Table6[Customer_ID],Table6[Product_ID])</f>
        <v>PROD93</v>
      </c>
      <c r="D8" t="str">
        <f>VLOOKUP(Table7[[#This Row],[Customer ID]],Table4[#All],2,FALSE)</f>
        <v>Amber Jackson</v>
      </c>
      <c r="E8">
        <f>VLOOKUP($A8,Table4[],3,FALSE)</f>
        <v>29</v>
      </c>
      <c r="F8" t="str">
        <f>VLOOKUP($A8,Table4[],4,FALSE)</f>
        <v>Female</v>
      </c>
      <c r="G8" t="str">
        <f>VLOOKUP($A8,Table4[],5,FALSE)</f>
        <v>Deborahborough</v>
      </c>
      <c r="H8" t="str">
        <f>VLOOKUP($A8,Table4[],6,FALSE)</f>
        <v>South Dakota</v>
      </c>
      <c r="I8" t="str">
        <f>VLOOKUP($A8,Table4[],8,FALSE)</f>
        <v>Platinum</v>
      </c>
      <c r="J8" t="str">
        <f>VLOOKUP($C8,Table1[],2,FALSE)</f>
        <v>USB-C Laptop Charger</v>
      </c>
      <c r="K8" t="str">
        <f>VLOOKUP($C8,Table1[],3,FALSE)</f>
        <v>Electronics</v>
      </c>
      <c r="L8" t="str">
        <f>VLOOKUP($C8,Table1[],4,FALSE)</f>
        <v>Computer</v>
      </c>
      <c r="M8" t="str">
        <f>VLOOKUP($C8,Table1[],5,FALSE)</f>
        <v>Martin LLC</v>
      </c>
      <c r="N8">
        <f>VLOOKUP($C8,Table1[],6,FALSE)</f>
        <v>377.52</v>
      </c>
      <c r="O8">
        <f>VLOOKUP($C8,Table1[],7,FALSE)</f>
        <v>485</v>
      </c>
      <c r="P8" t="str">
        <f>_xlfn.XLOOKUP($B8,Table3[Store_ID],Table3[Store_Name])</f>
        <v>Alexander Group</v>
      </c>
      <c r="Q8" t="str" cm="1">
        <f t="array" ref="Q8">_xlfn.XLOOKUP($B8,Store_Dim!$A$2:$A$21,Table3[Region])</f>
        <v>South</v>
      </c>
      <c r="R8" t="str" cm="1">
        <f t="array" ref="R8">_xlfn.XLOOKUP($B8,Store_Dim!$A$2:$A$21,Table3[Store_Type])</f>
        <v>Online</v>
      </c>
      <c r="S8">
        <f>VLOOKUP(Table7[[#This Row],[Customer ID]],Table6[[Customer_ID]:[Total_Amount]],8,FALSE)</f>
        <v>1204.6944000000001</v>
      </c>
    </row>
    <row r="9" spans="1:19" x14ac:dyDescent="0.3">
      <c r="A9" t="s">
        <v>40</v>
      </c>
      <c r="B9" t="str">
        <f>_xlfn.XLOOKUP(Table7[[#This Row],[Customer ID]],Table6[Customer_ID],Table6[Store_ID])</f>
        <v>STORE15</v>
      </c>
      <c r="C9" t="str">
        <f>_xlfn.XLOOKUP(Table7[[#This Row],[Customer ID]],Table6[Customer_ID],Table6[Product_ID])</f>
        <v>PROD67</v>
      </c>
      <c r="D9" t="str">
        <f>VLOOKUP(Table7[[#This Row],[Customer ID]],Table4[#All],2,FALSE)</f>
        <v>Daniel Boyd</v>
      </c>
      <c r="E9">
        <f>VLOOKUP($A9,Table4[],3,FALSE)</f>
        <v>29</v>
      </c>
      <c r="F9" t="str">
        <f>VLOOKUP($A9,Table4[],4,FALSE)</f>
        <v>Female</v>
      </c>
      <c r="G9" t="str">
        <f>VLOOKUP($A9,Table4[],5,FALSE)</f>
        <v>West Pamelafurt</v>
      </c>
      <c r="H9" t="str">
        <f>VLOOKUP($A9,Table4[],6,FALSE)</f>
        <v>West Virginia</v>
      </c>
      <c r="I9" t="str">
        <f>VLOOKUP($A9,Table4[],8,FALSE)</f>
        <v>Bronze</v>
      </c>
      <c r="J9" t="str">
        <f>VLOOKUP($C9,Table1[],2,FALSE)</f>
        <v>Smart LED Light Strip</v>
      </c>
      <c r="K9" t="str">
        <f>VLOOKUP($C9,Table1[],3,FALSE)</f>
        <v>Electronics</v>
      </c>
      <c r="L9" t="str">
        <f>VLOOKUP($C9,Table1[],4,FALSE)</f>
        <v>Accessories</v>
      </c>
      <c r="M9" t="str">
        <f>VLOOKUP($C9,Table1[],5,FALSE)</f>
        <v>Flores-Davis</v>
      </c>
      <c r="N9">
        <f>VLOOKUP($C9,Table1[],6,FALSE)</f>
        <v>349.17</v>
      </c>
      <c r="O9">
        <f>VLOOKUP($C9,Table1[],7,FALSE)</f>
        <v>476</v>
      </c>
      <c r="P9" t="str">
        <f>_xlfn.XLOOKUP($B9,Table3[Store_ID],Table3[Store_Name])</f>
        <v>Shelton PLC</v>
      </c>
      <c r="Q9" t="str" cm="1">
        <f t="array" ref="Q9">_xlfn.XLOOKUP($B9,Store_Dim!$A$2:$A$21,Table3[Region])</f>
        <v>North</v>
      </c>
      <c r="R9" t="str" cm="1">
        <f t="array" ref="R9">_xlfn.XLOOKUP($B9,Store_Dim!$A$2:$A$21,Table3[Store_Type])</f>
        <v>Flagship</v>
      </c>
      <c r="S9">
        <f>VLOOKUP(Table7[[#This Row],[Customer ID]],Table6[[Customer_ID]:[Total_Amount]],8,FALSE)</f>
        <v>502.10860000000002</v>
      </c>
    </row>
    <row r="10" spans="1:19" x14ac:dyDescent="0.3">
      <c r="A10" t="s">
        <v>44</v>
      </c>
      <c r="B10" t="str">
        <f>_xlfn.XLOOKUP(Table7[[#This Row],[Customer ID]],Table6[Customer_ID],Table6[Store_ID])</f>
        <v>STORE11</v>
      </c>
      <c r="C10" t="str">
        <f>_xlfn.XLOOKUP(Table7[[#This Row],[Customer ID]],Table6[Customer_ID],Table6[Product_ID])</f>
        <v>PROD30</v>
      </c>
      <c r="D10" t="str">
        <f>VLOOKUP(Table7[[#This Row],[Customer ID]],Table4[#All],2,FALSE)</f>
        <v>Melissa Howard</v>
      </c>
      <c r="E10">
        <f>VLOOKUP($A10,Table4[],3,FALSE)</f>
        <v>53</v>
      </c>
      <c r="F10" t="str">
        <f>VLOOKUP($A10,Table4[],4,FALSE)</f>
        <v>Female</v>
      </c>
      <c r="G10" t="str">
        <f>VLOOKUP($A10,Table4[],5,FALSE)</f>
        <v>Maynardton</v>
      </c>
      <c r="H10" t="str">
        <f>VLOOKUP($A10,Table4[],6,FALSE)</f>
        <v>New Hampshire</v>
      </c>
      <c r="I10" t="str">
        <f>VLOOKUP($A10,Table4[],8,FALSE)</f>
        <v>Gold</v>
      </c>
      <c r="J10" t="str">
        <f>VLOOKUP($C10,Table1[],2,FALSE)</f>
        <v>Stainless Steel Cutlery Set</v>
      </c>
      <c r="K10" t="str">
        <f>VLOOKUP($C10,Table1[],3,FALSE)</f>
        <v>Home</v>
      </c>
      <c r="L10" t="str">
        <f>VLOOKUP($C10,Table1[],4,FALSE)</f>
        <v>Kitchen</v>
      </c>
      <c r="M10" t="str">
        <f>VLOOKUP($C10,Table1[],5,FALSE)</f>
        <v>Stevens, Fernandez and Martin</v>
      </c>
      <c r="N10">
        <f>VLOOKUP($C10,Table1[],6,FALSE)</f>
        <v>19.52</v>
      </c>
      <c r="O10">
        <f>VLOOKUP($C10,Table1[],7,FALSE)</f>
        <v>57</v>
      </c>
      <c r="P10" t="str">
        <f>_xlfn.XLOOKUP($B10,Table3[Store_ID],Table3[Store_Name])</f>
        <v>Aguirre-Keller</v>
      </c>
      <c r="Q10" t="str" cm="1">
        <f t="array" ref="Q10">_xlfn.XLOOKUP($B10,Store_Dim!$A$2:$A$21,Table3[Region])</f>
        <v>South</v>
      </c>
      <c r="R10" t="str" cm="1">
        <f t="array" ref="R10">_xlfn.XLOOKUP($B10,Store_Dim!$A$2:$A$21,Table3[Store_Type])</f>
        <v>Online</v>
      </c>
      <c r="S10">
        <f>VLOOKUP(Table7[[#This Row],[Customer ID]],Table6[[Customer_ID]:[Total_Amount]],8,FALSE)</f>
        <v>116.77079999999999</v>
      </c>
    </row>
    <row r="11" spans="1:19" x14ac:dyDescent="0.3">
      <c r="A11" t="s">
        <v>48</v>
      </c>
      <c r="B11" t="str">
        <f>_xlfn.XLOOKUP(Table7[[#This Row],[Customer ID]],Table6[Customer_ID],Table6[Store_ID])</f>
        <v>STORE13</v>
      </c>
      <c r="C11" t="str">
        <f>_xlfn.XLOOKUP(Table7[[#This Row],[Customer ID]],Table6[Customer_ID],Table6[Product_ID])</f>
        <v>PROD78</v>
      </c>
      <c r="D11" t="str">
        <f>VLOOKUP(Table7[[#This Row],[Customer ID]],Table4[#All],2,FALSE)</f>
        <v>Ms. Maria Leach</v>
      </c>
      <c r="E11">
        <f>VLOOKUP($A11,Table4[],3,FALSE)</f>
        <v>64</v>
      </c>
      <c r="F11" t="str">
        <f>VLOOKUP($A11,Table4[],4,FALSE)</f>
        <v>Male</v>
      </c>
      <c r="G11" t="str">
        <f>VLOOKUP($A11,Table4[],5,FALSE)</f>
        <v>Melissashire</v>
      </c>
      <c r="H11" t="str">
        <f>VLOOKUP($A11,Table4[],6,FALSE)</f>
        <v>Pennsylvania</v>
      </c>
      <c r="I11" t="str">
        <f>VLOOKUP($A11,Table4[],8,FALSE)</f>
        <v>Platinum</v>
      </c>
      <c r="J11" t="str">
        <f>VLOOKUP($C11,Table1[],2,FALSE)</f>
        <v>Essential Oil Diffuser</v>
      </c>
      <c r="K11" t="str">
        <f>VLOOKUP($C11,Table1[],3,FALSE)</f>
        <v>Home</v>
      </c>
      <c r="L11" t="str">
        <f>VLOOKUP($C11,Table1[],4,FALSE)</f>
        <v>Decor</v>
      </c>
      <c r="M11" t="str">
        <f>VLOOKUP($C11,Table1[],5,FALSE)</f>
        <v>Hernandez Inc</v>
      </c>
      <c r="N11">
        <f>VLOOKUP($C11,Table1[],6,FALSE)</f>
        <v>325.26</v>
      </c>
      <c r="O11">
        <f>VLOOKUP($C11,Table1[],7,FALSE)</f>
        <v>400</v>
      </c>
      <c r="P11" t="str">
        <f>_xlfn.XLOOKUP($B11,Table3[Store_ID],Table3[Store_Name])</f>
        <v>Gardner, Humphrey and Contreras</v>
      </c>
      <c r="Q11" t="str" cm="1">
        <f t="array" ref="Q11">_xlfn.XLOOKUP($B11,Store_Dim!$A$2:$A$21,Table3[Region])</f>
        <v>East</v>
      </c>
      <c r="R11" t="str" cm="1">
        <f t="array" ref="R11">_xlfn.XLOOKUP($B11,Store_Dim!$A$2:$A$21,Table3[Store_Type])</f>
        <v>Flagship</v>
      </c>
      <c r="S11">
        <f>VLOOKUP(Table7[[#This Row],[Customer ID]],Table6[[Customer_ID]:[Total_Amount]],8,FALSE)</f>
        <v>1173.508</v>
      </c>
    </row>
    <row r="12" spans="1:19" x14ac:dyDescent="0.3">
      <c r="A12" t="s">
        <v>52</v>
      </c>
      <c r="B12" t="str">
        <f>_xlfn.XLOOKUP(Table7[[#This Row],[Customer ID]],Table6[Customer_ID],Table6[Store_ID])</f>
        <v>STORE18</v>
      </c>
      <c r="C12" t="str">
        <f>_xlfn.XLOOKUP(Table7[[#This Row],[Customer ID]],Table6[Customer_ID],Table6[Product_ID])</f>
        <v>PROD33</v>
      </c>
      <c r="D12" t="str">
        <f>VLOOKUP(Table7[[#This Row],[Customer ID]],Table4[#All],2,FALSE)</f>
        <v>Dominic Page</v>
      </c>
      <c r="E12">
        <f>VLOOKUP($A12,Table4[],3,FALSE)</f>
        <v>53</v>
      </c>
      <c r="F12" t="str">
        <f>VLOOKUP($A12,Table4[],4,FALSE)</f>
        <v>Male</v>
      </c>
      <c r="G12" t="str">
        <f>VLOOKUP($A12,Table4[],5,FALSE)</f>
        <v>Port Michaelburgh</v>
      </c>
      <c r="H12" t="str">
        <f>VLOOKUP($A12,Table4[],6,FALSE)</f>
        <v>Pennsylvania</v>
      </c>
      <c r="I12" t="str">
        <f>VLOOKUP($A12,Table4[],8,FALSE)</f>
        <v>Bronze</v>
      </c>
      <c r="J12" t="str">
        <f>VLOOKUP($C12,Table1[],2,FALSE)</f>
        <v>Modern Wall Clock</v>
      </c>
      <c r="K12" t="str">
        <f>VLOOKUP($C12,Table1[],3,FALSE)</f>
        <v>Home</v>
      </c>
      <c r="L12" t="str">
        <f>VLOOKUP($C12,Table1[],4,FALSE)</f>
        <v>Decor</v>
      </c>
      <c r="M12" t="str">
        <f>VLOOKUP($C12,Table1[],5,FALSE)</f>
        <v>Weiss-Watson</v>
      </c>
      <c r="N12">
        <f>VLOOKUP($C12,Table1[],6,FALSE)</f>
        <v>179.77</v>
      </c>
      <c r="O12">
        <f>VLOOKUP($C12,Table1[],7,FALSE)</f>
        <v>305</v>
      </c>
      <c r="P12" t="str">
        <f>_xlfn.XLOOKUP($B12,Table3[Store_ID],Table3[Store_Name])</f>
        <v>Guerrero-Schmitt</v>
      </c>
      <c r="Q12" t="str" cm="1">
        <f t="array" ref="Q12">_xlfn.XLOOKUP($B12,Store_Dim!$A$2:$A$21,Table3[Region])</f>
        <v>East</v>
      </c>
      <c r="R12" t="str" cm="1">
        <f t="array" ref="R12">_xlfn.XLOOKUP($B12,Store_Dim!$A$2:$A$21,Table3[Store_Type])</f>
        <v>Flagship</v>
      </c>
      <c r="S12">
        <f>VLOOKUP(Table7[[#This Row],[Customer ID]],Table6[[Customer_ID]:[Total_Amount]],8,FALSE)</f>
        <v>616.21119999999996</v>
      </c>
    </row>
    <row r="13" spans="1:19" x14ac:dyDescent="0.3">
      <c r="A13" t="s">
        <v>55</v>
      </c>
      <c r="B13" t="str">
        <f>_xlfn.XLOOKUP(Table7[[#This Row],[Customer ID]],Table6[Customer_ID],Table6[Store_ID])</f>
        <v>STORE17</v>
      </c>
      <c r="C13" t="str">
        <f>_xlfn.XLOOKUP(Table7[[#This Row],[Customer ID]],Table6[Customer_ID],Table6[Product_ID])</f>
        <v>PROD31</v>
      </c>
      <c r="D13" t="str">
        <f>VLOOKUP(Table7[[#This Row],[Customer ID]],Table4[#All],2,FALSE)</f>
        <v>Brian Lopez</v>
      </c>
      <c r="E13">
        <f>VLOOKUP($A13,Table4[],3,FALSE)</f>
        <v>28</v>
      </c>
      <c r="F13" t="str">
        <f>VLOOKUP($A13,Table4[],4,FALSE)</f>
        <v>Female</v>
      </c>
      <c r="G13" t="str">
        <f>VLOOKUP($A13,Table4[],5,FALSE)</f>
        <v>East Krista</v>
      </c>
      <c r="H13" t="str">
        <f>VLOOKUP($A13,Table4[],6,FALSE)</f>
        <v>New York</v>
      </c>
      <c r="I13" t="str">
        <f>VLOOKUP($A13,Table4[],8,FALSE)</f>
        <v>Gold</v>
      </c>
      <c r="J13" t="str">
        <f>VLOOKUP($C13,Table1[],2,FALSE)</f>
        <v>Basketball</v>
      </c>
      <c r="K13" t="str">
        <f>VLOOKUP($C13,Table1[],3,FALSE)</f>
        <v>Sports</v>
      </c>
      <c r="L13" t="str">
        <f>VLOOKUP($C13,Table1[],4,FALSE)</f>
        <v>Team Sports</v>
      </c>
      <c r="M13" t="str">
        <f>VLOOKUP($C13,Table1[],5,FALSE)</f>
        <v>Nolan-Snow</v>
      </c>
      <c r="N13">
        <f>VLOOKUP($C13,Table1[],6,FALSE)</f>
        <v>204.39</v>
      </c>
      <c r="O13">
        <f>VLOOKUP($C13,Table1[],7,FALSE)</f>
        <v>281</v>
      </c>
      <c r="P13" t="str">
        <f>_xlfn.XLOOKUP($B13,Table3[Store_ID],Table3[Store_Name])</f>
        <v>Holloway Ltd</v>
      </c>
      <c r="Q13" t="str" cm="1">
        <f t="array" ref="Q13">_xlfn.XLOOKUP($B13,Store_Dim!$A$2:$A$21,Table3[Region])</f>
        <v>North</v>
      </c>
      <c r="R13" t="str" cm="1">
        <f t="array" ref="R13">_xlfn.XLOOKUP($B13,Store_Dim!$A$2:$A$21,Table3[Store_Type])</f>
        <v>Flagship</v>
      </c>
      <c r="S13">
        <f>VLOOKUP(Table7[[#This Row],[Customer ID]],Table6[[Customer_ID]:[Total_Amount]],8,FALSE)</f>
        <v>560.37950000000001</v>
      </c>
    </row>
    <row r="14" spans="1:19" x14ac:dyDescent="0.3">
      <c r="A14" t="s">
        <v>59</v>
      </c>
      <c r="B14" t="str">
        <f>_xlfn.XLOOKUP(Table7[[#This Row],[Customer ID]],Table6[Customer_ID],Table6[Store_ID])</f>
        <v>STORE8</v>
      </c>
      <c r="C14" t="str">
        <f>_xlfn.XLOOKUP(Table7[[#This Row],[Customer ID]],Table6[Customer_ID],Table6[Product_ID])</f>
        <v>PROD27</v>
      </c>
      <c r="D14" t="str">
        <f>VLOOKUP(Table7[[#This Row],[Customer ID]],Table4[#All],2,FALSE)</f>
        <v>Kenneth Lambert</v>
      </c>
      <c r="E14">
        <f>VLOOKUP($A14,Table4[],3,FALSE)</f>
        <v>55</v>
      </c>
      <c r="F14" t="str">
        <f>VLOOKUP($A14,Table4[],4,FALSE)</f>
        <v>Female</v>
      </c>
      <c r="G14" t="str">
        <f>VLOOKUP($A14,Table4[],5,FALSE)</f>
        <v>North Kathryn</v>
      </c>
      <c r="H14" t="str">
        <f>VLOOKUP($A14,Table4[],6,FALSE)</f>
        <v>Kansas</v>
      </c>
      <c r="I14" t="str">
        <f>VLOOKUP($A14,Table4[],8,FALSE)</f>
        <v>Platinum</v>
      </c>
      <c r="J14" t="str">
        <f>VLOOKUP($C14,Table1[],2,FALSE)</f>
        <v>Decorative Floor Vase</v>
      </c>
      <c r="K14" t="str">
        <f>VLOOKUP($C14,Table1[],3,FALSE)</f>
        <v>Home</v>
      </c>
      <c r="L14" t="str">
        <f>VLOOKUP($C14,Table1[],4,FALSE)</f>
        <v>Decor</v>
      </c>
      <c r="M14" t="str">
        <f>VLOOKUP($C14,Table1[],5,FALSE)</f>
        <v>Khan, Jones and Paul</v>
      </c>
      <c r="N14">
        <f>VLOOKUP($C14,Table1[],6,FALSE)</f>
        <v>219.12</v>
      </c>
      <c r="O14">
        <f>VLOOKUP($C14,Table1[],7,FALSE)</f>
        <v>378</v>
      </c>
      <c r="P14" t="str">
        <f>_xlfn.XLOOKUP($B14,Table3[Store_ID],Table3[Store_Name])</f>
        <v>Bean, Jones and Park</v>
      </c>
      <c r="Q14" t="str" cm="1">
        <f t="array" ref="Q14">_xlfn.XLOOKUP($B14,Store_Dim!$A$2:$A$21,Table3[Region])</f>
        <v>West</v>
      </c>
      <c r="R14" t="str" cm="1">
        <f t="array" ref="R14">_xlfn.XLOOKUP($B14,Store_Dim!$A$2:$A$21,Table3[Store_Type])</f>
        <v>Online</v>
      </c>
      <c r="S14">
        <f>VLOOKUP(Table7[[#This Row],[Customer ID]],Table6[[Customer_ID]:[Total_Amount]],8,FALSE)</f>
        <v>1491.4119000000001</v>
      </c>
    </row>
    <row r="15" spans="1:19" x14ac:dyDescent="0.3">
      <c r="A15" t="s">
        <v>63</v>
      </c>
      <c r="B15" t="str">
        <f>_xlfn.XLOOKUP(Table7[[#This Row],[Customer ID]],Table6[Customer_ID],Table6[Store_ID])</f>
        <v>STORE1</v>
      </c>
      <c r="C15" t="str">
        <f>_xlfn.XLOOKUP(Table7[[#This Row],[Customer ID]],Table6[Customer_ID],Table6[Product_ID])</f>
        <v>PROD24</v>
      </c>
      <c r="D15" t="str">
        <f>VLOOKUP(Table7[[#This Row],[Customer ID]],Table4[#All],2,FALSE)</f>
        <v>Nathan Hernandez</v>
      </c>
      <c r="E15">
        <f>VLOOKUP($A15,Table4[],3,FALSE)</f>
        <v>32</v>
      </c>
      <c r="F15" t="str">
        <f>VLOOKUP($A15,Table4[],4,FALSE)</f>
        <v>Female</v>
      </c>
      <c r="G15" t="str">
        <f>VLOOKUP($A15,Table4[],5,FALSE)</f>
        <v>New Becky</v>
      </c>
      <c r="H15" t="str">
        <f>VLOOKUP($A15,Table4[],6,FALSE)</f>
        <v>Montana</v>
      </c>
      <c r="I15" t="str">
        <f>VLOOKUP($A15,Table4[],8,FALSE)</f>
        <v>Silver</v>
      </c>
      <c r="J15" t="str">
        <f>VLOOKUP($C15,Table1[],2,FALSE)</f>
        <v>Foldable Camping Chair</v>
      </c>
      <c r="K15" t="str">
        <f>VLOOKUP($C15,Table1[],3,FALSE)</f>
        <v>Sports</v>
      </c>
      <c r="L15" t="str">
        <f>VLOOKUP($C15,Table1[],4,FALSE)</f>
        <v>Outdoor</v>
      </c>
      <c r="M15" t="str">
        <f>VLOOKUP($C15,Table1[],5,FALSE)</f>
        <v>Cook Ltd</v>
      </c>
      <c r="N15">
        <f>VLOOKUP($C15,Table1[],6,FALSE)</f>
        <v>166.06</v>
      </c>
      <c r="O15">
        <f>VLOOKUP($C15,Table1[],7,FALSE)</f>
        <v>340</v>
      </c>
      <c r="P15" t="str">
        <f>_xlfn.XLOOKUP($B15,Table3[Store_ID],Table3[Store_Name])</f>
        <v>Martinez, Adkins and Johnson</v>
      </c>
      <c r="Q15" t="str" cm="1">
        <f t="array" ref="Q15">_xlfn.XLOOKUP($B15,Store_Dim!$A$2:$A$21,Table3[Region])</f>
        <v>North</v>
      </c>
      <c r="R15" t="str" cm="1">
        <f t="array" ref="R15">_xlfn.XLOOKUP($B15,Store_Dim!$A$2:$A$21,Table3[Store_Type])</f>
        <v>Flagship</v>
      </c>
      <c r="S15">
        <f>VLOOKUP(Table7[[#This Row],[Customer ID]],Table6[[Customer_ID]:[Total_Amount]],8,FALSE)</f>
        <v>1060.5816</v>
      </c>
    </row>
    <row r="16" spans="1:19" x14ac:dyDescent="0.3">
      <c r="A16" t="s">
        <v>67</v>
      </c>
      <c r="B16" t="str">
        <f>_xlfn.XLOOKUP(Table7[[#This Row],[Customer ID]],Table6[Customer_ID],Table6[Store_ID])</f>
        <v>STORE9</v>
      </c>
      <c r="C16" t="str">
        <f>_xlfn.XLOOKUP(Table7[[#This Row],[Customer ID]],Table6[Customer_ID],Table6[Product_ID])</f>
        <v>PROD26</v>
      </c>
      <c r="D16" t="str">
        <f>VLOOKUP(Table7[[#This Row],[Customer ID]],Table4[#All],2,FALSE)</f>
        <v>Ashley Cohen</v>
      </c>
      <c r="E16">
        <f>VLOOKUP($A16,Table4[],3,FALSE)</f>
        <v>53</v>
      </c>
      <c r="F16" t="str">
        <f>VLOOKUP($A16,Table4[],4,FALSE)</f>
        <v>Female</v>
      </c>
      <c r="G16" t="str">
        <f>VLOOKUP($A16,Table4[],5,FALSE)</f>
        <v>Lake Kristamouth</v>
      </c>
      <c r="H16" t="str">
        <f>VLOOKUP($A16,Table4[],6,FALSE)</f>
        <v>Nebraska</v>
      </c>
      <c r="I16" t="str">
        <f>VLOOKUP($A16,Table4[],8,FALSE)</f>
        <v>Silver</v>
      </c>
      <c r="J16" t="str">
        <f>VLOOKUP($C16,Table1[],2,FALSE)</f>
        <v>Wireless Bluetooth Speaker</v>
      </c>
      <c r="K16" t="str">
        <f>VLOOKUP($C16,Table1[],3,FALSE)</f>
        <v>Electronics</v>
      </c>
      <c r="L16" t="str">
        <f>VLOOKUP($C16,Table1[],4,FALSE)</f>
        <v>Audio</v>
      </c>
      <c r="M16" t="str">
        <f>VLOOKUP($C16,Table1[],5,FALSE)</f>
        <v>Reed-Schmidt</v>
      </c>
      <c r="N16">
        <f>VLOOKUP($C16,Table1[],6,FALSE)</f>
        <v>322.41000000000003</v>
      </c>
      <c r="O16">
        <f>VLOOKUP($C16,Table1[],7,FALSE)</f>
        <v>213</v>
      </c>
      <c r="P16" t="str">
        <f>_xlfn.XLOOKUP($B16,Table3[Store_ID],Table3[Store_Name])</f>
        <v>Moore, Padilla and Butler</v>
      </c>
      <c r="Q16" t="str" cm="1">
        <f t="array" ref="Q16">_xlfn.XLOOKUP($B16,Store_Dim!$A$2:$A$21,Table3[Region])</f>
        <v>South</v>
      </c>
      <c r="R16" t="str" cm="1">
        <f t="array" ref="R16">_xlfn.XLOOKUP($B16,Store_Dim!$A$2:$A$21,Table3[Store_Type])</f>
        <v>Flagship</v>
      </c>
      <c r="S16">
        <f>VLOOKUP(Table7[[#This Row],[Customer ID]],Table6[[Customer_ID]:[Total_Amount]],8,FALSE)</f>
        <v>817.15500000000009</v>
      </c>
    </row>
    <row r="17" spans="1:19" x14ac:dyDescent="0.3">
      <c r="A17" t="s">
        <v>71</v>
      </c>
      <c r="B17" t="str">
        <f>_xlfn.XLOOKUP(Table7[[#This Row],[Customer ID]],Table6[Customer_ID],Table6[Store_ID])</f>
        <v>STORE14</v>
      </c>
      <c r="C17" t="str">
        <f>_xlfn.XLOOKUP(Table7[[#This Row],[Customer ID]],Table6[Customer_ID],Table6[Product_ID])</f>
        <v>PROD18</v>
      </c>
      <c r="D17" t="str">
        <f>VLOOKUP(Table7[[#This Row],[Customer ID]],Table4[#All],2,FALSE)</f>
        <v>Laura Alvarez</v>
      </c>
      <c r="E17">
        <f>VLOOKUP($A17,Table4[],3,FALSE)</f>
        <v>49</v>
      </c>
      <c r="F17" t="str">
        <f>VLOOKUP($A17,Table4[],4,FALSE)</f>
        <v>Female</v>
      </c>
      <c r="G17" t="str">
        <f>VLOOKUP($A17,Table4[],5,FALSE)</f>
        <v>Lawsonhaven</v>
      </c>
      <c r="H17" t="str">
        <f>VLOOKUP($A17,Table4[],6,FALSE)</f>
        <v>Washington</v>
      </c>
      <c r="I17" t="str">
        <f>VLOOKUP($A17,Table4[],8,FALSE)</f>
        <v>Platinum</v>
      </c>
      <c r="J17" t="str">
        <f>VLOOKUP($C17,Table1[],2,FALSE)</f>
        <v>Women's Denim Jeans</v>
      </c>
      <c r="K17" t="str">
        <f>VLOOKUP($C17,Table1[],3,FALSE)</f>
        <v>Clothing</v>
      </c>
      <c r="L17" t="str">
        <f>VLOOKUP($C17,Table1[],4,FALSE)</f>
        <v>Bottoms</v>
      </c>
      <c r="M17" t="str">
        <f>VLOOKUP($C17,Table1[],5,FALSE)</f>
        <v>Guerra-Hendrix</v>
      </c>
      <c r="N17">
        <f>VLOOKUP($C17,Table1[],6,FALSE)</f>
        <v>303.75</v>
      </c>
      <c r="O17">
        <f>VLOOKUP($C17,Table1[],7,FALSE)</f>
        <v>343</v>
      </c>
      <c r="P17" t="str">
        <f>_xlfn.XLOOKUP($B17,Table3[Store_ID],Table3[Store_Name])</f>
        <v>Mcdonald Inc</v>
      </c>
      <c r="Q17" t="str" cm="1">
        <f t="array" ref="Q17">_xlfn.XLOOKUP($B17,Store_Dim!$A$2:$A$21,Table3[Region])</f>
        <v>South</v>
      </c>
      <c r="R17" t="str" cm="1">
        <f t="array" ref="R17">_xlfn.XLOOKUP($B17,Store_Dim!$A$2:$A$21,Table3[Store_Type])</f>
        <v>Outlet</v>
      </c>
      <c r="S17">
        <f>VLOOKUP(Table7[[#This Row],[Customer ID]],Table6[[Customer_ID]:[Total_Amount]],8,FALSE)</f>
        <v>2676.6990000000001</v>
      </c>
    </row>
    <row r="18" spans="1:19" x14ac:dyDescent="0.3">
      <c r="A18" t="s">
        <v>75</v>
      </c>
      <c r="B18" t="str">
        <f>_xlfn.XLOOKUP(Table7[[#This Row],[Customer ID]],Table6[Customer_ID],Table6[Store_ID])</f>
        <v>STORE4</v>
      </c>
      <c r="C18" t="str">
        <f>_xlfn.XLOOKUP(Table7[[#This Row],[Customer ID]],Table6[Customer_ID],Table6[Product_ID])</f>
        <v>PROD56</v>
      </c>
      <c r="D18" t="str">
        <f>VLOOKUP(Table7[[#This Row],[Customer ID]],Table4[#All],2,FALSE)</f>
        <v>John Scott</v>
      </c>
      <c r="E18">
        <f>VLOOKUP($A18,Table4[],3,FALSE)</f>
        <v>24</v>
      </c>
      <c r="F18" t="str">
        <f>VLOOKUP($A18,Table4[],4,FALSE)</f>
        <v>Female</v>
      </c>
      <c r="G18" t="str">
        <f>VLOOKUP($A18,Table4[],5,FALSE)</f>
        <v>South Christopher</v>
      </c>
      <c r="H18" t="str">
        <f>VLOOKUP($A18,Table4[],6,FALSE)</f>
        <v>Pennsylvania</v>
      </c>
      <c r="I18" t="str">
        <f>VLOOKUP($A18,Table4[],8,FALSE)</f>
        <v>Bronze</v>
      </c>
      <c r="J18" t="str">
        <f>VLOOKUP($C18,Table1[],2,FALSE)</f>
        <v>Premium Blanket Throw</v>
      </c>
      <c r="K18" t="str">
        <f>VLOOKUP($C18,Table1[],3,FALSE)</f>
        <v>Home</v>
      </c>
      <c r="L18" t="str">
        <f>VLOOKUP($C18,Table1[],4,FALSE)</f>
        <v>Decor</v>
      </c>
      <c r="M18" t="str">
        <f>VLOOKUP($C18,Table1[],5,FALSE)</f>
        <v>Hernandez, Kennedy and Porter</v>
      </c>
      <c r="N18">
        <f>VLOOKUP($C18,Table1[],6,FALSE)</f>
        <v>461.47</v>
      </c>
      <c r="O18">
        <f>VLOOKUP($C18,Table1[],7,FALSE)</f>
        <v>190</v>
      </c>
      <c r="P18" t="str">
        <f>_xlfn.XLOOKUP($B18,Table3[Store_ID],Table3[Store_Name])</f>
        <v>Alexander Group</v>
      </c>
      <c r="Q18" t="str" cm="1">
        <f t="array" ref="Q18">_xlfn.XLOOKUP($B18,Store_Dim!$A$2:$A$21,Table3[Region])</f>
        <v>South</v>
      </c>
      <c r="R18" t="str" cm="1">
        <f t="array" ref="R18">_xlfn.XLOOKUP($B18,Store_Dim!$A$2:$A$21,Table3[Store_Type])</f>
        <v>Online</v>
      </c>
      <c r="S18">
        <f>VLOOKUP(Table7[[#This Row],[Customer ID]],Table6[[Customer_ID]:[Total_Amount]],8,FALSE)</f>
        <v>1335.027</v>
      </c>
    </row>
    <row r="19" spans="1:19" x14ac:dyDescent="0.3">
      <c r="A19" t="s">
        <v>78</v>
      </c>
      <c r="B19" t="str">
        <f>_xlfn.XLOOKUP(Table7[[#This Row],[Customer ID]],Table6[Customer_ID],Table6[Store_ID])</f>
        <v>STORE17</v>
      </c>
      <c r="C19" t="str">
        <f>_xlfn.XLOOKUP(Table7[[#This Row],[Customer ID]],Table6[Customer_ID],Table6[Product_ID])</f>
        <v>PROD41</v>
      </c>
      <c r="D19" t="str">
        <f>VLOOKUP(Table7[[#This Row],[Customer ID]],Table4[#All],2,FALSE)</f>
        <v>Adam Cruz</v>
      </c>
      <c r="E19">
        <f>VLOOKUP($A19,Table4[],3,FALSE)</f>
        <v>60</v>
      </c>
      <c r="F19" t="str">
        <f>VLOOKUP($A19,Table4[],4,FALSE)</f>
        <v>Female</v>
      </c>
      <c r="G19" t="str">
        <f>VLOOKUP($A19,Table4[],5,FALSE)</f>
        <v>Brandonville</v>
      </c>
      <c r="H19" t="str">
        <f>VLOOKUP($A19,Table4[],6,FALSE)</f>
        <v>Georgia</v>
      </c>
      <c r="I19" t="str">
        <f>VLOOKUP($A19,Table4[],8,FALSE)</f>
        <v>Platinum</v>
      </c>
      <c r="J19" t="str">
        <f>VLOOKUP($C19,Table1[],2,FALSE)</f>
        <v>Yoga Exercise Mat</v>
      </c>
      <c r="K19" t="str">
        <f>VLOOKUP($C19,Table1[],3,FALSE)</f>
        <v>Sports</v>
      </c>
      <c r="L19" t="str">
        <f>VLOOKUP($C19,Table1[],4,FALSE)</f>
        <v>Fitness</v>
      </c>
      <c r="M19" t="str">
        <f>VLOOKUP($C19,Table1[],5,FALSE)</f>
        <v>Carroll, Long and Mendoza</v>
      </c>
      <c r="N19">
        <f>VLOOKUP($C19,Table1[],6,FALSE)</f>
        <v>313.26</v>
      </c>
      <c r="O19">
        <f>VLOOKUP($C19,Table1[],7,FALSE)</f>
        <v>369</v>
      </c>
      <c r="P19" t="str">
        <f>_xlfn.XLOOKUP($B19,Table3[Store_ID],Table3[Store_Name])</f>
        <v>Holloway Ltd</v>
      </c>
      <c r="Q19" t="str" cm="1">
        <f t="array" ref="Q19">_xlfn.XLOOKUP($B19,Store_Dim!$A$2:$A$21,Table3[Region])</f>
        <v>North</v>
      </c>
      <c r="R19" t="str" cm="1">
        <f t="array" ref="R19">_xlfn.XLOOKUP($B19,Store_Dim!$A$2:$A$21,Table3[Store_Type])</f>
        <v>Flagship</v>
      </c>
      <c r="S19">
        <f>VLOOKUP(Table7[[#This Row],[Customer ID]],Table6[[Customer_ID]:[Total_Amount]],8,FALSE)</f>
        <v>480.41250000000002</v>
      </c>
    </row>
    <row r="20" spans="1:19" x14ac:dyDescent="0.3">
      <c r="A20" t="s">
        <v>82</v>
      </c>
      <c r="B20" t="str">
        <f>_xlfn.XLOOKUP(Table7[[#This Row],[Customer ID]],Table6[Customer_ID],Table6[Store_ID])</f>
        <v>STORE15</v>
      </c>
      <c r="C20" t="str">
        <f>_xlfn.XLOOKUP(Table7[[#This Row],[Customer ID]],Table6[Customer_ID],Table6[Product_ID])</f>
        <v>PROD80</v>
      </c>
      <c r="D20" t="str">
        <f>VLOOKUP(Table7[[#This Row],[Customer ID]],Table4[#All],2,FALSE)</f>
        <v>Rhonda Moss</v>
      </c>
      <c r="E20">
        <f>VLOOKUP($A20,Table4[],3,FALSE)</f>
        <v>43</v>
      </c>
      <c r="F20" t="str">
        <f>VLOOKUP($A20,Table4[],4,FALSE)</f>
        <v>Male</v>
      </c>
      <c r="G20" t="str">
        <f>VLOOKUP($A20,Table4[],5,FALSE)</f>
        <v>South William</v>
      </c>
      <c r="H20" t="str">
        <f>VLOOKUP($A20,Table4[],6,FALSE)</f>
        <v>Kansas</v>
      </c>
      <c r="I20" t="str">
        <f>VLOOKUP($A20,Table4[],8,FALSE)</f>
        <v>Platinum</v>
      </c>
      <c r="J20" t="str">
        <f>VLOOKUP($C20,Table1[],2,FALSE)</f>
        <v>Wall-Mounted Spice Rack</v>
      </c>
      <c r="K20" t="str">
        <f>VLOOKUP($C20,Table1[],3,FALSE)</f>
        <v>Home</v>
      </c>
      <c r="L20" t="str">
        <f>VLOOKUP($C20,Table1[],4,FALSE)</f>
        <v>Kitchen</v>
      </c>
      <c r="M20" t="str">
        <f>VLOOKUP($C20,Table1[],5,FALSE)</f>
        <v>Allison Ltd</v>
      </c>
      <c r="N20">
        <f>VLOOKUP($C20,Table1[],6,FALSE)</f>
        <v>143.43</v>
      </c>
      <c r="O20">
        <f>VLOOKUP($C20,Table1[],7,FALSE)</f>
        <v>58</v>
      </c>
      <c r="P20" t="str">
        <f>_xlfn.XLOOKUP($B20,Table3[Store_ID],Table3[Store_Name])</f>
        <v>Shelton PLC</v>
      </c>
      <c r="Q20" t="str" cm="1">
        <f t="array" ref="Q20">_xlfn.XLOOKUP($B20,Store_Dim!$A$2:$A$21,Table3[Region])</f>
        <v>North</v>
      </c>
      <c r="R20" t="str" cm="1">
        <f t="array" ref="R20">_xlfn.XLOOKUP($B20,Store_Dim!$A$2:$A$21,Table3[Store_Type])</f>
        <v>Flagship</v>
      </c>
      <c r="S20">
        <f>VLOOKUP(Table7[[#This Row],[Customer ID]],Table6[[Customer_ID]:[Total_Amount]],8,FALSE)</f>
        <v>1746.712</v>
      </c>
    </row>
    <row r="21" spans="1:19" x14ac:dyDescent="0.3">
      <c r="A21" t="s">
        <v>85</v>
      </c>
      <c r="B21" t="str">
        <f>_xlfn.XLOOKUP(Table7[[#This Row],[Customer ID]],Table6[Customer_ID],Table6[Store_ID])</f>
        <v>STORE10</v>
      </c>
      <c r="C21" t="str">
        <f>_xlfn.XLOOKUP(Table7[[#This Row],[Customer ID]],Table6[Customer_ID],Table6[Product_ID])</f>
        <v>PROD76</v>
      </c>
      <c r="D21" t="str">
        <f>VLOOKUP(Table7[[#This Row],[Customer ID]],Table4[#All],2,FALSE)</f>
        <v>Michael Torres</v>
      </c>
      <c r="E21">
        <f>VLOOKUP($A21,Table4[],3,FALSE)</f>
        <v>46</v>
      </c>
      <c r="F21" t="str">
        <f>VLOOKUP($A21,Table4[],4,FALSE)</f>
        <v>Female</v>
      </c>
      <c r="G21" t="str">
        <f>VLOOKUP($A21,Table4[],5,FALSE)</f>
        <v>Gonzalezfort</v>
      </c>
      <c r="H21" t="str">
        <f>VLOOKUP($A21,Table4[],6,FALSE)</f>
        <v>New Jersey</v>
      </c>
      <c r="I21" t="str">
        <f>VLOOKUP($A21,Table4[],8,FALSE)</f>
        <v>Platinum</v>
      </c>
      <c r="J21" t="str">
        <f>VLOOKUP($C21,Table1[],2,FALSE)</f>
        <v>Wireless Mouse</v>
      </c>
      <c r="K21" t="str">
        <f>VLOOKUP($C21,Table1[],3,FALSE)</f>
        <v>Electronics</v>
      </c>
      <c r="L21" t="str">
        <f>VLOOKUP($C21,Table1[],4,FALSE)</f>
        <v>Computer</v>
      </c>
      <c r="M21" t="str">
        <f>VLOOKUP($C21,Table1[],5,FALSE)</f>
        <v>Larson Ltd</v>
      </c>
      <c r="N21">
        <f>VLOOKUP($C21,Table1[],6,FALSE)</f>
        <v>392.89</v>
      </c>
      <c r="O21">
        <f>VLOOKUP($C21,Table1[],7,FALSE)</f>
        <v>320</v>
      </c>
      <c r="P21" t="str">
        <f>_xlfn.XLOOKUP($B21,Table3[Store_ID],Table3[Store_Name])</f>
        <v>Hill, Wagner and Ballard</v>
      </c>
      <c r="Q21" t="str" cm="1">
        <f t="array" ref="Q21">_xlfn.XLOOKUP($B21,Store_Dim!$A$2:$A$21,Table3[Region])</f>
        <v>East</v>
      </c>
      <c r="R21" t="str" cm="1">
        <f t="array" ref="R21">_xlfn.XLOOKUP($B21,Store_Dim!$A$2:$A$21,Table3[Store_Type])</f>
        <v>Online</v>
      </c>
      <c r="S21">
        <f>VLOOKUP(Table7[[#This Row],[Customer ID]],Table6[[Customer_ID]:[Total_Amount]],8,FALSE)</f>
        <v>1029.4649999999999</v>
      </c>
    </row>
    <row r="22" spans="1:19" x14ac:dyDescent="0.3">
      <c r="A22" t="s">
        <v>89</v>
      </c>
      <c r="B22" t="str">
        <f>_xlfn.XLOOKUP(Table7[[#This Row],[Customer ID]],Table6[Customer_ID],Table6[Store_ID])</f>
        <v>STORE18</v>
      </c>
      <c r="C22" t="str">
        <f>_xlfn.XLOOKUP(Table7[[#This Row],[Customer ID]],Table6[Customer_ID],Table6[Product_ID])</f>
        <v>PROD70</v>
      </c>
      <c r="D22" t="str">
        <f>VLOOKUP(Table7[[#This Row],[Customer ID]],Table4[#All],2,FALSE)</f>
        <v>Bridget Allen</v>
      </c>
      <c r="E22">
        <f>VLOOKUP($A22,Table4[],3,FALSE)</f>
        <v>59</v>
      </c>
      <c r="F22" t="str">
        <f>VLOOKUP($A22,Table4[],4,FALSE)</f>
        <v>Male</v>
      </c>
      <c r="G22" t="str">
        <f>VLOOKUP($A22,Table4[],5,FALSE)</f>
        <v>Lake Shaneburgh</v>
      </c>
      <c r="H22" t="str">
        <f>VLOOKUP($A22,Table4[],6,FALSE)</f>
        <v>Delaware</v>
      </c>
      <c r="I22" t="str">
        <f>VLOOKUP($A22,Table4[],8,FALSE)</f>
        <v>Silver</v>
      </c>
      <c r="J22" t="str">
        <f>VLOOKUP($C22,Table1[],2,FALSE)</f>
        <v>Kitchen Storage Rack</v>
      </c>
      <c r="K22" t="str">
        <f>VLOOKUP($C22,Table1[],3,FALSE)</f>
        <v>Home</v>
      </c>
      <c r="L22" t="str">
        <f>VLOOKUP($C22,Table1[],4,FALSE)</f>
        <v>Storage</v>
      </c>
      <c r="M22" t="str">
        <f>VLOOKUP($C22,Table1[],5,FALSE)</f>
        <v>Duran Group</v>
      </c>
      <c r="N22">
        <f>VLOOKUP($C22,Table1[],6,FALSE)</f>
        <v>138.05000000000001</v>
      </c>
      <c r="O22">
        <f>VLOOKUP($C22,Table1[],7,FALSE)</f>
        <v>89</v>
      </c>
      <c r="P22" t="str">
        <f>_xlfn.XLOOKUP($B22,Table3[Store_ID],Table3[Store_Name])</f>
        <v>Guerrero-Schmitt</v>
      </c>
      <c r="Q22" t="str" cm="1">
        <f t="array" ref="Q22">_xlfn.XLOOKUP($B22,Store_Dim!$A$2:$A$21,Table3[Region])</f>
        <v>East</v>
      </c>
      <c r="R22" t="str" cm="1">
        <f t="array" ref="R22">_xlfn.XLOOKUP($B22,Store_Dim!$A$2:$A$21,Table3[Store_Type])</f>
        <v>Flagship</v>
      </c>
      <c r="S22">
        <f>VLOOKUP(Table7[[#This Row],[Customer ID]],Table6[[Customer_ID]:[Total_Amount]],8,FALSE)</f>
        <v>1084.6812</v>
      </c>
    </row>
    <row r="23" spans="1:19" x14ac:dyDescent="0.3">
      <c r="A23" t="s">
        <v>93</v>
      </c>
      <c r="B23" t="str">
        <f>_xlfn.XLOOKUP(Table7[[#This Row],[Customer ID]],Table6[Customer_ID],Table6[Store_ID])</f>
        <v>STORE18</v>
      </c>
      <c r="C23" t="str">
        <f>_xlfn.XLOOKUP(Table7[[#This Row],[Customer ID]],Table6[Customer_ID],Table6[Product_ID])</f>
        <v>PROD26</v>
      </c>
      <c r="D23" t="str">
        <f>VLOOKUP(Table7[[#This Row],[Customer ID]],Table4[#All],2,FALSE)</f>
        <v>Jeff Martinez</v>
      </c>
      <c r="E23">
        <f>VLOOKUP($A23,Table4[],3,FALSE)</f>
        <v>36</v>
      </c>
      <c r="F23" t="str">
        <f>VLOOKUP($A23,Table4[],4,FALSE)</f>
        <v>Female</v>
      </c>
      <c r="G23" t="str">
        <f>VLOOKUP($A23,Table4[],5,FALSE)</f>
        <v>Smithburgh</v>
      </c>
      <c r="H23" t="str">
        <f>VLOOKUP($A23,Table4[],6,FALSE)</f>
        <v>Oklahoma</v>
      </c>
      <c r="I23" t="str">
        <f>VLOOKUP($A23,Table4[],8,FALSE)</f>
        <v>Gold</v>
      </c>
      <c r="J23" t="str">
        <f>VLOOKUP($C23,Table1[],2,FALSE)</f>
        <v>Wireless Bluetooth Speaker</v>
      </c>
      <c r="K23" t="str">
        <f>VLOOKUP($C23,Table1[],3,FALSE)</f>
        <v>Electronics</v>
      </c>
      <c r="L23" t="str">
        <f>VLOOKUP($C23,Table1[],4,FALSE)</f>
        <v>Audio</v>
      </c>
      <c r="M23" t="str">
        <f>VLOOKUP($C23,Table1[],5,FALSE)</f>
        <v>Reed-Schmidt</v>
      </c>
      <c r="N23">
        <f>VLOOKUP($C23,Table1[],6,FALSE)</f>
        <v>322.41000000000003</v>
      </c>
      <c r="O23">
        <f>VLOOKUP($C23,Table1[],7,FALSE)</f>
        <v>213</v>
      </c>
      <c r="P23" t="str">
        <f>_xlfn.XLOOKUP($B23,Table3[Store_ID],Table3[Store_Name])</f>
        <v>Guerrero-Schmitt</v>
      </c>
      <c r="Q23" t="str" cm="1">
        <f t="array" ref="Q23">_xlfn.XLOOKUP($B23,Store_Dim!$A$2:$A$21,Table3[Region])</f>
        <v>East</v>
      </c>
      <c r="R23" t="str" cm="1">
        <f t="array" ref="R23">_xlfn.XLOOKUP($B23,Store_Dim!$A$2:$A$21,Table3[Store_Type])</f>
        <v>Flagship</v>
      </c>
      <c r="S23">
        <f>VLOOKUP(Table7[[#This Row],[Customer ID]],Table6[[Customer_ID]:[Total_Amount]],8,FALSE)</f>
        <v>138.4229</v>
      </c>
    </row>
    <row r="24" spans="1:19" x14ac:dyDescent="0.3">
      <c r="A24" t="s">
        <v>97</v>
      </c>
      <c r="B24" t="str">
        <f>_xlfn.XLOOKUP(Table7[[#This Row],[Customer ID]],Table6[Customer_ID],Table6[Store_ID])</f>
        <v>STORE8</v>
      </c>
      <c r="C24" t="str">
        <f>_xlfn.XLOOKUP(Table7[[#This Row],[Customer ID]],Table6[Customer_ID],Table6[Product_ID])</f>
        <v>PROD13</v>
      </c>
      <c r="D24" t="str">
        <f>VLOOKUP(Table7[[#This Row],[Customer ID]],Table4[#All],2,FALSE)</f>
        <v>Paul Fox</v>
      </c>
      <c r="E24">
        <f>VLOOKUP($A24,Table4[],3,FALSE)</f>
        <v>33</v>
      </c>
      <c r="F24" t="str">
        <f>VLOOKUP($A24,Table4[],4,FALSE)</f>
        <v>Female</v>
      </c>
      <c r="G24" t="str">
        <f>VLOOKUP($A24,Table4[],5,FALSE)</f>
        <v>Michaelton</v>
      </c>
      <c r="H24" t="str">
        <f>VLOOKUP($A24,Table4[],6,FALSE)</f>
        <v>Hawaii</v>
      </c>
      <c r="I24" t="str">
        <f>VLOOKUP($A24,Table4[],8,FALSE)</f>
        <v>Silver</v>
      </c>
      <c r="J24" t="str">
        <f>VLOOKUP($C24,Table1[],2,FALSE)</f>
        <v>USB-C Fast Charger</v>
      </c>
      <c r="K24" t="str">
        <f>VLOOKUP($C24,Table1[],3,FALSE)</f>
        <v>Electronics</v>
      </c>
      <c r="L24" t="str">
        <f>VLOOKUP($C24,Table1[],4,FALSE)</f>
        <v>Accessories</v>
      </c>
      <c r="M24" t="str">
        <f>VLOOKUP($C24,Table1[],5,FALSE)</f>
        <v>Dawson-Perkins</v>
      </c>
      <c r="N24">
        <f>VLOOKUP($C24,Table1[],6,FALSE)</f>
        <v>242.23</v>
      </c>
      <c r="O24">
        <f>VLOOKUP($C24,Table1[],7,FALSE)</f>
        <v>453</v>
      </c>
      <c r="P24" t="str">
        <f>_xlfn.XLOOKUP($B24,Table3[Store_ID],Table3[Store_Name])</f>
        <v>Bean, Jones and Park</v>
      </c>
      <c r="Q24" t="str" cm="1">
        <f t="array" ref="Q24">_xlfn.XLOOKUP($B24,Store_Dim!$A$2:$A$21,Table3[Region])</f>
        <v>West</v>
      </c>
      <c r="R24" t="str" cm="1">
        <f t="array" ref="R24">_xlfn.XLOOKUP($B24,Store_Dim!$A$2:$A$21,Table3[Store_Type])</f>
        <v>Online</v>
      </c>
      <c r="S24">
        <f>VLOOKUP(Table7[[#This Row],[Customer ID]],Table6[[Customer_ID]:[Total_Amount]],8,FALSE)</f>
        <v>1584.7840000000001</v>
      </c>
    </row>
    <row r="25" spans="1:19" x14ac:dyDescent="0.3">
      <c r="A25" t="s">
        <v>100</v>
      </c>
      <c r="B25" t="str">
        <f>_xlfn.XLOOKUP(Table7[[#This Row],[Customer ID]],Table6[Customer_ID],Table6[Store_ID])</f>
        <v>STORE3</v>
      </c>
      <c r="C25" t="str">
        <f>_xlfn.XLOOKUP(Table7[[#This Row],[Customer ID]],Table6[Customer_ID],Table6[Product_ID])</f>
        <v>PROD68</v>
      </c>
      <c r="D25" t="str">
        <f>VLOOKUP(Table7[[#This Row],[Customer ID]],Table4[#All],2,FALSE)</f>
        <v>Jonathan Steele</v>
      </c>
      <c r="E25">
        <f>VLOOKUP($A25,Table4[],3,FALSE)</f>
        <v>52</v>
      </c>
      <c r="F25" t="str">
        <f>VLOOKUP($A25,Table4[],4,FALSE)</f>
        <v>Female</v>
      </c>
      <c r="G25" t="str">
        <f>VLOOKUP($A25,Table4[],5,FALSE)</f>
        <v>Molinabury</v>
      </c>
      <c r="H25" t="str">
        <f>VLOOKUP($A25,Table4[],6,FALSE)</f>
        <v>Oregon</v>
      </c>
      <c r="I25" t="str">
        <f>VLOOKUP($A25,Table4[],8,FALSE)</f>
        <v>Silver</v>
      </c>
      <c r="J25" t="str">
        <f>VLOOKUP($C25,Table1[],2,FALSE)</f>
        <v>Wooden Nightstand</v>
      </c>
      <c r="K25" t="str">
        <f>VLOOKUP($C25,Table1[],3,FALSE)</f>
        <v>Home</v>
      </c>
      <c r="L25" t="str">
        <f>VLOOKUP($C25,Table1[],4,FALSE)</f>
        <v>Furniture</v>
      </c>
      <c r="M25" t="str">
        <f>VLOOKUP($C25,Table1[],5,FALSE)</f>
        <v>Wolfe, Ross and Hester</v>
      </c>
      <c r="N25">
        <f>VLOOKUP($C25,Table1[],6,FALSE)</f>
        <v>243.7</v>
      </c>
      <c r="O25">
        <f>VLOOKUP($C25,Table1[],7,FALSE)</f>
        <v>130</v>
      </c>
      <c r="P25" t="str">
        <f>_xlfn.XLOOKUP($B25,Table3[Store_ID],Table3[Store_Name])</f>
        <v>Johnson-Wright</v>
      </c>
      <c r="Q25" t="str" cm="1">
        <f t="array" ref="Q25">_xlfn.XLOOKUP($B25,Store_Dim!$A$2:$A$21,Table3[Region])</f>
        <v>North</v>
      </c>
      <c r="R25" t="str" cm="1">
        <f t="array" ref="R25">_xlfn.XLOOKUP($B25,Store_Dim!$A$2:$A$21,Table3[Store_Type])</f>
        <v>Outlet</v>
      </c>
      <c r="S25">
        <f>VLOOKUP(Table7[[#This Row],[Customer ID]],Table6[[Customer_ID]:[Total_Amount]],8,FALSE)</f>
        <v>1341.87</v>
      </c>
    </row>
    <row r="26" spans="1:19" x14ac:dyDescent="0.3">
      <c r="A26" t="s">
        <v>103</v>
      </c>
      <c r="B26" t="str">
        <f>_xlfn.XLOOKUP(Table7[[#This Row],[Customer ID]],Table6[Customer_ID],Table6[Store_ID])</f>
        <v>STORE6</v>
      </c>
      <c r="C26" t="str">
        <f>_xlfn.XLOOKUP(Table7[[#This Row],[Customer ID]],Table6[Customer_ID],Table6[Product_ID])</f>
        <v>PROD3</v>
      </c>
      <c r="D26" t="str">
        <f>VLOOKUP(Table7[[#This Row],[Customer ID]],Table4[#All],2,FALSE)</f>
        <v>Heather Collins</v>
      </c>
      <c r="E26">
        <f>VLOOKUP($A26,Table4[],3,FALSE)</f>
        <v>40</v>
      </c>
      <c r="F26" t="str">
        <f>VLOOKUP($A26,Table4[],4,FALSE)</f>
        <v>Male</v>
      </c>
      <c r="G26" t="str">
        <f>VLOOKUP($A26,Table4[],5,FALSE)</f>
        <v>Rogerschester</v>
      </c>
      <c r="H26" t="str">
        <f>VLOOKUP($A26,Table4[],6,FALSE)</f>
        <v>Idaho</v>
      </c>
      <c r="I26" t="str">
        <f>VLOOKUP($A26,Table4[],8,FALSE)</f>
        <v>Platinum</v>
      </c>
      <c r="J26" t="str">
        <f>VLOOKUP($C26,Table1[],2,FALSE)</f>
        <v>Men's Running Jacket</v>
      </c>
      <c r="K26" t="str">
        <f>VLOOKUP($C26,Table1[],3,FALSE)</f>
        <v>Clothing</v>
      </c>
      <c r="L26" t="str">
        <f>VLOOKUP($C26,Table1[],4,FALSE)</f>
        <v>Outerwear</v>
      </c>
      <c r="M26" t="str">
        <f>VLOOKUP($C26,Table1[],5,FALSE)</f>
        <v>Pineda Ltd</v>
      </c>
      <c r="N26">
        <f>VLOOKUP($C26,Table1[],6,FALSE)</f>
        <v>364.67</v>
      </c>
      <c r="O26">
        <f>VLOOKUP($C26,Table1[],7,FALSE)</f>
        <v>452</v>
      </c>
      <c r="P26" t="str">
        <f>_xlfn.XLOOKUP($B26,Table3[Store_ID],Table3[Store_Name])</f>
        <v>Benson-Elliott</v>
      </c>
      <c r="Q26" t="str" cm="1">
        <f t="array" ref="Q26">_xlfn.XLOOKUP($B26,Store_Dim!$A$2:$A$21,Table3[Region])</f>
        <v>East</v>
      </c>
      <c r="R26" t="str" cm="1">
        <f t="array" ref="R26">_xlfn.XLOOKUP($B26,Store_Dim!$A$2:$A$21,Table3[Store_Type])</f>
        <v>Online</v>
      </c>
      <c r="S26">
        <f>VLOOKUP(Table7[[#This Row],[Customer ID]],Table6[[Customer_ID]:[Total_Amount]],8,FALSE)</f>
        <v>1143.252</v>
      </c>
    </row>
    <row r="27" spans="1:19" x14ac:dyDescent="0.3">
      <c r="A27" t="s">
        <v>107</v>
      </c>
      <c r="B27" t="str">
        <f>_xlfn.XLOOKUP(Table7[[#This Row],[Customer ID]],Table6[Customer_ID],Table6[Store_ID])</f>
        <v>STORE10</v>
      </c>
      <c r="C27" t="str">
        <f>_xlfn.XLOOKUP(Table7[[#This Row],[Customer ID]],Table6[Customer_ID],Table6[Product_ID])</f>
        <v>PROD95</v>
      </c>
      <c r="D27" t="str">
        <f>VLOOKUP(Table7[[#This Row],[Customer ID]],Table4[#All],2,FALSE)</f>
        <v>Diana Taylor</v>
      </c>
      <c r="E27">
        <f>VLOOKUP($A27,Table4[],3,FALSE)</f>
        <v>59</v>
      </c>
      <c r="F27" t="str">
        <f>VLOOKUP($A27,Table4[],4,FALSE)</f>
        <v>Female</v>
      </c>
      <c r="G27" t="str">
        <f>VLOOKUP($A27,Table4[],5,FALSE)</f>
        <v>Vasqueztown</v>
      </c>
      <c r="H27" t="str">
        <f>VLOOKUP($A27,Table4[],6,FALSE)</f>
        <v>California</v>
      </c>
      <c r="I27" t="str">
        <f>VLOOKUP($A27,Table4[],8,FALSE)</f>
        <v>Bronze</v>
      </c>
      <c r="J27" t="str">
        <f>VLOOKUP($C27,Table1[],2,FALSE)</f>
        <v>Sports Stopwatch Basic</v>
      </c>
      <c r="K27" t="str">
        <f>VLOOKUP($C27,Table1[],3,FALSE)</f>
        <v>Sports</v>
      </c>
      <c r="L27" t="str">
        <f>VLOOKUP($C27,Table1[],4,FALSE)</f>
        <v>Accessories</v>
      </c>
      <c r="M27" t="str">
        <f>VLOOKUP($C27,Table1[],5,FALSE)</f>
        <v>Wilson Group</v>
      </c>
      <c r="N27">
        <f>VLOOKUP($C27,Table1[],6,FALSE)</f>
        <v>60.65</v>
      </c>
      <c r="O27">
        <f>VLOOKUP($C27,Table1[],7,FALSE)</f>
        <v>75</v>
      </c>
      <c r="P27" t="str">
        <f>_xlfn.XLOOKUP($B27,Table3[Store_ID],Table3[Store_Name])</f>
        <v>Hill, Wagner and Ballard</v>
      </c>
      <c r="Q27" t="str" cm="1">
        <f t="array" ref="Q27">_xlfn.XLOOKUP($B27,Store_Dim!$A$2:$A$21,Table3[Region])</f>
        <v>East</v>
      </c>
      <c r="R27" t="str" cm="1">
        <f t="array" ref="R27">_xlfn.XLOOKUP($B27,Store_Dim!$A$2:$A$21,Table3[Store_Type])</f>
        <v>Online</v>
      </c>
      <c r="S27">
        <f>VLOOKUP(Table7[[#This Row],[Customer ID]],Table6[[Customer_ID]:[Total_Amount]],8,FALSE)</f>
        <v>727.28659999999991</v>
      </c>
    </row>
    <row r="28" spans="1:19" x14ac:dyDescent="0.3">
      <c r="A28" t="s">
        <v>110</v>
      </c>
      <c r="B28" t="str">
        <f>_xlfn.XLOOKUP(Table7[[#This Row],[Customer ID]],Table6[Customer_ID],Table6[Store_ID])</f>
        <v>STORE2</v>
      </c>
      <c r="C28" t="str">
        <f>_xlfn.XLOOKUP(Table7[[#This Row],[Customer ID]],Table6[Customer_ID],Table6[Product_ID])</f>
        <v>PROD1</v>
      </c>
      <c r="D28" t="str">
        <f>VLOOKUP(Table7[[#This Row],[Customer ID]],Table4[#All],2,FALSE)</f>
        <v>Amber Carlson</v>
      </c>
      <c r="E28">
        <f>VLOOKUP($A28,Table4[],3,FALSE)</f>
        <v>18</v>
      </c>
      <c r="F28" t="str">
        <f>VLOOKUP($A28,Table4[],4,FALSE)</f>
        <v>Female</v>
      </c>
      <c r="G28" t="str">
        <f>VLOOKUP($A28,Table4[],5,FALSE)</f>
        <v>East Michellemouth</v>
      </c>
      <c r="H28" t="str">
        <f>VLOOKUP($A28,Table4[],6,FALSE)</f>
        <v>Missouri</v>
      </c>
      <c r="I28" t="str">
        <f>VLOOKUP($A28,Table4[],8,FALSE)</f>
        <v>Gold</v>
      </c>
      <c r="J28" t="str">
        <f>VLOOKUP($C28,Table1[],2,FALSE)</f>
        <v>Men's Graphic T-Shirt</v>
      </c>
      <c r="K28" t="str">
        <f>VLOOKUP($C28,Table1[],3,FALSE)</f>
        <v>Clothing</v>
      </c>
      <c r="L28" t="str">
        <f>VLOOKUP($C28,Table1[],4,FALSE)</f>
        <v>Tops</v>
      </c>
      <c r="M28" t="str">
        <f>VLOOKUP($C28,Table1[],5,FALSE)</f>
        <v>Terry-Moore</v>
      </c>
      <c r="N28">
        <f>VLOOKUP($C28,Table1[],6,FALSE)</f>
        <v>342.56</v>
      </c>
      <c r="O28">
        <f>VLOOKUP($C28,Table1[],7,FALSE)</f>
        <v>181</v>
      </c>
      <c r="P28" t="str">
        <f>_xlfn.XLOOKUP($B28,Table3[Store_ID],Table3[Store_Name])</f>
        <v>Black-Horn</v>
      </c>
      <c r="Q28" t="str" cm="1">
        <f t="array" ref="Q28">_xlfn.XLOOKUP($B28,Store_Dim!$A$2:$A$21,Table3[Region])</f>
        <v>South</v>
      </c>
      <c r="R28" t="str" cm="1">
        <f t="array" ref="R28">_xlfn.XLOOKUP($B28,Store_Dim!$A$2:$A$21,Table3[Store_Type])</f>
        <v>Outlet</v>
      </c>
      <c r="S28">
        <f>VLOOKUP(Table7[[#This Row],[Customer ID]],Table6[[Customer_ID]:[Total_Amount]],8,FALSE)</f>
        <v>794.62400000000002</v>
      </c>
    </row>
    <row r="29" spans="1:19" x14ac:dyDescent="0.3">
      <c r="A29" t="s">
        <v>114</v>
      </c>
      <c r="B29" t="str">
        <f>_xlfn.XLOOKUP(Table7[[#This Row],[Customer ID]],Table6[Customer_ID],Table6[Store_ID])</f>
        <v>STORE19</v>
      </c>
      <c r="C29" t="str">
        <f>_xlfn.XLOOKUP(Table7[[#This Row],[Customer ID]],Table6[Customer_ID],Table6[Product_ID])</f>
        <v>PROD24</v>
      </c>
      <c r="D29" t="str">
        <f>VLOOKUP(Table7[[#This Row],[Customer ID]],Table4[#All],2,FALSE)</f>
        <v>Leslie Johnson</v>
      </c>
      <c r="E29">
        <f>VLOOKUP($A29,Table4[],3,FALSE)</f>
        <v>31</v>
      </c>
      <c r="F29" t="str">
        <f>VLOOKUP($A29,Table4[],4,FALSE)</f>
        <v>Male</v>
      </c>
      <c r="G29" t="str">
        <f>VLOOKUP($A29,Table4[],5,FALSE)</f>
        <v>Mollyshire</v>
      </c>
      <c r="H29" t="str">
        <f>VLOOKUP($A29,Table4[],6,FALSE)</f>
        <v>Utah</v>
      </c>
      <c r="I29" t="str">
        <f>VLOOKUP($A29,Table4[],8,FALSE)</f>
        <v>Platinum</v>
      </c>
      <c r="J29" t="str">
        <f>VLOOKUP($C29,Table1[],2,FALSE)</f>
        <v>Foldable Camping Chair</v>
      </c>
      <c r="K29" t="str">
        <f>VLOOKUP($C29,Table1[],3,FALSE)</f>
        <v>Sports</v>
      </c>
      <c r="L29" t="str">
        <f>VLOOKUP($C29,Table1[],4,FALSE)</f>
        <v>Outdoor</v>
      </c>
      <c r="M29" t="str">
        <f>VLOOKUP($C29,Table1[],5,FALSE)</f>
        <v>Cook Ltd</v>
      </c>
      <c r="N29">
        <f>VLOOKUP($C29,Table1[],6,FALSE)</f>
        <v>166.06</v>
      </c>
      <c r="O29">
        <f>VLOOKUP($C29,Table1[],7,FALSE)</f>
        <v>340</v>
      </c>
      <c r="P29" t="str">
        <f>_xlfn.XLOOKUP($B29,Table3[Store_ID],Table3[Store_Name])</f>
        <v>Mann-Austin</v>
      </c>
      <c r="Q29" t="str" cm="1">
        <f t="array" ref="Q29">_xlfn.XLOOKUP($B29,Store_Dim!$A$2:$A$21,Table3[Region])</f>
        <v>East</v>
      </c>
      <c r="R29" t="str" cm="1">
        <f t="array" ref="R29">_xlfn.XLOOKUP($B29,Store_Dim!$A$2:$A$21,Table3[Store_Type])</f>
        <v>Online</v>
      </c>
      <c r="S29">
        <f>VLOOKUP(Table7[[#This Row],[Customer ID]],Table6[[Customer_ID]:[Total_Amount]],8,FALSE)</f>
        <v>2312.2568999999999</v>
      </c>
    </row>
    <row r="30" spans="1:19" x14ac:dyDescent="0.3">
      <c r="A30" t="s">
        <v>118</v>
      </c>
      <c r="B30" t="str">
        <f>_xlfn.XLOOKUP(Table7[[#This Row],[Customer ID]],Table6[Customer_ID],Table6[Store_ID])</f>
        <v>STORE19</v>
      </c>
      <c r="C30" t="str">
        <f>_xlfn.XLOOKUP(Table7[[#This Row],[Customer ID]],Table6[Customer_ID],Table6[Product_ID])</f>
        <v>PROD5</v>
      </c>
      <c r="D30" t="str">
        <f>VLOOKUP(Table7[[#This Row],[Customer ID]],Table4[#All],2,FALSE)</f>
        <v>Joshua Ryan</v>
      </c>
      <c r="E30">
        <f>VLOOKUP($A30,Table4[],3,FALSE)</f>
        <v>27</v>
      </c>
      <c r="F30" t="str">
        <f>VLOOKUP($A30,Table4[],4,FALSE)</f>
        <v>Female</v>
      </c>
      <c r="G30" t="str">
        <f>VLOOKUP($A30,Table4[],5,FALSE)</f>
        <v>New David</v>
      </c>
      <c r="H30" t="str">
        <f>VLOOKUP($A30,Table4[],6,FALSE)</f>
        <v>New Jersey</v>
      </c>
      <c r="I30" t="str">
        <f>VLOOKUP($A30,Table4[],8,FALSE)</f>
        <v>Platinum</v>
      </c>
      <c r="J30" t="str">
        <f>VLOOKUP($C30,Table1[],2,FALSE)</f>
        <v>Men's Leather Belt</v>
      </c>
      <c r="K30" t="str">
        <f>VLOOKUP($C30,Table1[],3,FALSE)</f>
        <v>Clothing</v>
      </c>
      <c r="L30" t="str">
        <f>VLOOKUP($C30,Table1[],4,FALSE)</f>
        <v>Accessories</v>
      </c>
      <c r="M30" t="str">
        <f>VLOOKUP($C30,Table1[],5,FALSE)</f>
        <v>Baldwin, Garza and Gonzalez</v>
      </c>
      <c r="N30">
        <f>VLOOKUP($C30,Table1[],6,FALSE)</f>
        <v>261</v>
      </c>
      <c r="O30">
        <f>VLOOKUP($C30,Table1[],7,FALSE)</f>
        <v>59</v>
      </c>
      <c r="P30" t="str">
        <f>_xlfn.XLOOKUP($B30,Table3[Store_ID],Table3[Store_Name])</f>
        <v>Mann-Austin</v>
      </c>
      <c r="Q30" t="str" cm="1">
        <f t="array" ref="Q30">_xlfn.XLOOKUP($B30,Store_Dim!$A$2:$A$21,Table3[Region])</f>
        <v>East</v>
      </c>
      <c r="R30" t="str" cm="1">
        <f t="array" ref="R30">_xlfn.XLOOKUP($B30,Store_Dim!$A$2:$A$21,Table3[Store_Type])</f>
        <v>Online</v>
      </c>
      <c r="S30">
        <f>VLOOKUP(Table7[[#This Row],[Customer ID]],Table6[[Customer_ID]:[Total_Amount]],8,FALSE)</f>
        <v>373.56060000000002</v>
      </c>
    </row>
    <row r="31" spans="1:19" x14ac:dyDescent="0.3">
      <c r="A31" t="s">
        <v>121</v>
      </c>
      <c r="B31" t="str">
        <f>_xlfn.XLOOKUP(Table7[[#This Row],[Customer ID]],Table6[Customer_ID],Table6[Store_ID])</f>
        <v>STORE11</v>
      </c>
      <c r="C31" t="str">
        <f>_xlfn.XLOOKUP(Table7[[#This Row],[Customer ID]],Table6[Customer_ID],Table6[Product_ID])</f>
        <v>PROD86</v>
      </c>
      <c r="D31" t="str">
        <f>VLOOKUP(Table7[[#This Row],[Customer ID]],Table4[#All],2,FALSE)</f>
        <v>David Arnold</v>
      </c>
      <c r="E31">
        <f>VLOOKUP($A31,Table4[],3,FALSE)</f>
        <v>54</v>
      </c>
      <c r="F31" t="str">
        <f>VLOOKUP($A31,Table4[],4,FALSE)</f>
        <v>Female</v>
      </c>
      <c r="G31" t="str">
        <f>VLOOKUP($A31,Table4[],5,FALSE)</f>
        <v>East Jennifer</v>
      </c>
      <c r="H31" t="str">
        <f>VLOOKUP($A31,Table4[],6,FALSE)</f>
        <v>California</v>
      </c>
      <c r="I31" t="str">
        <f>VLOOKUP($A31,Table4[],8,FALSE)</f>
        <v>Silver</v>
      </c>
      <c r="J31" t="str">
        <f>VLOOKUP($C31,Table1[],2,FALSE)</f>
        <v>Kitchen Cutting Board</v>
      </c>
      <c r="K31" t="str">
        <f>VLOOKUP($C31,Table1[],3,FALSE)</f>
        <v>Home</v>
      </c>
      <c r="L31" t="str">
        <f>VLOOKUP($C31,Table1[],4,FALSE)</f>
        <v>Kitchen</v>
      </c>
      <c r="M31" t="str">
        <f>VLOOKUP($C31,Table1[],5,FALSE)</f>
        <v>Taylor, Dodson and Johnston</v>
      </c>
      <c r="N31">
        <f>VLOOKUP($C31,Table1[],6,FALSE)</f>
        <v>176.07</v>
      </c>
      <c r="O31">
        <f>VLOOKUP($C31,Table1[],7,FALSE)</f>
        <v>82</v>
      </c>
      <c r="P31" t="str">
        <f>_xlfn.XLOOKUP($B31,Table3[Store_ID],Table3[Store_Name])</f>
        <v>Aguirre-Keller</v>
      </c>
      <c r="Q31" t="str" cm="1">
        <f t="array" ref="Q31">_xlfn.XLOOKUP($B31,Store_Dim!$A$2:$A$21,Table3[Region])</f>
        <v>South</v>
      </c>
      <c r="R31" t="str" cm="1">
        <f t="array" ref="R31">_xlfn.XLOOKUP($B31,Store_Dim!$A$2:$A$21,Table3[Store_Type])</f>
        <v>Online</v>
      </c>
      <c r="S31">
        <f>VLOOKUP(Table7[[#This Row],[Customer ID]],Table6[[Customer_ID]:[Total_Amount]],8,FALSE)</f>
        <v>1636.1117999999999</v>
      </c>
    </row>
    <row r="32" spans="1:19" x14ac:dyDescent="0.3">
      <c r="A32" t="s">
        <v>124</v>
      </c>
      <c r="B32" t="str">
        <f>_xlfn.XLOOKUP(Table7[[#This Row],[Customer ID]],Table6[Customer_ID],Table6[Store_ID])</f>
        <v>STORE15</v>
      </c>
      <c r="C32" t="str">
        <f>_xlfn.XLOOKUP(Table7[[#This Row],[Customer ID]],Table6[Customer_ID],Table6[Product_ID])</f>
        <v>PROD35</v>
      </c>
      <c r="D32" t="str">
        <f>VLOOKUP(Table7[[#This Row],[Customer ID]],Table4[#All],2,FALSE)</f>
        <v>Jessica Acevedo</v>
      </c>
      <c r="E32">
        <f>VLOOKUP($A32,Table4[],3,FALSE)</f>
        <v>64</v>
      </c>
      <c r="F32" t="str">
        <f>VLOOKUP($A32,Table4[],4,FALSE)</f>
        <v>Female</v>
      </c>
      <c r="G32" t="str">
        <f>VLOOKUP($A32,Table4[],5,FALSE)</f>
        <v>Amybury</v>
      </c>
      <c r="H32" t="str">
        <f>VLOOKUP($A32,Table4[],6,FALSE)</f>
        <v>Pennsylvania</v>
      </c>
      <c r="I32" t="str">
        <f>VLOOKUP($A32,Table4[],8,FALSE)</f>
        <v>Bronze</v>
      </c>
      <c r="J32" t="str">
        <f>VLOOKUP($C32,Table1[],2,FALSE)</f>
        <v>Bedroom Table Lamp</v>
      </c>
      <c r="K32" t="str">
        <f>VLOOKUP($C32,Table1[],3,FALSE)</f>
        <v>Home</v>
      </c>
      <c r="L32" t="str">
        <f>VLOOKUP($C32,Table1[],4,FALSE)</f>
        <v>Lighting</v>
      </c>
      <c r="M32" t="str">
        <f>VLOOKUP($C32,Table1[],5,FALSE)</f>
        <v>Jones LLC</v>
      </c>
      <c r="N32">
        <f>VLOOKUP($C32,Table1[],6,FALSE)</f>
        <v>382.22</v>
      </c>
      <c r="O32">
        <f>VLOOKUP($C32,Table1[],7,FALSE)</f>
        <v>329</v>
      </c>
      <c r="P32" t="str">
        <f>_xlfn.XLOOKUP($B32,Table3[Store_ID],Table3[Store_Name])</f>
        <v>Shelton PLC</v>
      </c>
      <c r="Q32" t="str" cm="1">
        <f t="array" ref="Q32">_xlfn.XLOOKUP($B32,Store_Dim!$A$2:$A$21,Table3[Region])</f>
        <v>North</v>
      </c>
      <c r="R32" t="str" cm="1">
        <f t="array" ref="R32">_xlfn.XLOOKUP($B32,Store_Dim!$A$2:$A$21,Table3[Store_Type])</f>
        <v>Flagship</v>
      </c>
      <c r="S32">
        <f>VLOOKUP(Table7[[#This Row],[Customer ID]],Table6[[Customer_ID]:[Total_Amount]],8,FALSE)</f>
        <v>1926.15</v>
      </c>
    </row>
    <row r="33" spans="1:19" x14ac:dyDescent="0.3">
      <c r="A33" t="s">
        <v>127</v>
      </c>
      <c r="B33" t="str">
        <f>_xlfn.XLOOKUP(Table7[[#This Row],[Customer ID]],Table6[Customer_ID],Table6[Store_ID])</f>
        <v>STORE12</v>
      </c>
      <c r="C33" t="str">
        <f>_xlfn.XLOOKUP(Table7[[#This Row],[Customer ID]],Table6[Customer_ID],Table6[Product_ID])</f>
        <v>PROD62</v>
      </c>
      <c r="D33" t="str">
        <f>VLOOKUP(Table7[[#This Row],[Customer ID]],Table4[#All],2,FALSE)</f>
        <v>Sarah Vance</v>
      </c>
      <c r="E33">
        <f>VLOOKUP($A33,Table4[],3,FALSE)</f>
        <v>41</v>
      </c>
      <c r="F33" t="str">
        <f>VLOOKUP($A33,Table4[],4,FALSE)</f>
        <v>Male</v>
      </c>
      <c r="G33" t="str">
        <f>VLOOKUP($A33,Table4[],5,FALSE)</f>
        <v>Johnsonville</v>
      </c>
      <c r="H33" t="str">
        <f>VLOOKUP($A33,Table4[],6,FALSE)</f>
        <v>Oregon</v>
      </c>
      <c r="I33" t="str">
        <f>VLOOKUP($A33,Table4[],8,FALSE)</f>
        <v>Silver</v>
      </c>
      <c r="J33" t="str">
        <f>VLOOKUP($C33,Table1[],2,FALSE)</f>
        <v>Laptop Cooling Pad</v>
      </c>
      <c r="K33" t="str">
        <f>VLOOKUP($C33,Table1[],3,FALSE)</f>
        <v>Electronics</v>
      </c>
      <c r="L33" t="str">
        <f>VLOOKUP($C33,Table1[],4,FALSE)</f>
        <v>Computer</v>
      </c>
      <c r="M33" t="str">
        <f>VLOOKUP($C33,Table1[],5,FALSE)</f>
        <v>Murray, Gould and Ware</v>
      </c>
      <c r="N33">
        <f>VLOOKUP($C33,Table1[],6,FALSE)</f>
        <v>86.42</v>
      </c>
      <c r="O33">
        <f>VLOOKUP($C33,Table1[],7,FALSE)</f>
        <v>222</v>
      </c>
      <c r="P33" t="str">
        <f>_xlfn.XLOOKUP($B33,Table3[Store_ID],Table3[Store_Name])</f>
        <v>Thomas, Bridges and Harris</v>
      </c>
      <c r="Q33" t="str" cm="1">
        <f t="array" ref="Q33">_xlfn.XLOOKUP($B33,Store_Dim!$A$2:$A$21,Table3[Region])</f>
        <v>North</v>
      </c>
      <c r="R33" t="str" cm="1">
        <f t="array" ref="R33">_xlfn.XLOOKUP($B33,Store_Dim!$A$2:$A$21,Table3[Store_Type])</f>
        <v>Online</v>
      </c>
      <c r="S33">
        <f>VLOOKUP(Table7[[#This Row],[Customer ID]],Table6[[Customer_ID]:[Total_Amount]],8,FALSE)</f>
        <v>2157.2703000000001</v>
      </c>
    </row>
    <row r="34" spans="1:19" x14ac:dyDescent="0.3">
      <c r="A34" t="s">
        <v>130</v>
      </c>
      <c r="B34" t="str">
        <f>_xlfn.XLOOKUP(Table7[[#This Row],[Customer ID]],Table6[Customer_ID],Table6[Store_ID])</f>
        <v>STORE0</v>
      </c>
      <c r="C34" t="str">
        <f>_xlfn.XLOOKUP(Table7[[#This Row],[Customer ID]],Table6[Customer_ID],Table6[Product_ID])</f>
        <v>PROD16</v>
      </c>
      <c r="D34" t="str">
        <f>VLOOKUP(Table7[[#This Row],[Customer ID]],Table4[#All],2,FALSE)</f>
        <v>Mike Jennings</v>
      </c>
      <c r="E34">
        <f>VLOOKUP($A34,Table4[],3,FALSE)</f>
        <v>48</v>
      </c>
      <c r="F34" t="str">
        <f>VLOOKUP($A34,Table4[],4,FALSE)</f>
        <v>Female</v>
      </c>
      <c r="G34" t="str">
        <f>VLOOKUP($A34,Table4[],5,FALSE)</f>
        <v>Fostermouth</v>
      </c>
      <c r="H34" t="str">
        <f>VLOOKUP($A34,Table4[],6,FALSE)</f>
        <v>Arizona</v>
      </c>
      <c r="I34" t="str">
        <f>VLOOKUP($A34,Table4[],8,FALSE)</f>
        <v>Gold</v>
      </c>
      <c r="J34" t="str">
        <f>VLOOKUP($C34,Table1[],2,FALSE)</f>
        <v>Beard Grooming Kit</v>
      </c>
      <c r="K34" t="str">
        <f>VLOOKUP($C34,Table1[],3,FALSE)</f>
        <v>Beauty</v>
      </c>
      <c r="L34" t="str">
        <f>VLOOKUP($C34,Table1[],4,FALSE)</f>
        <v>Grooming</v>
      </c>
      <c r="M34" t="str">
        <f>VLOOKUP($C34,Table1[],5,FALSE)</f>
        <v>Erickson-Green</v>
      </c>
      <c r="N34">
        <f>VLOOKUP($C34,Table1[],6,FALSE)</f>
        <v>337.42</v>
      </c>
      <c r="O34">
        <f>VLOOKUP($C34,Table1[],7,FALSE)</f>
        <v>256</v>
      </c>
      <c r="P34" t="str">
        <f>_xlfn.XLOOKUP($B34,Table3[Store_ID],Table3[Store_Name])</f>
        <v>Rivera-Warner</v>
      </c>
      <c r="Q34" t="str" cm="1">
        <f t="array" ref="Q34">_xlfn.XLOOKUP($B34,Store_Dim!$A$2:$A$21,Table3[Region])</f>
        <v>East</v>
      </c>
      <c r="R34" t="str" cm="1">
        <f t="array" ref="R34">_xlfn.XLOOKUP($B34,Store_Dim!$A$2:$A$21,Table3[Store_Type])</f>
        <v>Flagship</v>
      </c>
      <c r="S34">
        <f>VLOOKUP(Table7[[#This Row],[Customer ID]],Table6[[Customer_ID]:[Total_Amount]],8,FALSE)</f>
        <v>743.87839999999994</v>
      </c>
    </row>
    <row r="35" spans="1:19" x14ac:dyDescent="0.3">
      <c r="A35" t="s">
        <v>134</v>
      </c>
      <c r="B35" t="str">
        <f>_xlfn.XLOOKUP(Table7[[#This Row],[Customer ID]],Table6[Customer_ID],Table6[Store_ID])</f>
        <v>STORE3</v>
      </c>
      <c r="C35" t="str">
        <f>_xlfn.XLOOKUP(Table7[[#This Row],[Customer ID]],Table6[Customer_ID],Table6[Product_ID])</f>
        <v>PROD46</v>
      </c>
      <c r="D35" t="str">
        <f>VLOOKUP(Table7[[#This Row],[Customer ID]],Table4[#All],2,FALSE)</f>
        <v>Robert Jones Dds</v>
      </c>
      <c r="E35">
        <f>VLOOKUP($A35,Table4[],3,FALSE)</f>
        <v>25</v>
      </c>
      <c r="F35" t="str">
        <f>VLOOKUP($A35,Table4[],4,FALSE)</f>
        <v>Male</v>
      </c>
      <c r="G35" t="str">
        <f>VLOOKUP($A35,Table4[],5,FALSE)</f>
        <v>Tristanton</v>
      </c>
      <c r="H35" t="str">
        <f>VLOOKUP($A35,Table4[],6,FALSE)</f>
        <v>Oklahoma</v>
      </c>
      <c r="I35" t="str">
        <f>VLOOKUP($A35,Table4[],8,FALSE)</f>
        <v>Platinum</v>
      </c>
      <c r="J35" t="str">
        <f>VLOOKUP($C35,Table1[],2,FALSE)</f>
        <v>Men's Winter Jacket</v>
      </c>
      <c r="K35" t="str">
        <f>VLOOKUP($C35,Table1[],3,FALSE)</f>
        <v>Clothing</v>
      </c>
      <c r="L35" t="str">
        <f>VLOOKUP($C35,Table1[],4,FALSE)</f>
        <v>Outerwear</v>
      </c>
      <c r="M35" t="str">
        <f>VLOOKUP($C35,Table1[],5,FALSE)</f>
        <v>Kelly, Smith and Perez</v>
      </c>
      <c r="N35">
        <f>VLOOKUP($C35,Table1[],6,FALSE)</f>
        <v>167.34</v>
      </c>
      <c r="O35">
        <f>VLOOKUP($C35,Table1[],7,FALSE)</f>
        <v>296</v>
      </c>
      <c r="P35" t="str">
        <f>_xlfn.XLOOKUP($B35,Table3[Store_ID],Table3[Store_Name])</f>
        <v>Johnson-Wright</v>
      </c>
      <c r="Q35" t="str" cm="1">
        <f t="array" ref="Q35">_xlfn.XLOOKUP($B35,Store_Dim!$A$2:$A$21,Table3[Region])</f>
        <v>North</v>
      </c>
      <c r="R35" t="str" cm="1">
        <f t="array" ref="R35">_xlfn.XLOOKUP($B35,Store_Dim!$A$2:$A$21,Table3[Store_Type])</f>
        <v>Outlet</v>
      </c>
      <c r="S35">
        <f>VLOOKUP(Table7[[#This Row],[Customer ID]],Table6[[Customer_ID]:[Total_Amount]],8,FALSE)</f>
        <v>541.6191</v>
      </c>
    </row>
    <row r="36" spans="1:19" x14ac:dyDescent="0.3">
      <c r="A36" t="s">
        <v>136</v>
      </c>
      <c r="B36" t="str">
        <f>_xlfn.XLOOKUP(Table7[[#This Row],[Customer ID]],Table6[Customer_ID],Table6[Store_ID])</f>
        <v>STORE7</v>
      </c>
      <c r="C36" t="str">
        <f>_xlfn.XLOOKUP(Table7[[#This Row],[Customer ID]],Table6[Customer_ID],Table6[Product_ID])</f>
        <v>PROD28</v>
      </c>
      <c r="D36" t="str">
        <f>VLOOKUP(Table7[[#This Row],[Customer ID]],Table4[#All],2,FALSE)</f>
        <v>Christopher Olson</v>
      </c>
      <c r="E36">
        <f>VLOOKUP($A36,Table4[],3,FALSE)</f>
        <v>27</v>
      </c>
      <c r="F36" t="str">
        <f>VLOOKUP($A36,Table4[],4,FALSE)</f>
        <v>Female</v>
      </c>
      <c r="G36" t="str">
        <f>VLOOKUP($A36,Table4[],5,FALSE)</f>
        <v>West Richard</v>
      </c>
      <c r="H36" t="str">
        <f>VLOOKUP($A36,Table4[],6,FALSE)</f>
        <v>Maryland</v>
      </c>
      <c r="I36" t="str">
        <f>VLOOKUP($A36,Table4[],8,FALSE)</f>
        <v>Platinum</v>
      </c>
      <c r="J36" t="str">
        <f>VLOOKUP($C36,Table1[],2,FALSE)</f>
        <v>Sports Stopwatch Timer</v>
      </c>
      <c r="K36" t="str">
        <f>VLOOKUP($C36,Table1[],3,FALSE)</f>
        <v>Sports</v>
      </c>
      <c r="L36" t="str">
        <f>VLOOKUP($C36,Table1[],4,FALSE)</f>
        <v>Accessories</v>
      </c>
      <c r="M36" t="str">
        <f>VLOOKUP($C36,Table1[],5,FALSE)</f>
        <v>Burns-Hansen</v>
      </c>
      <c r="N36">
        <f>VLOOKUP($C36,Table1[],6,FALSE)</f>
        <v>38.76</v>
      </c>
      <c r="O36">
        <f>VLOOKUP($C36,Table1[],7,FALSE)</f>
        <v>137</v>
      </c>
      <c r="P36" t="str">
        <f>_xlfn.XLOOKUP($B36,Table3[Store_ID],Table3[Store_Name])</f>
        <v>Martinez-Mullins</v>
      </c>
      <c r="Q36" t="str" cm="1">
        <f t="array" ref="Q36">_xlfn.XLOOKUP($B36,Store_Dim!$A$2:$A$21,Table3[Region])</f>
        <v>South</v>
      </c>
      <c r="R36" t="str" cm="1">
        <f t="array" ref="R36">_xlfn.XLOOKUP($B36,Store_Dim!$A$2:$A$21,Table3[Store_Type])</f>
        <v>Online</v>
      </c>
      <c r="S36">
        <f>VLOOKUP(Table7[[#This Row],[Customer ID]],Table6[[Customer_ID]:[Total_Amount]],8,FALSE)</f>
        <v>2495.4744000000001</v>
      </c>
    </row>
    <row r="37" spans="1:19" x14ac:dyDescent="0.3">
      <c r="A37" t="s">
        <v>140</v>
      </c>
      <c r="B37" t="str">
        <f>_xlfn.XLOOKUP(Table7[[#This Row],[Customer ID]],Table6[Customer_ID],Table6[Store_ID])</f>
        <v>STORE12</v>
      </c>
      <c r="C37" t="str">
        <f>_xlfn.XLOOKUP(Table7[[#This Row],[Customer ID]],Table6[Customer_ID],Table6[Product_ID])</f>
        <v>PROD97</v>
      </c>
      <c r="D37" t="str">
        <f>VLOOKUP(Table7[[#This Row],[Customer ID]],Table4[#All],2,FALSE)</f>
        <v>Rachel Myers</v>
      </c>
      <c r="E37">
        <f>VLOOKUP($A37,Table4[],3,FALSE)</f>
        <v>52</v>
      </c>
      <c r="F37" t="str">
        <f>VLOOKUP($A37,Table4[],4,FALSE)</f>
        <v>Male</v>
      </c>
      <c r="G37" t="str">
        <f>VLOOKUP($A37,Table4[],5,FALSE)</f>
        <v>Robertberg</v>
      </c>
      <c r="H37" t="str">
        <f>VLOOKUP($A37,Table4[],6,FALSE)</f>
        <v>North Dakota</v>
      </c>
      <c r="I37" t="str">
        <f>VLOOKUP($A37,Table4[],8,FALSE)</f>
        <v>Silver</v>
      </c>
      <c r="J37" t="str">
        <f>VLOOKUP($C37,Table1[],2,FALSE)</f>
        <v>Cricket Bat</v>
      </c>
      <c r="K37" t="str">
        <f>VLOOKUP($C37,Table1[],3,FALSE)</f>
        <v>Sports</v>
      </c>
      <c r="L37" t="str">
        <f>VLOOKUP($C37,Table1[],4,FALSE)</f>
        <v>Team Sports</v>
      </c>
      <c r="M37" t="str">
        <f>VLOOKUP($C37,Table1[],5,FALSE)</f>
        <v>Khan LLC</v>
      </c>
      <c r="N37">
        <f>VLOOKUP($C37,Table1[],6,FALSE)</f>
        <v>245.98</v>
      </c>
      <c r="O37">
        <f>VLOOKUP($C37,Table1[],7,FALSE)</f>
        <v>471</v>
      </c>
      <c r="P37" t="str">
        <f>_xlfn.XLOOKUP($B37,Table3[Store_ID],Table3[Store_Name])</f>
        <v>Thomas, Bridges and Harris</v>
      </c>
      <c r="Q37" t="str" cm="1">
        <f t="array" ref="Q37">_xlfn.XLOOKUP($B37,Store_Dim!$A$2:$A$21,Table3[Region])</f>
        <v>North</v>
      </c>
      <c r="R37" t="str" cm="1">
        <f t="array" ref="R37">_xlfn.XLOOKUP($B37,Store_Dim!$A$2:$A$21,Table3[Store_Type])</f>
        <v>Online</v>
      </c>
      <c r="S37">
        <f>VLOOKUP(Table7[[#This Row],[Customer ID]],Table6[[Customer_ID]:[Total_Amount]],8,FALSE)</f>
        <v>2156.5544</v>
      </c>
    </row>
    <row r="38" spans="1:19" x14ac:dyDescent="0.3">
      <c r="A38" t="s">
        <v>143</v>
      </c>
      <c r="B38" t="str">
        <f>_xlfn.XLOOKUP(Table7[[#This Row],[Customer ID]],Table6[Customer_ID],Table6[Store_ID])</f>
        <v>STORE5</v>
      </c>
      <c r="C38" t="str">
        <f>_xlfn.XLOOKUP(Table7[[#This Row],[Customer ID]],Table6[Customer_ID],Table6[Product_ID])</f>
        <v>PROD90</v>
      </c>
      <c r="D38" t="str">
        <f>VLOOKUP(Table7[[#This Row],[Customer ID]],Table4[#All],2,FALSE)</f>
        <v>Thomas Phillips</v>
      </c>
      <c r="E38">
        <f>VLOOKUP($A38,Table4[],3,FALSE)</f>
        <v>20</v>
      </c>
      <c r="F38" t="str">
        <f>VLOOKUP($A38,Table4[],4,FALSE)</f>
        <v>Female</v>
      </c>
      <c r="G38" t="str">
        <f>VLOOKUP($A38,Table4[],5,FALSE)</f>
        <v>Luisfurt</v>
      </c>
      <c r="H38" t="str">
        <f>VLOOKUP($A38,Table4[],6,FALSE)</f>
        <v>Georgia</v>
      </c>
      <c r="I38" t="str">
        <f>VLOOKUP($A38,Table4[],8,FALSE)</f>
        <v>Gold</v>
      </c>
      <c r="J38" t="str">
        <f>VLOOKUP($C38,Table1[],2,FALSE)</f>
        <v>Gaming Mouse Pad XL</v>
      </c>
      <c r="K38" t="str">
        <f>VLOOKUP($C38,Table1[],3,FALSE)</f>
        <v>Electronics</v>
      </c>
      <c r="L38" t="str">
        <f>VLOOKUP($C38,Table1[],4,FALSE)</f>
        <v>Accessories</v>
      </c>
      <c r="M38" t="str">
        <f>VLOOKUP($C38,Table1[],5,FALSE)</f>
        <v>Sharp, Taylor and Rodriguez</v>
      </c>
      <c r="N38">
        <f>VLOOKUP($C38,Table1[],6,FALSE)</f>
        <v>340.14</v>
      </c>
      <c r="O38">
        <f>VLOOKUP($C38,Table1[],7,FALSE)</f>
        <v>361</v>
      </c>
      <c r="P38" t="str">
        <f>_xlfn.XLOOKUP($B38,Table3[Store_ID],Table3[Store_Name])</f>
        <v>Gray Ltd</v>
      </c>
      <c r="Q38" t="str" cm="1">
        <f t="array" ref="Q38">_xlfn.XLOOKUP($B38,Store_Dim!$A$2:$A$21,Table3[Region])</f>
        <v>North</v>
      </c>
      <c r="R38" t="str" cm="1">
        <f t="array" ref="R38">_xlfn.XLOOKUP($B38,Store_Dim!$A$2:$A$21,Table3[Store_Type])</f>
        <v>Outlet</v>
      </c>
      <c r="S38">
        <f>VLOOKUP(Table7[[#This Row],[Customer ID]],Table6[[Customer_ID]:[Total_Amount]],8,FALSE)</f>
        <v>1045.6292000000001</v>
      </c>
    </row>
    <row r="39" spans="1:19" x14ac:dyDescent="0.3">
      <c r="A39" t="s">
        <v>146</v>
      </c>
      <c r="B39" t="str">
        <f>_xlfn.XLOOKUP(Table7[[#This Row],[Customer ID]],Table6[Customer_ID],Table6[Store_ID])</f>
        <v>STORE11</v>
      </c>
      <c r="C39" t="str">
        <f>_xlfn.XLOOKUP(Table7[[#This Row],[Customer ID]],Table6[Customer_ID],Table6[Product_ID])</f>
        <v>PROD45</v>
      </c>
      <c r="D39" t="str">
        <f>VLOOKUP(Table7[[#This Row],[Customer ID]],Table4[#All],2,FALSE)</f>
        <v>Christopher Carter</v>
      </c>
      <c r="E39">
        <f>VLOOKUP($A39,Table4[],3,FALSE)</f>
        <v>27</v>
      </c>
      <c r="F39" t="str">
        <f>VLOOKUP($A39,Table4[],4,FALSE)</f>
        <v>Female</v>
      </c>
      <c r="G39" t="str">
        <f>VLOOKUP($A39,Table4[],5,FALSE)</f>
        <v>Brendastad</v>
      </c>
      <c r="H39" t="str">
        <f>VLOOKUP($A39,Table4[],6,FALSE)</f>
        <v>South Dakota</v>
      </c>
      <c r="I39" t="str">
        <f>VLOOKUP($A39,Table4[],8,FALSE)</f>
        <v>Platinum</v>
      </c>
      <c r="J39" t="str">
        <f>VLOOKUP($C39,Table1[],2,FALSE)</f>
        <v>High-Grip Football</v>
      </c>
      <c r="K39" t="str">
        <f>VLOOKUP($C39,Table1[],3,FALSE)</f>
        <v>Sports</v>
      </c>
      <c r="L39" t="str">
        <f>VLOOKUP($C39,Table1[],4,FALSE)</f>
        <v>Team Sports</v>
      </c>
      <c r="M39" t="str">
        <f>VLOOKUP($C39,Table1[],5,FALSE)</f>
        <v>Bridges, Banks and Cummings</v>
      </c>
      <c r="N39">
        <f>VLOOKUP($C39,Table1[],6,FALSE)</f>
        <v>318.91000000000003</v>
      </c>
      <c r="O39">
        <f>VLOOKUP($C39,Table1[],7,FALSE)</f>
        <v>114</v>
      </c>
      <c r="P39" t="str">
        <f>_xlfn.XLOOKUP($B39,Table3[Store_ID],Table3[Store_Name])</f>
        <v>Aguirre-Keller</v>
      </c>
      <c r="Q39" t="str" cm="1">
        <f t="array" ref="Q39">_xlfn.XLOOKUP($B39,Store_Dim!$A$2:$A$21,Table3[Region])</f>
        <v>South</v>
      </c>
      <c r="R39" t="str" cm="1">
        <f t="array" ref="R39">_xlfn.XLOOKUP($B39,Store_Dim!$A$2:$A$21,Table3[Store_Type])</f>
        <v>Online</v>
      </c>
      <c r="S39">
        <f>VLOOKUP(Table7[[#This Row],[Customer ID]],Table6[[Customer_ID]:[Total_Amount]],8,FALSE)</f>
        <v>968.18819999999994</v>
      </c>
    </row>
    <row r="40" spans="1:19" x14ac:dyDescent="0.3">
      <c r="A40" t="s">
        <v>149</v>
      </c>
      <c r="B40" t="str">
        <f>_xlfn.XLOOKUP(Table7[[#This Row],[Customer ID]],Table6[Customer_ID],Table6[Store_ID])</f>
        <v>STORE5</v>
      </c>
      <c r="C40" t="str">
        <f>_xlfn.XLOOKUP(Table7[[#This Row],[Customer ID]],Table6[Customer_ID],Table6[Product_ID])</f>
        <v>PROD66</v>
      </c>
      <c r="D40" t="str">
        <f>VLOOKUP(Table7[[#This Row],[Customer ID]],Table4[#All],2,FALSE)</f>
        <v>Deanna Simpson</v>
      </c>
      <c r="E40">
        <f>VLOOKUP($A40,Table4[],3,FALSE)</f>
        <v>35</v>
      </c>
      <c r="F40" t="str">
        <f>VLOOKUP($A40,Table4[],4,FALSE)</f>
        <v>Female</v>
      </c>
      <c r="G40" t="str">
        <f>VLOOKUP($A40,Table4[],5,FALSE)</f>
        <v>Brownport</v>
      </c>
      <c r="H40" t="str">
        <f>VLOOKUP($A40,Table4[],6,FALSE)</f>
        <v>North Dakota</v>
      </c>
      <c r="I40" t="str">
        <f>VLOOKUP($A40,Table4[],8,FALSE)</f>
        <v>Bronze</v>
      </c>
      <c r="J40" t="str">
        <f>VLOOKUP($C40,Table1[],2,FALSE)</f>
        <v>Women's Hair Dryer Brush</v>
      </c>
      <c r="K40" t="str">
        <f>VLOOKUP($C40,Table1[],3,FALSE)</f>
        <v>Beauty</v>
      </c>
      <c r="L40" t="str">
        <f>VLOOKUP($C40,Table1[],4,FALSE)</f>
        <v>Haircare</v>
      </c>
      <c r="M40" t="str">
        <f>VLOOKUP($C40,Table1[],5,FALSE)</f>
        <v>Torres, Spencer and Potter</v>
      </c>
      <c r="N40">
        <f>VLOOKUP($C40,Table1[],6,FALSE)</f>
        <v>340.39</v>
      </c>
      <c r="O40">
        <f>VLOOKUP($C40,Table1[],7,FALSE)</f>
        <v>177</v>
      </c>
      <c r="P40" t="str">
        <f>_xlfn.XLOOKUP($B40,Table3[Store_ID],Table3[Store_Name])</f>
        <v>Gray Ltd</v>
      </c>
      <c r="Q40" t="str" cm="1">
        <f t="array" ref="Q40">_xlfn.XLOOKUP($B40,Store_Dim!$A$2:$A$21,Table3[Region])</f>
        <v>North</v>
      </c>
      <c r="R40" t="str" cm="1">
        <f t="array" ref="R40">_xlfn.XLOOKUP($B40,Store_Dim!$A$2:$A$21,Table3[Store_Type])</f>
        <v>Outlet</v>
      </c>
      <c r="S40">
        <f>VLOOKUP(Table7[[#This Row],[Customer ID]],Table6[[Customer_ID]:[Total_Amount]],8,FALSE)</f>
        <v>588.49239999999998</v>
      </c>
    </row>
    <row r="41" spans="1:19" x14ac:dyDescent="0.3">
      <c r="A41" t="s">
        <v>152</v>
      </c>
      <c r="B41" t="str">
        <f>_xlfn.XLOOKUP(Table7[[#This Row],[Customer ID]],Table6[Customer_ID],Table6[Store_ID])</f>
        <v>STORE3</v>
      </c>
      <c r="C41" t="str">
        <f>_xlfn.XLOOKUP(Table7[[#This Row],[Customer ID]],Table6[Customer_ID],Table6[Product_ID])</f>
        <v>PROD74</v>
      </c>
      <c r="D41" t="str">
        <f>VLOOKUP(Table7[[#This Row],[Customer ID]],Table4[#All],2,FALSE)</f>
        <v>Tonya Reynolds</v>
      </c>
      <c r="E41">
        <f>VLOOKUP($A41,Table4[],3,FALSE)</f>
        <v>55</v>
      </c>
      <c r="F41" t="str">
        <f>VLOOKUP($A41,Table4[],4,FALSE)</f>
        <v>Female</v>
      </c>
      <c r="G41" t="str">
        <f>VLOOKUP($A41,Table4[],5,FALSE)</f>
        <v>Darleneton</v>
      </c>
      <c r="H41" t="str">
        <f>VLOOKUP($A41,Table4[],6,FALSE)</f>
        <v>Michigan</v>
      </c>
      <c r="I41" t="str">
        <f>VLOOKUP($A41,Table4[],8,FALSE)</f>
        <v>Gold</v>
      </c>
      <c r="J41" t="str">
        <f>VLOOKUP($C41,Table1[],2,FALSE)</f>
        <v>Bluetooth Car Audio System</v>
      </c>
      <c r="K41" t="str">
        <f>VLOOKUP($C41,Table1[],3,FALSE)</f>
        <v>Electronics</v>
      </c>
      <c r="L41" t="str">
        <f>VLOOKUP($C41,Table1[],4,FALSE)</f>
        <v>Audio</v>
      </c>
      <c r="M41" t="str">
        <f>VLOOKUP($C41,Table1[],5,FALSE)</f>
        <v>Bruce-Bowen</v>
      </c>
      <c r="N41">
        <f>VLOOKUP($C41,Table1[],6,FALSE)</f>
        <v>403.71</v>
      </c>
      <c r="O41">
        <f>VLOOKUP($C41,Table1[],7,FALSE)</f>
        <v>159</v>
      </c>
      <c r="P41" t="str">
        <f>_xlfn.XLOOKUP($B41,Table3[Store_ID],Table3[Store_Name])</f>
        <v>Johnson-Wright</v>
      </c>
      <c r="Q41" t="str" cm="1">
        <f t="array" ref="Q41">_xlfn.XLOOKUP($B41,Store_Dim!$A$2:$A$21,Table3[Region])</f>
        <v>North</v>
      </c>
      <c r="R41" t="str" cm="1">
        <f t="array" ref="R41">_xlfn.XLOOKUP($B41,Store_Dim!$A$2:$A$21,Table3[Store_Type])</f>
        <v>Outlet</v>
      </c>
      <c r="S41">
        <f>VLOOKUP(Table7[[#This Row],[Customer ID]],Table6[[Customer_ID]:[Total_Amount]],8,FALSE)</f>
        <v>648.29939999999999</v>
      </c>
    </row>
    <row r="42" spans="1:19" x14ac:dyDescent="0.3">
      <c r="A42" t="s">
        <v>156</v>
      </c>
      <c r="B42" t="str">
        <f>_xlfn.XLOOKUP(Table7[[#This Row],[Customer ID]],Table6[Customer_ID],Table6[Store_ID])</f>
        <v>STORE1</v>
      </c>
      <c r="C42" t="str">
        <f>_xlfn.XLOOKUP(Table7[[#This Row],[Customer ID]],Table6[Customer_ID],Table6[Product_ID])</f>
        <v>PROD17</v>
      </c>
      <c r="D42" t="str">
        <f>VLOOKUP(Table7[[#This Row],[Customer ID]],Table4[#All],2,FALSE)</f>
        <v>Eric Vega</v>
      </c>
      <c r="E42">
        <f>VLOOKUP($A42,Table4[],3,FALSE)</f>
        <v>50</v>
      </c>
      <c r="F42" t="str">
        <f>VLOOKUP($A42,Table4[],4,FALSE)</f>
        <v>Male</v>
      </c>
      <c r="G42" t="str">
        <f>VLOOKUP($A42,Table4[],5,FALSE)</f>
        <v>Williamsonland</v>
      </c>
      <c r="H42" t="str">
        <f>VLOOKUP($A42,Table4[],6,FALSE)</f>
        <v>Kansas</v>
      </c>
      <c r="I42" t="str">
        <f>VLOOKUP($A42,Table4[],8,FALSE)</f>
        <v>Gold</v>
      </c>
      <c r="J42" t="str">
        <f>VLOOKUP($C42,Table1[],2,FALSE)</f>
        <v>Soccer Training Cone Set</v>
      </c>
      <c r="K42" t="str">
        <f>VLOOKUP($C42,Table1[],3,FALSE)</f>
        <v>Sports</v>
      </c>
      <c r="L42" t="str">
        <f>VLOOKUP($C42,Table1[],4,FALSE)</f>
        <v>Accessories</v>
      </c>
      <c r="M42" t="str">
        <f>VLOOKUP($C42,Table1[],5,FALSE)</f>
        <v>Ford, Murphy and Wilson</v>
      </c>
      <c r="N42">
        <f>VLOOKUP($C42,Table1[],6,FALSE)</f>
        <v>144.53</v>
      </c>
      <c r="O42">
        <f>VLOOKUP($C42,Table1[],7,FALSE)</f>
        <v>367</v>
      </c>
      <c r="P42" t="str">
        <f>_xlfn.XLOOKUP($B42,Table3[Store_ID],Table3[Store_Name])</f>
        <v>Martinez, Adkins and Johnson</v>
      </c>
      <c r="Q42" t="str" cm="1">
        <f t="array" ref="Q42">_xlfn.XLOOKUP($B42,Store_Dim!$A$2:$A$21,Table3[Region])</f>
        <v>North</v>
      </c>
      <c r="R42" t="str" cm="1">
        <f t="array" ref="R42">_xlfn.XLOOKUP($B42,Store_Dim!$A$2:$A$21,Table3[Store_Type])</f>
        <v>Flagship</v>
      </c>
      <c r="S42">
        <f>VLOOKUP(Table7[[#This Row],[Customer ID]],Table6[[Customer_ID]:[Total_Amount]],8,FALSE)</f>
        <v>787.70069999999998</v>
      </c>
    </row>
    <row r="43" spans="1:19" x14ac:dyDescent="0.3">
      <c r="A43" t="s">
        <v>159</v>
      </c>
      <c r="B43" t="str">
        <f>_xlfn.XLOOKUP(Table7[[#This Row],[Customer ID]],Table6[Customer_ID],Table6[Store_ID])</f>
        <v>STORE13</v>
      </c>
      <c r="C43" t="str">
        <f>_xlfn.XLOOKUP(Table7[[#This Row],[Customer ID]],Table6[Customer_ID],Table6[Product_ID])</f>
        <v>PROD22</v>
      </c>
      <c r="D43" t="str">
        <f>VLOOKUP(Table7[[#This Row],[Customer ID]],Table4[#All],2,FALSE)</f>
        <v>James Gibbs</v>
      </c>
      <c r="E43">
        <f>VLOOKUP($A43,Table4[],3,FALSE)</f>
        <v>21</v>
      </c>
      <c r="F43" t="str">
        <f>VLOOKUP($A43,Table4[],4,FALSE)</f>
        <v>Male</v>
      </c>
      <c r="G43" t="str">
        <f>VLOOKUP($A43,Table4[],5,FALSE)</f>
        <v>Mooneyshire</v>
      </c>
      <c r="H43" t="str">
        <f>VLOOKUP($A43,Table4[],6,FALSE)</f>
        <v>Alaska</v>
      </c>
      <c r="I43" t="str">
        <f>VLOOKUP($A43,Table4[],8,FALSE)</f>
        <v>Platinum</v>
      </c>
      <c r="J43" t="str">
        <f>VLOOKUP($C43,Table1[],2,FALSE)</f>
        <v>Carbon Fiber Tennis Racket</v>
      </c>
      <c r="K43" t="str">
        <f>VLOOKUP($C43,Table1[],3,FALSE)</f>
        <v>Sports</v>
      </c>
      <c r="L43" t="str">
        <f>VLOOKUP($C43,Table1[],4,FALSE)</f>
        <v>Equipment</v>
      </c>
      <c r="M43" t="str">
        <f>VLOOKUP($C43,Table1[],5,FALSE)</f>
        <v>Flores, Pineda and Rodriguez</v>
      </c>
      <c r="N43">
        <f>VLOOKUP($C43,Table1[],6,FALSE)</f>
        <v>484.62</v>
      </c>
      <c r="O43">
        <f>VLOOKUP($C43,Table1[],7,FALSE)</f>
        <v>432</v>
      </c>
      <c r="P43" t="str">
        <f>_xlfn.XLOOKUP($B43,Table3[Store_ID],Table3[Store_Name])</f>
        <v>Gardner, Humphrey and Contreras</v>
      </c>
      <c r="Q43" t="str" cm="1">
        <f t="array" ref="Q43">_xlfn.XLOOKUP($B43,Store_Dim!$A$2:$A$21,Table3[Region])</f>
        <v>East</v>
      </c>
      <c r="R43" t="str" cm="1">
        <f t="array" ref="R43">_xlfn.XLOOKUP($B43,Store_Dim!$A$2:$A$21,Table3[Store_Type])</f>
        <v>Flagship</v>
      </c>
      <c r="S43">
        <f>VLOOKUP(Table7[[#This Row],[Customer ID]],Table6[[Customer_ID]:[Total_Amount]],8,FALSE)</f>
        <v>2372.5230000000001</v>
      </c>
    </row>
    <row r="44" spans="1:19" x14ac:dyDescent="0.3">
      <c r="A44" t="s">
        <v>163</v>
      </c>
      <c r="B44" t="str">
        <f>_xlfn.XLOOKUP(Table7[[#This Row],[Customer ID]],Table6[Customer_ID],Table6[Store_ID])</f>
        <v>STORE12</v>
      </c>
      <c r="C44" t="str">
        <f>_xlfn.XLOOKUP(Table7[[#This Row],[Customer ID]],Table6[Customer_ID],Table6[Product_ID])</f>
        <v>PROD51</v>
      </c>
      <c r="D44" t="str">
        <f>VLOOKUP(Table7[[#This Row],[Customer ID]],Table4[#All],2,FALSE)</f>
        <v>William Martin</v>
      </c>
      <c r="E44">
        <f>VLOOKUP($A44,Table4[],3,FALSE)</f>
        <v>19</v>
      </c>
      <c r="F44" t="str">
        <f>VLOOKUP($A44,Table4[],4,FALSE)</f>
        <v>Male</v>
      </c>
      <c r="G44" t="str">
        <f>VLOOKUP($A44,Table4[],5,FALSE)</f>
        <v>Ryanburgh</v>
      </c>
      <c r="H44" t="str">
        <f>VLOOKUP($A44,Table4[],6,FALSE)</f>
        <v>Connecticut</v>
      </c>
      <c r="I44" t="str">
        <f>VLOOKUP($A44,Table4[],8,FALSE)</f>
        <v>Platinum</v>
      </c>
      <c r="J44" t="str">
        <f>VLOOKUP($C44,Table1[],2,FALSE)</f>
        <v>HDMI Cable – 2m</v>
      </c>
      <c r="K44" t="str">
        <f>VLOOKUP($C44,Table1[],3,FALSE)</f>
        <v>Electronics</v>
      </c>
      <c r="L44" t="str">
        <f>VLOOKUP($C44,Table1[],4,FALSE)</f>
        <v>Accessories</v>
      </c>
      <c r="M44" t="str">
        <f>VLOOKUP($C44,Table1[],5,FALSE)</f>
        <v>Bautista, Green and Hale</v>
      </c>
      <c r="N44">
        <f>VLOOKUP($C44,Table1[],6,FALSE)</f>
        <v>88.49</v>
      </c>
      <c r="O44">
        <f>VLOOKUP($C44,Table1[],7,FALSE)</f>
        <v>246</v>
      </c>
      <c r="P44" t="str">
        <f>_xlfn.XLOOKUP($B44,Table3[Store_ID],Table3[Store_Name])</f>
        <v>Thomas, Bridges and Harris</v>
      </c>
      <c r="Q44" t="str" cm="1">
        <f t="array" ref="Q44">_xlfn.XLOOKUP($B44,Store_Dim!$A$2:$A$21,Table3[Region])</f>
        <v>North</v>
      </c>
      <c r="R44" t="str" cm="1">
        <f t="array" ref="R44">_xlfn.XLOOKUP($B44,Store_Dim!$A$2:$A$21,Table3[Store_Type])</f>
        <v>Online</v>
      </c>
      <c r="S44">
        <f>VLOOKUP(Table7[[#This Row],[Customer ID]],Table6[[Customer_ID]:[Total_Amount]],8,FALSE)</f>
        <v>2062.8696</v>
      </c>
    </row>
    <row r="45" spans="1:19" x14ac:dyDescent="0.3">
      <c r="A45" t="s">
        <v>167</v>
      </c>
      <c r="B45" t="str">
        <f>_xlfn.XLOOKUP(Table7[[#This Row],[Customer ID]],Table6[Customer_ID],Table6[Store_ID])</f>
        <v>STORE12</v>
      </c>
      <c r="C45" t="str">
        <f>_xlfn.XLOOKUP(Table7[[#This Row],[Customer ID]],Table6[Customer_ID],Table6[Product_ID])</f>
        <v>PROD39</v>
      </c>
      <c r="D45" t="str">
        <f>VLOOKUP(Table7[[#This Row],[Customer ID]],Table4[#All],2,FALSE)</f>
        <v>Joseph Snow</v>
      </c>
      <c r="E45">
        <f>VLOOKUP($A45,Table4[],3,FALSE)</f>
        <v>45</v>
      </c>
      <c r="F45" t="str">
        <f>VLOOKUP($A45,Table4[],4,FALSE)</f>
        <v>Male</v>
      </c>
      <c r="G45" t="str">
        <f>VLOOKUP($A45,Table4[],5,FALSE)</f>
        <v>South Michaelfort</v>
      </c>
      <c r="H45" t="str">
        <f>VLOOKUP($A45,Table4[],6,FALSE)</f>
        <v>Vermont</v>
      </c>
      <c r="I45" t="str">
        <f>VLOOKUP($A45,Table4[],8,FALSE)</f>
        <v>Gold</v>
      </c>
      <c r="J45" t="str">
        <f>VLOOKUP($C45,Table1[],2,FALSE)</f>
        <v>Portable Power Bank</v>
      </c>
      <c r="K45" t="str">
        <f>VLOOKUP($C45,Table1[],3,FALSE)</f>
        <v>Electronics</v>
      </c>
      <c r="L45" t="str">
        <f>VLOOKUP($C45,Table1[],4,FALSE)</f>
        <v>Mobile</v>
      </c>
      <c r="M45" t="str">
        <f>VLOOKUP($C45,Table1[],5,FALSE)</f>
        <v>Cummings and Sons</v>
      </c>
      <c r="N45">
        <f>VLOOKUP($C45,Table1[],6,FALSE)</f>
        <v>326.06</v>
      </c>
      <c r="O45">
        <f>VLOOKUP($C45,Table1[],7,FALSE)</f>
        <v>301</v>
      </c>
      <c r="P45" t="str">
        <f>_xlfn.XLOOKUP($B45,Table3[Store_ID],Table3[Store_Name])</f>
        <v>Thomas, Bridges and Harris</v>
      </c>
      <c r="Q45" t="str" cm="1">
        <f t="array" ref="Q45">_xlfn.XLOOKUP($B45,Store_Dim!$A$2:$A$21,Table3[Region])</f>
        <v>North</v>
      </c>
      <c r="R45" t="str" cm="1">
        <f t="array" ref="R45">_xlfn.XLOOKUP($B45,Store_Dim!$A$2:$A$21,Table3[Store_Type])</f>
        <v>Online</v>
      </c>
      <c r="S45">
        <f>VLOOKUP(Table7[[#This Row],[Customer ID]],Table6[[Customer_ID]:[Total_Amount]],8,FALSE)</f>
        <v>693.78300000000002</v>
      </c>
    </row>
    <row r="46" spans="1:19" x14ac:dyDescent="0.3">
      <c r="A46" t="s">
        <v>171</v>
      </c>
      <c r="B46" t="str">
        <f>_xlfn.XLOOKUP(Table7[[#This Row],[Customer ID]],Table6[Customer_ID],Table6[Store_ID])</f>
        <v>STORE9</v>
      </c>
      <c r="C46" t="str">
        <f>_xlfn.XLOOKUP(Table7[[#This Row],[Customer ID]],Table6[Customer_ID],Table6[Product_ID])</f>
        <v>PROD1</v>
      </c>
      <c r="D46" t="str">
        <f>VLOOKUP(Table7[[#This Row],[Customer ID]],Table4[#All],2,FALSE)</f>
        <v>Denise Williams</v>
      </c>
      <c r="E46">
        <f>VLOOKUP($A46,Table4[],3,FALSE)</f>
        <v>34</v>
      </c>
      <c r="F46" t="str">
        <f>VLOOKUP($A46,Table4[],4,FALSE)</f>
        <v>Male</v>
      </c>
      <c r="G46" t="str">
        <f>VLOOKUP($A46,Table4[],5,FALSE)</f>
        <v>Christianstad</v>
      </c>
      <c r="H46" t="str">
        <f>VLOOKUP($A46,Table4[],6,FALSE)</f>
        <v>Hawaii</v>
      </c>
      <c r="I46" t="str">
        <f>VLOOKUP($A46,Table4[],8,FALSE)</f>
        <v>Bronze</v>
      </c>
      <c r="J46" t="str">
        <f>VLOOKUP($C46,Table1[],2,FALSE)</f>
        <v>Men's Graphic T-Shirt</v>
      </c>
      <c r="K46" t="str">
        <f>VLOOKUP($C46,Table1[],3,FALSE)</f>
        <v>Clothing</v>
      </c>
      <c r="L46" t="str">
        <f>VLOOKUP($C46,Table1[],4,FALSE)</f>
        <v>Tops</v>
      </c>
      <c r="M46" t="str">
        <f>VLOOKUP($C46,Table1[],5,FALSE)</f>
        <v>Terry-Moore</v>
      </c>
      <c r="N46">
        <f>VLOOKUP($C46,Table1[],6,FALSE)</f>
        <v>342.56</v>
      </c>
      <c r="O46">
        <f>VLOOKUP($C46,Table1[],7,FALSE)</f>
        <v>181</v>
      </c>
      <c r="P46" t="str">
        <f>_xlfn.XLOOKUP($B46,Table3[Store_ID],Table3[Store_Name])</f>
        <v>Moore, Padilla and Butler</v>
      </c>
      <c r="Q46" t="str" cm="1">
        <f t="array" ref="Q46">_xlfn.XLOOKUP($B46,Store_Dim!$A$2:$A$21,Table3[Region])</f>
        <v>South</v>
      </c>
      <c r="R46" t="str" cm="1">
        <f t="array" ref="R46">_xlfn.XLOOKUP($B46,Store_Dim!$A$2:$A$21,Table3[Store_Type])</f>
        <v>Flagship</v>
      </c>
      <c r="S46">
        <f>VLOOKUP(Table7[[#This Row],[Customer ID]],Table6[[Customer_ID]:[Total_Amount]],8,FALSE)</f>
        <v>1329.1128000000001</v>
      </c>
    </row>
    <row r="47" spans="1:19" x14ac:dyDescent="0.3">
      <c r="A47" t="s">
        <v>174</v>
      </c>
      <c r="B47" t="str">
        <f>_xlfn.XLOOKUP(Table7[[#This Row],[Customer ID]],Table6[Customer_ID],Table6[Store_ID])</f>
        <v>STORE17</v>
      </c>
      <c r="C47" t="str">
        <f>_xlfn.XLOOKUP(Table7[[#This Row],[Customer ID]],Table6[Customer_ID],Table6[Product_ID])</f>
        <v>PROD33</v>
      </c>
      <c r="D47" t="str">
        <f>VLOOKUP(Table7[[#This Row],[Customer ID]],Table4[#All],2,FALSE)</f>
        <v>Jordan Jackson Dds</v>
      </c>
      <c r="E47">
        <f>VLOOKUP($A47,Table4[],3,FALSE)</f>
        <v>54</v>
      </c>
      <c r="F47" t="str">
        <f>VLOOKUP($A47,Table4[],4,FALSE)</f>
        <v>Male</v>
      </c>
      <c r="G47" t="str">
        <f>VLOOKUP($A47,Table4[],5,FALSE)</f>
        <v>North Johnview</v>
      </c>
      <c r="H47" t="str">
        <f>VLOOKUP($A47,Table4[],6,FALSE)</f>
        <v>Arizona</v>
      </c>
      <c r="I47" t="str">
        <f>VLOOKUP($A47,Table4[],8,FALSE)</f>
        <v>Gold</v>
      </c>
      <c r="J47" t="str">
        <f>VLOOKUP($C47,Table1[],2,FALSE)</f>
        <v>Modern Wall Clock</v>
      </c>
      <c r="K47" t="str">
        <f>VLOOKUP($C47,Table1[],3,FALSE)</f>
        <v>Home</v>
      </c>
      <c r="L47" t="str">
        <f>VLOOKUP($C47,Table1[],4,FALSE)</f>
        <v>Decor</v>
      </c>
      <c r="M47" t="str">
        <f>VLOOKUP($C47,Table1[],5,FALSE)</f>
        <v>Weiss-Watson</v>
      </c>
      <c r="N47">
        <f>VLOOKUP($C47,Table1[],6,FALSE)</f>
        <v>179.77</v>
      </c>
      <c r="O47">
        <f>VLOOKUP($C47,Table1[],7,FALSE)</f>
        <v>305</v>
      </c>
      <c r="P47" t="str">
        <f>_xlfn.XLOOKUP($B47,Table3[Store_ID],Table3[Store_Name])</f>
        <v>Holloway Ltd</v>
      </c>
      <c r="Q47" t="str" cm="1">
        <f t="array" ref="Q47">_xlfn.XLOOKUP($B47,Store_Dim!$A$2:$A$21,Table3[Region])</f>
        <v>North</v>
      </c>
      <c r="R47" t="str" cm="1">
        <f t="array" ref="R47">_xlfn.XLOOKUP($B47,Store_Dim!$A$2:$A$21,Table3[Store_Type])</f>
        <v>Flagship</v>
      </c>
      <c r="S47">
        <f>VLOOKUP(Table7[[#This Row],[Customer ID]],Table6[[Customer_ID]:[Total_Amount]],8,FALSE)</f>
        <v>1628.1702</v>
      </c>
    </row>
    <row r="48" spans="1:19" x14ac:dyDescent="0.3">
      <c r="A48" t="s">
        <v>176</v>
      </c>
      <c r="B48" t="str">
        <f>_xlfn.XLOOKUP(Table7[[#This Row],[Customer ID]],Table6[Customer_ID],Table6[Store_ID])</f>
        <v>STORE15</v>
      </c>
      <c r="C48" t="str">
        <f>_xlfn.XLOOKUP(Table7[[#This Row],[Customer ID]],Table6[Customer_ID],Table6[Product_ID])</f>
        <v>PROD23</v>
      </c>
      <c r="D48" t="str">
        <f>VLOOKUP(Table7[[#This Row],[Customer ID]],Table4[#All],2,FALSE)</f>
        <v>Michelle Garcia Dds</v>
      </c>
      <c r="E48">
        <f>VLOOKUP($A48,Table4[],3,FALSE)</f>
        <v>55</v>
      </c>
      <c r="F48" t="str">
        <f>VLOOKUP($A48,Table4[],4,FALSE)</f>
        <v>Female</v>
      </c>
      <c r="G48" t="str">
        <f>VLOOKUP($A48,Table4[],5,FALSE)</f>
        <v>Perezbury</v>
      </c>
      <c r="H48" t="str">
        <f>VLOOKUP($A48,Table4[],6,FALSE)</f>
        <v>Ohio</v>
      </c>
      <c r="I48" t="str">
        <f>VLOOKUP($A48,Table4[],8,FALSE)</f>
        <v>Platinum</v>
      </c>
      <c r="J48" t="str">
        <f>VLOOKUP($C48,Table1[],2,FALSE)</f>
        <v>Men's Formal Shirt</v>
      </c>
      <c r="K48" t="str">
        <f>VLOOKUP($C48,Table1[],3,FALSE)</f>
        <v>Clothing</v>
      </c>
      <c r="L48" t="str">
        <f>VLOOKUP($C48,Table1[],4,FALSE)</f>
        <v>Tops</v>
      </c>
      <c r="M48" t="str">
        <f>VLOOKUP($C48,Table1[],5,FALSE)</f>
        <v>Moon, Mora and Santos</v>
      </c>
      <c r="N48">
        <f>VLOOKUP($C48,Table1[],6,FALSE)</f>
        <v>282.99</v>
      </c>
      <c r="O48">
        <f>VLOOKUP($C48,Table1[],7,FALSE)</f>
        <v>360</v>
      </c>
      <c r="P48" t="str">
        <f>_xlfn.XLOOKUP($B48,Table3[Store_ID],Table3[Store_Name])</f>
        <v>Shelton PLC</v>
      </c>
      <c r="Q48" t="str" cm="1">
        <f t="array" ref="Q48">_xlfn.XLOOKUP($B48,Store_Dim!$A$2:$A$21,Table3[Region])</f>
        <v>North</v>
      </c>
      <c r="R48" t="str" cm="1">
        <f t="array" ref="R48">_xlfn.XLOOKUP($B48,Store_Dim!$A$2:$A$21,Table3[Store_Type])</f>
        <v>Flagship</v>
      </c>
      <c r="S48">
        <f>VLOOKUP(Table7[[#This Row],[Customer ID]],Table6[[Customer_ID]:[Total_Amount]],8,FALSE)</f>
        <v>303.08980000000003</v>
      </c>
    </row>
    <row r="49" spans="1:19" x14ac:dyDescent="0.3">
      <c r="A49" t="s">
        <v>178</v>
      </c>
      <c r="B49" t="str">
        <f>_xlfn.XLOOKUP(Table7[[#This Row],[Customer ID]],Table6[Customer_ID],Table6[Store_ID])</f>
        <v>STORE2</v>
      </c>
      <c r="C49" t="str">
        <f>_xlfn.XLOOKUP(Table7[[#This Row],[Customer ID]],Table6[Customer_ID],Table6[Product_ID])</f>
        <v>PROD64</v>
      </c>
      <c r="D49" t="str">
        <f>VLOOKUP(Table7[[#This Row],[Customer ID]],Table4[#All],2,FALSE)</f>
        <v>Gina Knight</v>
      </c>
      <c r="E49">
        <f>VLOOKUP($A49,Table4[],3,FALSE)</f>
        <v>54</v>
      </c>
      <c r="F49" t="str">
        <f>VLOOKUP($A49,Table4[],4,FALSE)</f>
        <v>Female</v>
      </c>
      <c r="G49" t="str">
        <f>VLOOKUP($A49,Table4[],5,FALSE)</f>
        <v>Lake Roberthaven</v>
      </c>
      <c r="H49" t="str">
        <f>VLOOKUP($A49,Table4[],6,FALSE)</f>
        <v>Nevada</v>
      </c>
      <c r="I49" t="str">
        <f>VLOOKUP($A49,Table4[],8,FALSE)</f>
        <v>Silver</v>
      </c>
      <c r="J49" t="str">
        <f>VLOOKUP($C49,Table1[],2,FALSE)</f>
        <v>Matte Lipstick Set</v>
      </c>
      <c r="K49" t="str">
        <f>VLOOKUP($C49,Table1[],3,FALSE)</f>
        <v>Beauty</v>
      </c>
      <c r="L49" t="str">
        <f>VLOOKUP($C49,Table1[],4,FALSE)</f>
        <v>Makeup</v>
      </c>
      <c r="M49" t="str">
        <f>VLOOKUP($C49,Table1[],5,FALSE)</f>
        <v>Zhang Inc</v>
      </c>
      <c r="N49">
        <f>VLOOKUP($C49,Table1[],6,FALSE)</f>
        <v>299.11</v>
      </c>
      <c r="O49">
        <f>VLOOKUP($C49,Table1[],7,FALSE)</f>
        <v>118</v>
      </c>
      <c r="P49" t="str">
        <f>_xlfn.XLOOKUP($B49,Table3[Store_ID],Table3[Store_Name])</f>
        <v>Black-Horn</v>
      </c>
      <c r="Q49" t="str" cm="1">
        <f t="array" ref="Q49">_xlfn.XLOOKUP($B49,Store_Dim!$A$2:$A$21,Table3[Region])</f>
        <v>South</v>
      </c>
      <c r="R49" t="str" cm="1">
        <f t="array" ref="R49">_xlfn.XLOOKUP($B49,Store_Dim!$A$2:$A$21,Table3[Store_Type])</f>
        <v>Outlet</v>
      </c>
      <c r="S49">
        <f>VLOOKUP(Table7[[#This Row],[Customer ID]],Table6[[Customer_ID]:[Total_Amount]],8,FALSE)</f>
        <v>271.28359999999998</v>
      </c>
    </row>
    <row r="50" spans="1:19" x14ac:dyDescent="0.3">
      <c r="A50" t="s">
        <v>182</v>
      </c>
      <c r="B50" t="str">
        <f>_xlfn.XLOOKUP(Table7[[#This Row],[Customer ID]],Table6[Customer_ID],Table6[Store_ID])</f>
        <v>STORE14</v>
      </c>
      <c r="C50" t="str">
        <f>_xlfn.XLOOKUP(Table7[[#This Row],[Customer ID]],Table6[Customer_ID],Table6[Product_ID])</f>
        <v>PROD95</v>
      </c>
      <c r="D50" t="str">
        <f>VLOOKUP(Table7[[#This Row],[Customer ID]],Table4[#All],2,FALSE)</f>
        <v>April Mullins</v>
      </c>
      <c r="E50">
        <f>VLOOKUP($A50,Table4[],3,FALSE)</f>
        <v>54</v>
      </c>
      <c r="F50" t="str">
        <f>VLOOKUP($A50,Table4[],4,FALSE)</f>
        <v>Male</v>
      </c>
      <c r="G50" t="str">
        <f>VLOOKUP($A50,Table4[],5,FALSE)</f>
        <v>Dawsonbury</v>
      </c>
      <c r="H50" t="str">
        <f>VLOOKUP($A50,Table4[],6,FALSE)</f>
        <v>North Carolina</v>
      </c>
      <c r="I50" t="str">
        <f>VLOOKUP($A50,Table4[],8,FALSE)</f>
        <v>Platinum</v>
      </c>
      <c r="J50" t="str">
        <f>VLOOKUP($C50,Table1[],2,FALSE)</f>
        <v>Sports Stopwatch Basic</v>
      </c>
      <c r="K50" t="str">
        <f>VLOOKUP($C50,Table1[],3,FALSE)</f>
        <v>Sports</v>
      </c>
      <c r="L50" t="str">
        <f>VLOOKUP($C50,Table1[],4,FALSE)</f>
        <v>Accessories</v>
      </c>
      <c r="M50" t="str">
        <f>VLOOKUP($C50,Table1[],5,FALSE)</f>
        <v>Wilson Group</v>
      </c>
      <c r="N50">
        <f>VLOOKUP($C50,Table1[],6,FALSE)</f>
        <v>60.65</v>
      </c>
      <c r="O50">
        <f>VLOOKUP($C50,Table1[],7,FALSE)</f>
        <v>75</v>
      </c>
      <c r="P50" t="str">
        <f>_xlfn.XLOOKUP($B50,Table3[Store_ID],Table3[Store_Name])</f>
        <v>Mcdonald Inc</v>
      </c>
      <c r="Q50" t="str" cm="1">
        <f t="array" ref="Q50">_xlfn.XLOOKUP($B50,Store_Dim!$A$2:$A$21,Table3[Region])</f>
        <v>South</v>
      </c>
      <c r="R50" t="str" cm="1">
        <f t="array" ref="R50">_xlfn.XLOOKUP($B50,Store_Dim!$A$2:$A$21,Table3[Store_Type])</f>
        <v>Outlet</v>
      </c>
      <c r="S50">
        <f>VLOOKUP(Table7[[#This Row],[Customer ID]],Table6[[Customer_ID]:[Total_Amount]],8,FALSE)</f>
        <v>67.502399999999994</v>
      </c>
    </row>
    <row r="51" spans="1:19" x14ac:dyDescent="0.3">
      <c r="A51" t="s">
        <v>185</v>
      </c>
      <c r="B51" t="str">
        <f>_xlfn.XLOOKUP(Table7[[#This Row],[Customer ID]],Table6[Customer_ID],Table6[Store_ID])</f>
        <v>STORE13</v>
      </c>
      <c r="C51" t="str">
        <f>_xlfn.XLOOKUP(Table7[[#This Row],[Customer ID]],Table6[Customer_ID],Table6[Product_ID])</f>
        <v>PROD48</v>
      </c>
      <c r="D51" t="str">
        <f>VLOOKUP(Table7[[#This Row],[Customer ID]],Table4[#All],2,FALSE)</f>
        <v>Timothy Weaver</v>
      </c>
      <c r="E51">
        <f>VLOOKUP($A51,Table4[],3,FALSE)</f>
        <v>45</v>
      </c>
      <c r="F51" t="str">
        <f>VLOOKUP($A51,Table4[],4,FALSE)</f>
        <v>Female</v>
      </c>
      <c r="G51" t="str">
        <f>VLOOKUP($A51,Table4[],5,FALSE)</f>
        <v>New Amy</v>
      </c>
      <c r="H51" t="str">
        <f>VLOOKUP($A51,Table4[],6,FALSE)</f>
        <v>Ohio</v>
      </c>
      <c r="I51" t="str">
        <f>VLOOKUP($A51,Table4[],8,FALSE)</f>
        <v>Gold</v>
      </c>
      <c r="J51" t="str">
        <f>VLOOKUP($C51,Table1[],2,FALSE)</f>
        <v>Car Dashboard Phone Holder</v>
      </c>
      <c r="K51" t="str">
        <f>VLOOKUP($C51,Table1[],3,FALSE)</f>
        <v>Electronics</v>
      </c>
      <c r="L51" t="str">
        <f>VLOOKUP($C51,Table1[],4,FALSE)</f>
        <v>Accessories</v>
      </c>
      <c r="M51" t="str">
        <f>VLOOKUP($C51,Table1[],5,FALSE)</f>
        <v>Byrd, Stewart and Valdez</v>
      </c>
      <c r="N51">
        <f>VLOOKUP($C51,Table1[],6,FALSE)</f>
        <v>177.98</v>
      </c>
      <c r="O51">
        <f>VLOOKUP($C51,Table1[],7,FALSE)</f>
        <v>103</v>
      </c>
      <c r="P51" t="str">
        <f>_xlfn.XLOOKUP($B51,Table3[Store_ID],Table3[Store_Name])</f>
        <v>Gardner, Humphrey and Contreras</v>
      </c>
      <c r="Q51" t="str" cm="1">
        <f t="array" ref="Q51">_xlfn.XLOOKUP($B51,Store_Dim!$A$2:$A$21,Table3[Region])</f>
        <v>East</v>
      </c>
      <c r="R51" t="str" cm="1">
        <f t="array" ref="R51">_xlfn.XLOOKUP($B51,Store_Dim!$A$2:$A$21,Table3[Store_Type])</f>
        <v>Flagship</v>
      </c>
      <c r="S51">
        <f>VLOOKUP(Table7[[#This Row],[Customer ID]],Table6[[Customer_ID]:[Total_Amount]],8,FALSE)</f>
        <v>1214.6759999999999</v>
      </c>
    </row>
    <row r="52" spans="1:19" x14ac:dyDescent="0.3">
      <c r="A52" t="s">
        <v>188</v>
      </c>
      <c r="B52" t="str">
        <f>_xlfn.XLOOKUP(Table7[[#This Row],[Customer ID]],Table6[Customer_ID],Table6[Store_ID])</f>
        <v>STORE2</v>
      </c>
      <c r="C52" t="str">
        <f>_xlfn.XLOOKUP(Table7[[#This Row],[Customer ID]],Table6[Customer_ID],Table6[Product_ID])</f>
        <v>PROD99</v>
      </c>
      <c r="D52" t="str">
        <f>VLOOKUP(Table7[[#This Row],[Customer ID]],Table4[#All],2,FALSE)</f>
        <v>Matthew Hunter Jr.</v>
      </c>
      <c r="E52">
        <f>VLOOKUP($A52,Table4[],3,FALSE)</f>
        <v>61</v>
      </c>
      <c r="F52" t="str">
        <f>VLOOKUP($A52,Table4[],4,FALSE)</f>
        <v>Female</v>
      </c>
      <c r="G52" t="str">
        <f>VLOOKUP($A52,Table4[],5,FALSE)</f>
        <v>Gregoryview</v>
      </c>
      <c r="H52" t="str">
        <f>VLOOKUP($A52,Table4[],6,FALSE)</f>
        <v>Illinois</v>
      </c>
      <c r="I52" t="str">
        <f>VLOOKUP($A52,Table4[],8,FALSE)</f>
        <v>Gold</v>
      </c>
      <c r="J52" t="str">
        <f>VLOOKUP($C52,Table1[],2,FALSE)</f>
        <v>Stainless Steel Cookware Set</v>
      </c>
      <c r="K52" t="str">
        <f>VLOOKUP($C52,Table1[],3,FALSE)</f>
        <v>Home</v>
      </c>
      <c r="L52" t="str">
        <f>VLOOKUP($C52,Table1[],4,FALSE)</f>
        <v>Kitchen</v>
      </c>
      <c r="M52" t="str">
        <f>VLOOKUP($C52,Table1[],5,FALSE)</f>
        <v>Campbell Ltd</v>
      </c>
      <c r="N52">
        <f>VLOOKUP($C52,Table1[],6,FALSE)</f>
        <v>201.41</v>
      </c>
      <c r="O52">
        <f>VLOOKUP($C52,Table1[],7,FALSE)</f>
        <v>146</v>
      </c>
      <c r="P52" t="str">
        <f>_xlfn.XLOOKUP($B52,Table3[Store_ID],Table3[Store_Name])</f>
        <v>Black-Horn</v>
      </c>
      <c r="Q52" t="str" cm="1">
        <f t="array" ref="Q52">_xlfn.XLOOKUP($B52,Store_Dim!$A$2:$A$21,Table3[Region])</f>
        <v>South</v>
      </c>
      <c r="R52" t="str" cm="1">
        <f t="array" ref="R52">_xlfn.XLOOKUP($B52,Store_Dim!$A$2:$A$21,Table3[Store_Type])</f>
        <v>Outlet</v>
      </c>
      <c r="S52">
        <f>VLOOKUP(Table7[[#This Row],[Customer ID]],Table6[[Customer_ID]:[Total_Amount]],8,FALSE)</f>
        <v>814.74239999999998</v>
      </c>
    </row>
    <row r="53" spans="1:19" x14ac:dyDescent="0.3">
      <c r="A53" t="s">
        <v>192</v>
      </c>
      <c r="B53" t="str">
        <f>_xlfn.XLOOKUP(Table7[[#This Row],[Customer ID]],Table6[Customer_ID],Table6[Store_ID])</f>
        <v>STORE0</v>
      </c>
      <c r="C53" t="str">
        <f>_xlfn.XLOOKUP(Table7[[#This Row],[Customer ID]],Table6[Customer_ID],Table6[Product_ID])</f>
        <v>PROD21</v>
      </c>
      <c r="D53" t="str">
        <f>VLOOKUP(Table7[[#This Row],[Customer ID]],Table4[#All],2,FALSE)</f>
        <v>Sarah Rodgers</v>
      </c>
      <c r="E53">
        <f>VLOOKUP($A53,Table4[],3,FALSE)</f>
        <v>23</v>
      </c>
      <c r="F53" t="str">
        <f>VLOOKUP($A53,Table4[],4,FALSE)</f>
        <v>Female</v>
      </c>
      <c r="G53" t="str">
        <f>VLOOKUP($A53,Table4[],5,FALSE)</f>
        <v>New Julia</v>
      </c>
      <c r="H53" t="str">
        <f>VLOOKUP($A53,Table4[],6,FALSE)</f>
        <v>West Virginia</v>
      </c>
      <c r="I53" t="str">
        <f>VLOOKUP($A53,Table4[],8,FALSE)</f>
        <v>Gold</v>
      </c>
      <c r="J53" t="str">
        <f>VLOOKUP($C53,Table1[],2,FALSE)</f>
        <v>Multi-Purpose Storage Box</v>
      </c>
      <c r="K53" t="str">
        <f>VLOOKUP($C53,Table1[],3,FALSE)</f>
        <v>Home</v>
      </c>
      <c r="L53" t="str">
        <f>VLOOKUP($C53,Table1[],4,FALSE)</f>
        <v>Storage</v>
      </c>
      <c r="M53" t="str">
        <f>VLOOKUP($C53,Table1[],5,FALSE)</f>
        <v>Gardner-Montes</v>
      </c>
      <c r="N53">
        <f>VLOOKUP($C53,Table1[],6,FALSE)</f>
        <v>123.46</v>
      </c>
      <c r="O53">
        <f>VLOOKUP($C53,Table1[],7,FALSE)</f>
        <v>76</v>
      </c>
      <c r="P53" t="str">
        <f>_xlfn.XLOOKUP($B53,Table3[Store_ID],Table3[Store_Name])</f>
        <v>Rivera-Warner</v>
      </c>
      <c r="Q53" t="str" cm="1">
        <f t="array" ref="Q53">_xlfn.XLOOKUP($B53,Store_Dim!$A$2:$A$21,Table3[Region])</f>
        <v>East</v>
      </c>
      <c r="R53" t="str" cm="1">
        <f t="array" ref="R53">_xlfn.XLOOKUP($B53,Store_Dim!$A$2:$A$21,Table3[Store_Type])</f>
        <v>Flagship</v>
      </c>
      <c r="S53">
        <f>VLOOKUP(Table7[[#This Row],[Customer ID]],Table6[[Customer_ID]:[Total_Amount]],8,FALSE)</f>
        <v>198.50559999999999</v>
      </c>
    </row>
    <row r="54" spans="1:19" x14ac:dyDescent="0.3">
      <c r="A54" t="s">
        <v>195</v>
      </c>
      <c r="B54" t="str">
        <f>_xlfn.XLOOKUP(Table7[[#This Row],[Customer ID]],Table6[Customer_ID],Table6[Store_ID])</f>
        <v>STORE16</v>
      </c>
      <c r="C54" t="str">
        <f>_xlfn.XLOOKUP(Table7[[#This Row],[Customer ID]],Table6[Customer_ID],Table6[Product_ID])</f>
        <v>PROD51</v>
      </c>
      <c r="D54" t="str">
        <f>VLOOKUP(Table7[[#This Row],[Customer ID]],Table4[#All],2,FALSE)</f>
        <v>Debra Liu</v>
      </c>
      <c r="E54">
        <f>VLOOKUP($A54,Table4[],3,FALSE)</f>
        <v>55</v>
      </c>
      <c r="F54" t="str">
        <f>VLOOKUP($A54,Table4[],4,FALSE)</f>
        <v>Male</v>
      </c>
      <c r="G54" t="str">
        <f>VLOOKUP($A54,Table4[],5,FALSE)</f>
        <v>South Timtown</v>
      </c>
      <c r="H54" t="str">
        <f>VLOOKUP($A54,Table4[],6,FALSE)</f>
        <v>Minnesota</v>
      </c>
      <c r="I54" t="str">
        <f>VLOOKUP($A54,Table4[],8,FALSE)</f>
        <v>Bronze</v>
      </c>
      <c r="J54" t="str">
        <f>VLOOKUP($C54,Table1[],2,FALSE)</f>
        <v>HDMI Cable – 2m</v>
      </c>
      <c r="K54" t="str">
        <f>VLOOKUP($C54,Table1[],3,FALSE)</f>
        <v>Electronics</v>
      </c>
      <c r="L54" t="str">
        <f>VLOOKUP($C54,Table1[],4,FALSE)</f>
        <v>Accessories</v>
      </c>
      <c r="M54" t="str">
        <f>VLOOKUP($C54,Table1[],5,FALSE)</f>
        <v>Bautista, Green and Hale</v>
      </c>
      <c r="N54">
        <f>VLOOKUP($C54,Table1[],6,FALSE)</f>
        <v>88.49</v>
      </c>
      <c r="O54">
        <f>VLOOKUP($C54,Table1[],7,FALSE)</f>
        <v>246</v>
      </c>
      <c r="P54" t="str">
        <f>_xlfn.XLOOKUP($B54,Table3[Store_ID],Table3[Store_Name])</f>
        <v>Frederick-Wright</v>
      </c>
      <c r="Q54" t="str" cm="1">
        <f t="array" ref="Q54">_xlfn.XLOOKUP($B54,Store_Dim!$A$2:$A$21,Table3[Region])</f>
        <v>West</v>
      </c>
      <c r="R54" t="str" cm="1">
        <f t="array" ref="R54">_xlfn.XLOOKUP($B54,Store_Dim!$A$2:$A$21,Table3[Store_Type])</f>
        <v>Flagship</v>
      </c>
      <c r="S54">
        <f>VLOOKUP(Table7[[#This Row],[Customer ID]],Table6[[Customer_ID]:[Total_Amount]],8,FALSE)</f>
        <v>355.5342</v>
      </c>
    </row>
    <row r="55" spans="1:19" x14ac:dyDescent="0.3">
      <c r="A55" t="s">
        <v>199</v>
      </c>
      <c r="B55" t="str">
        <f>_xlfn.XLOOKUP(Table7[[#This Row],[Customer ID]],Table6[Customer_ID],Table6[Store_ID])</f>
        <v>STORE12</v>
      </c>
      <c r="C55" t="str">
        <f>_xlfn.XLOOKUP(Table7[[#This Row],[Customer ID]],Table6[Customer_ID],Table6[Product_ID])</f>
        <v>PROD37</v>
      </c>
      <c r="D55" t="str">
        <f>VLOOKUP(Table7[[#This Row],[Customer ID]],Table4[#All],2,FALSE)</f>
        <v>Sharon Brown</v>
      </c>
      <c r="E55">
        <f>VLOOKUP($A55,Table4[],3,FALSE)</f>
        <v>37</v>
      </c>
      <c r="F55" t="str">
        <f>VLOOKUP($A55,Table4[],4,FALSE)</f>
        <v>Female</v>
      </c>
      <c r="G55" t="str">
        <f>VLOOKUP($A55,Table4[],5,FALSE)</f>
        <v>East Andrea</v>
      </c>
      <c r="H55" t="str">
        <f>VLOOKUP($A55,Table4[],6,FALSE)</f>
        <v>Michigan</v>
      </c>
      <c r="I55" t="str">
        <f>VLOOKUP($A55,Table4[],8,FALSE)</f>
        <v>Gold</v>
      </c>
      <c r="J55" t="str">
        <f>VLOOKUP($C55,Table1[],2,FALSE)</f>
        <v>Men's Casual Sneakers</v>
      </c>
      <c r="K55" t="str">
        <f>VLOOKUP($C55,Table1[],3,FALSE)</f>
        <v>Clothing</v>
      </c>
      <c r="L55" t="str">
        <f>VLOOKUP($C55,Table1[],4,FALSE)</f>
        <v>Footwear</v>
      </c>
      <c r="M55" t="str">
        <f>VLOOKUP($C55,Table1[],5,FALSE)</f>
        <v>Hogan-Lee</v>
      </c>
      <c r="N55">
        <f>VLOOKUP($C55,Table1[],6,FALSE)</f>
        <v>353.47</v>
      </c>
      <c r="O55">
        <f>VLOOKUP($C55,Table1[],7,FALSE)</f>
        <v>214</v>
      </c>
      <c r="P55" t="str">
        <f>_xlfn.XLOOKUP($B55,Table3[Store_ID],Table3[Store_Name])</f>
        <v>Thomas, Bridges and Harris</v>
      </c>
      <c r="Q55" t="str" cm="1">
        <f t="array" ref="Q55">_xlfn.XLOOKUP($B55,Store_Dim!$A$2:$A$21,Table3[Region])</f>
        <v>North</v>
      </c>
      <c r="R55" t="str" cm="1">
        <f t="array" ref="R55">_xlfn.XLOOKUP($B55,Store_Dim!$A$2:$A$21,Table3[Store_Type])</f>
        <v>Online</v>
      </c>
      <c r="S55">
        <f>VLOOKUP(Table7[[#This Row],[Customer ID]],Table6[[Customer_ID]:[Total_Amount]],8,FALSE)</f>
        <v>2721.1183999999998</v>
      </c>
    </row>
    <row r="56" spans="1:19" x14ac:dyDescent="0.3">
      <c r="A56" t="s">
        <v>202</v>
      </c>
      <c r="B56" t="str">
        <f>_xlfn.XLOOKUP(Table7[[#This Row],[Customer ID]],Table6[Customer_ID],Table6[Store_ID])</f>
        <v>STORE7</v>
      </c>
      <c r="C56" t="str">
        <f>_xlfn.XLOOKUP(Table7[[#This Row],[Customer ID]],Table6[Customer_ID],Table6[Product_ID])</f>
        <v>PROD88</v>
      </c>
      <c r="D56" t="str">
        <f>VLOOKUP(Table7[[#This Row],[Customer ID]],Table4[#All],2,FALSE)</f>
        <v>Katherine Dorsey</v>
      </c>
      <c r="E56">
        <f>VLOOKUP($A56,Table4[],3,FALSE)</f>
        <v>24</v>
      </c>
      <c r="F56" t="str">
        <f>VLOOKUP($A56,Table4[],4,FALSE)</f>
        <v>Male</v>
      </c>
      <c r="G56" t="str">
        <f>VLOOKUP($A56,Table4[],5,FALSE)</f>
        <v>Christopherland</v>
      </c>
      <c r="H56" t="str">
        <f>VLOOKUP($A56,Table4[],6,FALSE)</f>
        <v>Oklahoma</v>
      </c>
      <c r="I56" t="str">
        <f>VLOOKUP($A56,Table4[],8,FALSE)</f>
        <v>Platinum</v>
      </c>
      <c r="J56" t="str">
        <f>VLOOKUP($C56,Table1[],2,FALSE)</f>
        <v>Sports Wrist Sweatbands</v>
      </c>
      <c r="K56" t="str">
        <f>VLOOKUP($C56,Table1[],3,FALSE)</f>
        <v>Sports</v>
      </c>
      <c r="L56" t="str">
        <f>VLOOKUP($C56,Table1[],4,FALSE)</f>
        <v>Accessories</v>
      </c>
      <c r="M56" t="str">
        <f>VLOOKUP($C56,Table1[],5,FALSE)</f>
        <v>Olsen-Daniels</v>
      </c>
      <c r="N56">
        <f>VLOOKUP($C56,Table1[],6,FALSE)</f>
        <v>131.24</v>
      </c>
      <c r="O56">
        <f>VLOOKUP($C56,Table1[],7,FALSE)</f>
        <v>232</v>
      </c>
      <c r="P56" t="str">
        <f>_xlfn.XLOOKUP($B56,Table3[Store_ID],Table3[Store_Name])</f>
        <v>Martinez-Mullins</v>
      </c>
      <c r="Q56" t="str" cm="1">
        <f t="array" ref="Q56">_xlfn.XLOOKUP($B56,Store_Dim!$A$2:$A$21,Table3[Region])</f>
        <v>South</v>
      </c>
      <c r="R56" t="str" cm="1">
        <f t="array" ref="R56">_xlfn.XLOOKUP($B56,Store_Dim!$A$2:$A$21,Table3[Store_Type])</f>
        <v>Online</v>
      </c>
      <c r="S56">
        <f>VLOOKUP(Table7[[#This Row],[Customer ID]],Table6[[Customer_ID]:[Total_Amount]],8,FALSE)</f>
        <v>386.38400000000001</v>
      </c>
    </row>
    <row r="57" spans="1:19" x14ac:dyDescent="0.3">
      <c r="A57" t="s">
        <v>205</v>
      </c>
      <c r="B57" t="str">
        <f>_xlfn.XLOOKUP(Table7[[#This Row],[Customer ID]],Table6[Customer_ID],Table6[Store_ID])</f>
        <v>STORE6</v>
      </c>
      <c r="C57" t="str">
        <f>_xlfn.XLOOKUP(Table7[[#This Row],[Customer ID]],Table6[Customer_ID],Table6[Product_ID])</f>
        <v>PROD15</v>
      </c>
      <c r="D57" t="str">
        <f>VLOOKUP(Table7[[#This Row],[Customer ID]],Table4[#All],2,FALSE)</f>
        <v>Wayne Mcpherson</v>
      </c>
      <c r="E57">
        <f>VLOOKUP($A57,Table4[],3,FALSE)</f>
        <v>56</v>
      </c>
      <c r="F57" t="str">
        <f>VLOOKUP($A57,Table4[],4,FALSE)</f>
        <v>Female</v>
      </c>
      <c r="G57" t="str">
        <f>VLOOKUP($A57,Table4[],5,FALSE)</f>
        <v>Edwardsfort</v>
      </c>
      <c r="H57" t="str">
        <f>VLOOKUP($A57,Table4[],6,FALSE)</f>
        <v>Minnesota</v>
      </c>
      <c r="I57" t="str">
        <f>VLOOKUP($A57,Table4[],8,FALSE)</f>
        <v>Bronze</v>
      </c>
      <c r="J57" t="str">
        <f>VLOOKUP($C57,Table1[],2,FALSE)</f>
        <v>4K Home Projector</v>
      </c>
      <c r="K57" t="str">
        <f>VLOOKUP($C57,Table1[],3,FALSE)</f>
        <v>Electronics</v>
      </c>
      <c r="L57" t="str">
        <f>VLOOKUP($C57,Table1[],4,FALSE)</f>
        <v>Appliances</v>
      </c>
      <c r="M57" t="str">
        <f>VLOOKUP($C57,Table1[],5,FALSE)</f>
        <v>Thomas LLC</v>
      </c>
      <c r="N57">
        <f>VLOOKUP($C57,Table1[],6,FALSE)</f>
        <v>465.34</v>
      </c>
      <c r="O57">
        <f>VLOOKUP($C57,Table1[],7,FALSE)</f>
        <v>301</v>
      </c>
      <c r="P57" t="str">
        <f>_xlfn.XLOOKUP($B57,Table3[Store_ID],Table3[Store_Name])</f>
        <v>Benson-Elliott</v>
      </c>
      <c r="Q57" t="str" cm="1">
        <f t="array" ref="Q57">_xlfn.XLOOKUP($B57,Store_Dim!$A$2:$A$21,Table3[Region])</f>
        <v>East</v>
      </c>
      <c r="R57" t="str" cm="1">
        <f t="array" ref="R57">_xlfn.XLOOKUP($B57,Store_Dim!$A$2:$A$21,Table3[Store_Type])</f>
        <v>Online</v>
      </c>
      <c r="S57">
        <f>VLOOKUP(Table7[[#This Row],[Customer ID]],Table6[[Customer_ID]:[Total_Amount]],8,FALSE)</f>
        <v>1768.96</v>
      </c>
    </row>
    <row r="58" spans="1:19" x14ac:dyDescent="0.3">
      <c r="A58" t="s">
        <v>208</v>
      </c>
      <c r="B58" t="str">
        <f>_xlfn.XLOOKUP(Table7[[#This Row],[Customer ID]],Table6[Customer_ID],Table6[Store_ID])</f>
        <v>STORE8</v>
      </c>
      <c r="C58" t="str">
        <f>_xlfn.XLOOKUP(Table7[[#This Row],[Customer ID]],Table6[Customer_ID],Table6[Product_ID])</f>
        <v>PROD49</v>
      </c>
      <c r="D58" t="str">
        <f>VLOOKUP(Table7[[#This Row],[Customer ID]],Table4[#All],2,FALSE)</f>
        <v>Christopher Sutton</v>
      </c>
      <c r="E58">
        <f>VLOOKUP($A58,Table4[],3,FALSE)</f>
        <v>49</v>
      </c>
      <c r="F58" t="str">
        <f>VLOOKUP($A58,Table4[],4,FALSE)</f>
        <v>Female</v>
      </c>
      <c r="G58" t="str">
        <f>VLOOKUP($A58,Table4[],5,FALSE)</f>
        <v>Deborahberg</v>
      </c>
      <c r="H58" t="str">
        <f>VLOOKUP($A58,Table4[],6,FALSE)</f>
        <v>Pennsylvania</v>
      </c>
      <c r="I58" t="str">
        <f>VLOOKUP($A58,Table4[],8,FALSE)</f>
        <v>Gold</v>
      </c>
      <c r="J58" t="str">
        <f>VLOOKUP($C58,Table1[],2,FALSE)</f>
        <v>Men's Roll-On Perfume</v>
      </c>
      <c r="K58" t="str">
        <f>VLOOKUP($C58,Table1[],3,FALSE)</f>
        <v>Beauty</v>
      </c>
      <c r="L58" t="str">
        <f>VLOOKUP($C58,Table1[],4,FALSE)</f>
        <v>Fragrance</v>
      </c>
      <c r="M58" t="str">
        <f>VLOOKUP($C58,Table1[],5,FALSE)</f>
        <v>Sullivan and Sons</v>
      </c>
      <c r="N58">
        <f>VLOOKUP($C58,Table1[],6,FALSE)</f>
        <v>43.29</v>
      </c>
      <c r="O58">
        <f>VLOOKUP($C58,Table1[],7,FALSE)</f>
        <v>267</v>
      </c>
      <c r="P58" t="str">
        <f>_xlfn.XLOOKUP($B58,Table3[Store_ID],Table3[Store_Name])</f>
        <v>Bean, Jones and Park</v>
      </c>
      <c r="Q58" t="str" cm="1">
        <f t="array" ref="Q58">_xlfn.XLOOKUP($B58,Store_Dim!$A$2:$A$21,Table3[Region])</f>
        <v>West</v>
      </c>
      <c r="R58" t="str" cm="1">
        <f t="array" ref="R58">_xlfn.XLOOKUP($B58,Store_Dim!$A$2:$A$21,Table3[Store_Type])</f>
        <v>Online</v>
      </c>
      <c r="S58">
        <f>VLOOKUP(Table7[[#This Row],[Customer ID]],Table6[[Customer_ID]:[Total_Amount]],8,FALSE)</f>
        <v>2742.15</v>
      </c>
    </row>
    <row r="59" spans="1:19" x14ac:dyDescent="0.3">
      <c r="A59" t="s">
        <v>211</v>
      </c>
      <c r="B59" t="str">
        <f>_xlfn.XLOOKUP(Table7[[#This Row],[Customer ID]],Table6[Customer_ID],Table6[Store_ID])</f>
        <v>STORE14</v>
      </c>
      <c r="C59" t="str">
        <f>_xlfn.XLOOKUP(Table7[[#This Row],[Customer ID]],Table6[Customer_ID],Table6[Product_ID])</f>
        <v>PROD38</v>
      </c>
      <c r="D59" t="str">
        <f>VLOOKUP(Table7[[#This Row],[Customer ID]],Table4[#All],2,FALSE)</f>
        <v>Jay Patel</v>
      </c>
      <c r="E59">
        <f>VLOOKUP($A59,Table4[],3,FALSE)</f>
        <v>43</v>
      </c>
      <c r="F59" t="str">
        <f>VLOOKUP($A59,Table4[],4,FALSE)</f>
        <v>Female</v>
      </c>
      <c r="G59" t="str">
        <f>VLOOKUP($A59,Table4[],5,FALSE)</f>
        <v>Morrisbury</v>
      </c>
      <c r="H59" t="str">
        <f>VLOOKUP($A59,Table4[],6,FALSE)</f>
        <v>Rhode Island</v>
      </c>
      <c r="I59" t="str">
        <f>VLOOKUP($A59,Table4[],8,FALSE)</f>
        <v>Platinum</v>
      </c>
      <c r="J59" t="str">
        <f>VLOOKUP($C59,Table1[],2,FALSE)</f>
        <v>Sports Water Hydration Pack</v>
      </c>
      <c r="K59" t="str">
        <f>VLOOKUP($C59,Table1[],3,FALSE)</f>
        <v>Sports</v>
      </c>
      <c r="L59" t="str">
        <f>VLOOKUP($C59,Table1[],4,FALSE)</f>
        <v>Outdoor</v>
      </c>
      <c r="M59" t="str">
        <f>VLOOKUP($C59,Table1[],5,FALSE)</f>
        <v>Sims-Smith</v>
      </c>
      <c r="N59">
        <f>VLOOKUP($C59,Table1[],6,FALSE)</f>
        <v>135.61000000000001</v>
      </c>
      <c r="O59">
        <f>VLOOKUP($C59,Table1[],7,FALSE)</f>
        <v>394</v>
      </c>
      <c r="P59" t="str">
        <f>_xlfn.XLOOKUP($B59,Table3[Store_ID],Table3[Store_Name])</f>
        <v>Mcdonald Inc</v>
      </c>
      <c r="Q59" t="str" cm="1">
        <f t="array" ref="Q59">_xlfn.XLOOKUP($B59,Store_Dim!$A$2:$A$21,Table3[Region])</f>
        <v>South</v>
      </c>
      <c r="R59" t="str" cm="1">
        <f t="array" ref="R59">_xlfn.XLOOKUP($B59,Store_Dim!$A$2:$A$21,Table3[Store_Type])</f>
        <v>Outlet</v>
      </c>
      <c r="S59">
        <f>VLOOKUP(Table7[[#This Row],[Customer ID]],Table6[[Customer_ID]:[Total_Amount]],8,FALSE)</f>
        <v>1267.1328000000001</v>
      </c>
    </row>
    <row r="60" spans="1:19" x14ac:dyDescent="0.3">
      <c r="A60" t="s">
        <v>215</v>
      </c>
      <c r="B60" t="str">
        <f>_xlfn.XLOOKUP(Table7[[#This Row],[Customer ID]],Table6[Customer_ID],Table6[Store_ID])</f>
        <v>STORE5</v>
      </c>
      <c r="C60" t="str">
        <f>_xlfn.XLOOKUP(Table7[[#This Row],[Customer ID]],Table6[Customer_ID],Table6[Product_ID])</f>
        <v>PROD60</v>
      </c>
      <c r="D60" t="str">
        <f>VLOOKUP(Table7[[#This Row],[Customer ID]],Table4[#All],2,FALSE)</f>
        <v>Cheryl Copeland</v>
      </c>
      <c r="E60">
        <f>VLOOKUP($A60,Table4[],3,FALSE)</f>
        <v>51</v>
      </c>
      <c r="F60" t="str">
        <f>VLOOKUP($A60,Table4[],4,FALSE)</f>
        <v>Male</v>
      </c>
      <c r="G60" t="str">
        <f>VLOOKUP($A60,Table4[],5,FALSE)</f>
        <v>Snowmouth</v>
      </c>
      <c r="H60" t="str">
        <f>VLOOKUP($A60,Table4[],6,FALSE)</f>
        <v>Maryland</v>
      </c>
      <c r="I60" t="str">
        <f>VLOOKUP($A60,Table4[],8,FALSE)</f>
        <v>Platinum</v>
      </c>
      <c r="J60" t="str">
        <f>VLOOKUP($C60,Table1[],2,FALSE)</f>
        <v>Luxury Perfume Spray</v>
      </c>
      <c r="K60" t="str">
        <f>VLOOKUP($C60,Table1[],3,FALSE)</f>
        <v>Beauty</v>
      </c>
      <c r="L60" t="str">
        <f>VLOOKUP($C60,Table1[],4,FALSE)</f>
        <v>Fragrance</v>
      </c>
      <c r="M60" t="str">
        <f>VLOOKUP($C60,Table1[],5,FALSE)</f>
        <v>Gibson, Green and Lopez</v>
      </c>
      <c r="N60">
        <f>VLOOKUP($C60,Table1[],6,FALSE)</f>
        <v>482.75</v>
      </c>
      <c r="O60">
        <f>VLOOKUP($C60,Table1[],7,FALSE)</f>
        <v>444</v>
      </c>
      <c r="P60" t="str">
        <f>_xlfn.XLOOKUP($B60,Table3[Store_ID],Table3[Store_Name])</f>
        <v>Gray Ltd</v>
      </c>
      <c r="Q60" t="str" cm="1">
        <f t="array" ref="Q60">_xlfn.XLOOKUP($B60,Store_Dim!$A$2:$A$21,Table3[Region])</f>
        <v>North</v>
      </c>
      <c r="R60" t="str" cm="1">
        <f t="array" ref="R60">_xlfn.XLOOKUP($B60,Store_Dim!$A$2:$A$21,Table3[Store_Type])</f>
        <v>Outlet</v>
      </c>
      <c r="S60">
        <f>VLOOKUP(Table7[[#This Row],[Customer ID]],Table6[[Customer_ID]:[Total_Amount]],8,FALSE)</f>
        <v>276.71999999999997</v>
      </c>
    </row>
    <row r="61" spans="1:19" x14ac:dyDescent="0.3">
      <c r="A61" t="s">
        <v>218</v>
      </c>
      <c r="B61" t="str">
        <f>_xlfn.XLOOKUP(Table7[[#This Row],[Customer ID]],Table6[Customer_ID],Table6[Store_ID])</f>
        <v>STORE4</v>
      </c>
      <c r="C61" t="str">
        <f>_xlfn.XLOOKUP(Table7[[#This Row],[Customer ID]],Table6[Customer_ID],Table6[Product_ID])</f>
        <v>PROD94</v>
      </c>
      <c r="D61" t="str">
        <f>VLOOKUP(Table7[[#This Row],[Customer ID]],Table4[#All],2,FALSE)</f>
        <v>Alyssa Vargas</v>
      </c>
      <c r="E61">
        <f>VLOOKUP($A61,Table4[],3,FALSE)</f>
        <v>53</v>
      </c>
      <c r="F61" t="str">
        <f>VLOOKUP($A61,Table4[],4,FALSE)</f>
        <v>Male</v>
      </c>
      <c r="G61" t="str">
        <f>VLOOKUP($A61,Table4[],5,FALSE)</f>
        <v>New Kathrynland</v>
      </c>
      <c r="H61" t="str">
        <f>VLOOKUP($A61,Table4[],6,FALSE)</f>
        <v>Montana</v>
      </c>
      <c r="I61" t="str">
        <f>VLOOKUP($A61,Table4[],8,FALSE)</f>
        <v>Platinum</v>
      </c>
      <c r="J61" t="str">
        <f>VLOOKUP($C61,Table1[],2,FALSE)</f>
        <v>Vitamin E Body Lotion</v>
      </c>
      <c r="K61" t="str">
        <f>VLOOKUP($C61,Table1[],3,FALSE)</f>
        <v>Beauty</v>
      </c>
      <c r="L61" t="str">
        <f>VLOOKUP($C61,Table1[],4,FALSE)</f>
        <v>Skincare</v>
      </c>
      <c r="M61" t="str">
        <f>VLOOKUP($C61,Table1[],5,FALSE)</f>
        <v>Hoffman-Williams</v>
      </c>
      <c r="N61">
        <f>VLOOKUP($C61,Table1[],6,FALSE)</f>
        <v>358.47</v>
      </c>
      <c r="O61">
        <f>VLOOKUP($C61,Table1[],7,FALSE)</f>
        <v>213</v>
      </c>
      <c r="P61" t="str">
        <f>_xlfn.XLOOKUP($B61,Table3[Store_ID],Table3[Store_Name])</f>
        <v>Alexander Group</v>
      </c>
      <c r="Q61" t="str" cm="1">
        <f t="array" ref="Q61">_xlfn.XLOOKUP($B61,Store_Dim!$A$2:$A$21,Table3[Region])</f>
        <v>South</v>
      </c>
      <c r="R61" t="str" cm="1">
        <f t="array" ref="R61">_xlfn.XLOOKUP($B61,Store_Dim!$A$2:$A$21,Table3[Store_Type])</f>
        <v>Online</v>
      </c>
      <c r="S61">
        <f>VLOOKUP(Table7[[#This Row],[Customer ID]],Table6[[Customer_ID]:[Total_Amount]],8,FALSE)</f>
        <v>615.46699999999998</v>
      </c>
    </row>
    <row r="62" spans="1:19" x14ac:dyDescent="0.3">
      <c r="A62" t="s">
        <v>221</v>
      </c>
      <c r="B62" t="str">
        <f>_xlfn.XLOOKUP(Table7[[#This Row],[Customer ID]],Table6[Customer_ID],Table6[Store_ID])</f>
        <v>STORE11</v>
      </c>
      <c r="C62" t="str">
        <f>_xlfn.XLOOKUP(Table7[[#This Row],[Customer ID]],Table6[Customer_ID],Table6[Product_ID])</f>
        <v>PROD38</v>
      </c>
      <c r="D62" t="str">
        <f>VLOOKUP(Table7[[#This Row],[Customer ID]],Table4[#All],2,FALSE)</f>
        <v>Dr. David Smith</v>
      </c>
      <c r="E62">
        <f>VLOOKUP($A62,Table4[],3,FALSE)</f>
        <v>22</v>
      </c>
      <c r="F62" t="str">
        <f>VLOOKUP($A62,Table4[],4,FALSE)</f>
        <v>Female</v>
      </c>
      <c r="G62" t="str">
        <f>VLOOKUP($A62,Table4[],5,FALSE)</f>
        <v>Schmidtchester</v>
      </c>
      <c r="H62" t="str">
        <f>VLOOKUP($A62,Table4[],6,FALSE)</f>
        <v>Alaska</v>
      </c>
      <c r="I62" t="str">
        <f>VLOOKUP($A62,Table4[],8,FALSE)</f>
        <v>Silver</v>
      </c>
      <c r="J62" t="str">
        <f>VLOOKUP($C62,Table1[],2,FALSE)</f>
        <v>Sports Water Hydration Pack</v>
      </c>
      <c r="K62" t="str">
        <f>VLOOKUP($C62,Table1[],3,FALSE)</f>
        <v>Sports</v>
      </c>
      <c r="L62" t="str">
        <f>VLOOKUP($C62,Table1[],4,FALSE)</f>
        <v>Outdoor</v>
      </c>
      <c r="M62" t="str">
        <f>VLOOKUP($C62,Table1[],5,FALSE)</f>
        <v>Sims-Smith</v>
      </c>
      <c r="N62">
        <f>VLOOKUP($C62,Table1[],6,FALSE)</f>
        <v>135.61000000000001</v>
      </c>
      <c r="O62">
        <f>VLOOKUP($C62,Table1[],7,FALSE)</f>
        <v>394</v>
      </c>
      <c r="P62" t="str">
        <f>_xlfn.XLOOKUP($B62,Table3[Store_ID],Table3[Store_Name])</f>
        <v>Aguirre-Keller</v>
      </c>
      <c r="Q62" t="str" cm="1">
        <f t="array" ref="Q62">_xlfn.XLOOKUP($B62,Store_Dim!$A$2:$A$21,Table3[Region])</f>
        <v>South</v>
      </c>
      <c r="R62" t="str" cm="1">
        <f t="array" ref="R62">_xlfn.XLOOKUP($B62,Store_Dim!$A$2:$A$21,Table3[Store_Type])</f>
        <v>Online</v>
      </c>
      <c r="S62">
        <f>VLOOKUP(Table7[[#This Row],[Customer ID]],Table6[[Customer_ID]:[Total_Amount]],8,FALSE)</f>
        <v>1754.4059999999999</v>
      </c>
    </row>
    <row r="63" spans="1:19" x14ac:dyDescent="0.3">
      <c r="A63" t="s">
        <v>224</v>
      </c>
      <c r="B63" t="str">
        <f>_xlfn.XLOOKUP(Table7[[#This Row],[Customer ID]],Table6[Customer_ID],Table6[Store_ID])</f>
        <v>STORE8</v>
      </c>
      <c r="C63" t="str">
        <f>_xlfn.XLOOKUP(Table7[[#This Row],[Customer ID]],Table6[Customer_ID],Table6[Product_ID])</f>
        <v>PROD51</v>
      </c>
      <c r="D63" t="str">
        <f>VLOOKUP(Table7[[#This Row],[Customer ID]],Table4[#All],2,FALSE)</f>
        <v>Kristin Stein</v>
      </c>
      <c r="E63">
        <f>VLOOKUP($A63,Table4[],3,FALSE)</f>
        <v>23</v>
      </c>
      <c r="F63" t="str">
        <f>VLOOKUP($A63,Table4[],4,FALSE)</f>
        <v>Male</v>
      </c>
      <c r="G63" t="str">
        <f>VLOOKUP($A63,Table4[],5,FALSE)</f>
        <v>Jennifermouth</v>
      </c>
      <c r="H63" t="str">
        <f>VLOOKUP($A63,Table4[],6,FALSE)</f>
        <v>Missouri</v>
      </c>
      <c r="I63" t="str">
        <f>VLOOKUP($A63,Table4[],8,FALSE)</f>
        <v>Silver</v>
      </c>
      <c r="J63" t="str">
        <f>VLOOKUP($C63,Table1[],2,FALSE)</f>
        <v>HDMI Cable – 2m</v>
      </c>
      <c r="K63" t="str">
        <f>VLOOKUP($C63,Table1[],3,FALSE)</f>
        <v>Electronics</v>
      </c>
      <c r="L63" t="str">
        <f>VLOOKUP($C63,Table1[],4,FALSE)</f>
        <v>Accessories</v>
      </c>
      <c r="M63" t="str">
        <f>VLOOKUP($C63,Table1[],5,FALSE)</f>
        <v>Bautista, Green and Hale</v>
      </c>
      <c r="N63">
        <f>VLOOKUP($C63,Table1[],6,FALSE)</f>
        <v>88.49</v>
      </c>
      <c r="O63">
        <f>VLOOKUP($C63,Table1[],7,FALSE)</f>
        <v>246</v>
      </c>
      <c r="P63" t="str">
        <f>_xlfn.XLOOKUP($B63,Table3[Store_ID],Table3[Store_Name])</f>
        <v>Bean, Jones and Park</v>
      </c>
      <c r="Q63" t="str" cm="1">
        <f t="array" ref="Q63">_xlfn.XLOOKUP($B63,Store_Dim!$A$2:$A$21,Table3[Region])</f>
        <v>West</v>
      </c>
      <c r="R63" t="str" cm="1">
        <f t="array" ref="R63">_xlfn.XLOOKUP($B63,Store_Dim!$A$2:$A$21,Table3[Store_Type])</f>
        <v>Online</v>
      </c>
      <c r="S63">
        <f>VLOOKUP(Table7[[#This Row],[Customer ID]],Table6[[Customer_ID]:[Total_Amount]],8,FALSE)</f>
        <v>1321.9595999999999</v>
      </c>
    </row>
    <row r="64" spans="1:19" x14ac:dyDescent="0.3">
      <c r="A64" t="s">
        <v>227</v>
      </c>
      <c r="B64" t="str">
        <f>_xlfn.XLOOKUP(Table7[[#This Row],[Customer ID]],Table6[Customer_ID],Table6[Store_ID])</f>
        <v>STORE16</v>
      </c>
      <c r="C64" t="str">
        <f>_xlfn.XLOOKUP(Table7[[#This Row],[Customer ID]],Table6[Customer_ID],Table6[Product_ID])</f>
        <v>PROD84</v>
      </c>
      <c r="D64" t="str">
        <f>VLOOKUP(Table7[[#This Row],[Customer ID]],Table4[#All],2,FALSE)</f>
        <v>James Bean</v>
      </c>
      <c r="E64">
        <f>VLOOKUP($A64,Table4[],3,FALSE)</f>
        <v>50</v>
      </c>
      <c r="F64" t="str">
        <f>VLOOKUP($A64,Table4[],4,FALSE)</f>
        <v>Male</v>
      </c>
      <c r="G64" t="str">
        <f>VLOOKUP($A64,Table4[],5,FALSE)</f>
        <v>Stevensonton</v>
      </c>
      <c r="H64" t="str">
        <f>VLOOKUP($A64,Table4[],6,FALSE)</f>
        <v>New Mexico</v>
      </c>
      <c r="I64" t="str">
        <f>VLOOKUP($A64,Table4[],8,FALSE)</f>
        <v>Bronze</v>
      </c>
      <c r="J64" t="str">
        <f>VLOOKUP($C64,Table1[],2,FALSE)</f>
        <v>Wooden Bookshelf</v>
      </c>
      <c r="K64" t="str">
        <f>VLOOKUP($C64,Table1[],3,FALSE)</f>
        <v>Home</v>
      </c>
      <c r="L64" t="str">
        <f>VLOOKUP($C64,Table1[],4,FALSE)</f>
        <v>Furniture</v>
      </c>
      <c r="M64" t="str">
        <f>VLOOKUP($C64,Table1[],5,FALSE)</f>
        <v>Collins-Stephenson</v>
      </c>
      <c r="N64">
        <f>VLOOKUP($C64,Table1[],6,FALSE)</f>
        <v>388.46</v>
      </c>
      <c r="O64">
        <f>VLOOKUP($C64,Table1[],7,FALSE)</f>
        <v>208</v>
      </c>
      <c r="P64" t="str">
        <f>_xlfn.XLOOKUP($B64,Table3[Store_ID],Table3[Store_Name])</f>
        <v>Frederick-Wright</v>
      </c>
      <c r="Q64" t="str" cm="1">
        <f t="array" ref="Q64">_xlfn.XLOOKUP($B64,Store_Dim!$A$2:$A$21,Table3[Region])</f>
        <v>West</v>
      </c>
      <c r="R64" t="str" cm="1">
        <f t="array" ref="R64">_xlfn.XLOOKUP($B64,Store_Dim!$A$2:$A$21,Table3[Store_Type])</f>
        <v>Flagship</v>
      </c>
      <c r="S64">
        <f>VLOOKUP(Table7[[#This Row],[Customer ID]],Table6[[Customer_ID]:[Total_Amount]],8,FALSE)</f>
        <v>1043.328</v>
      </c>
    </row>
    <row r="65" spans="1:19" x14ac:dyDescent="0.3">
      <c r="A65" t="s">
        <v>235</v>
      </c>
      <c r="B65" t="str">
        <f>_xlfn.XLOOKUP(Table7[[#This Row],[Customer ID]],Table6[Customer_ID],Table6[Store_ID])</f>
        <v>STORE12</v>
      </c>
      <c r="C65" t="str">
        <f>_xlfn.XLOOKUP(Table7[[#This Row],[Customer ID]],Table6[Customer_ID],Table6[Product_ID])</f>
        <v>PROD47</v>
      </c>
      <c r="D65" t="str">
        <f>VLOOKUP(Table7[[#This Row],[Customer ID]],Table4[#All],2,FALSE)</f>
        <v>Mr. Mason Butler</v>
      </c>
      <c r="E65">
        <f>VLOOKUP($A65,Table4[],3,FALSE)</f>
        <v>33</v>
      </c>
      <c r="F65" t="str">
        <f>VLOOKUP($A65,Table4[],4,FALSE)</f>
        <v>Male</v>
      </c>
      <c r="G65" t="str">
        <f>VLOOKUP($A65,Table4[],5,FALSE)</f>
        <v>Port Kathrynhaven</v>
      </c>
      <c r="H65" t="str">
        <f>VLOOKUP($A65,Table4[],6,FALSE)</f>
        <v>Arizona</v>
      </c>
      <c r="I65" t="str">
        <f>VLOOKUP($A65,Table4[],8,FALSE)</f>
        <v>Gold</v>
      </c>
      <c r="J65" t="str">
        <f>VLOOKUP($C65,Table1[],2,FALSE)</f>
        <v>Makeup Brush Set</v>
      </c>
      <c r="K65" t="str">
        <f>VLOOKUP($C65,Table1[],3,FALSE)</f>
        <v>Beauty</v>
      </c>
      <c r="L65" t="str">
        <f>VLOOKUP($C65,Table1[],4,FALSE)</f>
        <v>Makeup</v>
      </c>
      <c r="M65" t="str">
        <f>VLOOKUP($C65,Table1[],5,FALSE)</f>
        <v>Cook Inc</v>
      </c>
      <c r="N65">
        <f>VLOOKUP($C65,Table1[],6,FALSE)</f>
        <v>241.07</v>
      </c>
      <c r="O65">
        <f>VLOOKUP($C65,Table1[],7,FALSE)</f>
        <v>431</v>
      </c>
      <c r="P65" t="str">
        <f>_xlfn.XLOOKUP($B65,Table3[Store_ID],Table3[Store_Name])</f>
        <v>Thomas, Bridges and Harris</v>
      </c>
      <c r="Q65" t="str" cm="1">
        <f t="array" ref="Q65">_xlfn.XLOOKUP($B65,Store_Dim!$A$2:$A$21,Table3[Region])</f>
        <v>North</v>
      </c>
      <c r="R65" t="str" cm="1">
        <f t="array" ref="R65">_xlfn.XLOOKUP($B65,Store_Dim!$A$2:$A$21,Table3[Store_Type])</f>
        <v>Online</v>
      </c>
      <c r="S65">
        <f>VLOOKUP(Table7[[#This Row],[Customer ID]],Table6[[Customer_ID]:[Total_Amount]],8,FALSE)</f>
        <v>898.8216000000001</v>
      </c>
    </row>
    <row r="66" spans="1:19" x14ac:dyDescent="0.3">
      <c r="A66" t="s">
        <v>238</v>
      </c>
      <c r="B66" t="str">
        <f>_xlfn.XLOOKUP(Table7[[#This Row],[Customer ID]],Table6[Customer_ID],Table6[Store_ID])</f>
        <v>STORE14</v>
      </c>
      <c r="C66" t="str">
        <f>_xlfn.XLOOKUP(Table7[[#This Row],[Customer ID]],Table6[Customer_ID],Table6[Product_ID])</f>
        <v>PROD24</v>
      </c>
      <c r="D66" t="str">
        <f>VLOOKUP(Table7[[#This Row],[Customer ID]],Table4[#All],2,FALSE)</f>
        <v>Michael Thomas</v>
      </c>
      <c r="E66">
        <f>VLOOKUP($A66,Table4[],3,FALSE)</f>
        <v>21</v>
      </c>
      <c r="F66" t="str">
        <f>VLOOKUP($A66,Table4[],4,FALSE)</f>
        <v>Female</v>
      </c>
      <c r="G66" t="str">
        <f>VLOOKUP($A66,Table4[],5,FALSE)</f>
        <v>Woodmouth</v>
      </c>
      <c r="H66" t="str">
        <f>VLOOKUP($A66,Table4[],6,FALSE)</f>
        <v>Nevada</v>
      </c>
      <c r="I66" t="str">
        <f>VLOOKUP($A66,Table4[],8,FALSE)</f>
        <v>Silver</v>
      </c>
      <c r="J66" t="str">
        <f>VLOOKUP($C66,Table1[],2,FALSE)</f>
        <v>Foldable Camping Chair</v>
      </c>
      <c r="K66" t="str">
        <f>VLOOKUP($C66,Table1[],3,FALSE)</f>
        <v>Sports</v>
      </c>
      <c r="L66" t="str">
        <f>VLOOKUP($C66,Table1[],4,FALSE)</f>
        <v>Outdoor</v>
      </c>
      <c r="M66" t="str">
        <f>VLOOKUP($C66,Table1[],5,FALSE)</f>
        <v>Cook Ltd</v>
      </c>
      <c r="N66">
        <f>VLOOKUP($C66,Table1[],6,FALSE)</f>
        <v>166.06</v>
      </c>
      <c r="O66">
        <f>VLOOKUP($C66,Table1[],7,FALSE)</f>
        <v>340</v>
      </c>
      <c r="P66" t="str">
        <f>_xlfn.XLOOKUP($B66,Table3[Store_ID],Table3[Store_Name])</f>
        <v>Mcdonald Inc</v>
      </c>
      <c r="Q66" t="str" cm="1">
        <f t="array" ref="Q66">_xlfn.XLOOKUP($B66,Store_Dim!$A$2:$A$21,Table3[Region])</f>
        <v>South</v>
      </c>
      <c r="R66" t="str" cm="1">
        <f t="array" ref="R66">_xlfn.XLOOKUP($B66,Store_Dim!$A$2:$A$21,Table3[Store_Type])</f>
        <v>Outlet</v>
      </c>
      <c r="S66">
        <f>VLOOKUP(Table7[[#This Row],[Customer ID]],Table6[[Customer_ID]:[Total_Amount]],8,FALSE)</f>
        <v>259.1259</v>
      </c>
    </row>
    <row r="67" spans="1:19" x14ac:dyDescent="0.3">
      <c r="A67" t="s">
        <v>241</v>
      </c>
      <c r="B67" t="str">
        <f>_xlfn.XLOOKUP(Table7[[#This Row],[Customer ID]],Table6[Customer_ID],Table6[Store_ID])</f>
        <v>STORE5</v>
      </c>
      <c r="C67" t="str">
        <f>_xlfn.XLOOKUP(Table7[[#This Row],[Customer ID]],Table6[Customer_ID],Table6[Product_ID])</f>
        <v>PROD94</v>
      </c>
      <c r="D67" t="str">
        <f>VLOOKUP(Table7[[#This Row],[Customer ID]],Table4[#All],2,FALSE)</f>
        <v>Cody Diaz</v>
      </c>
      <c r="E67">
        <f>VLOOKUP($A67,Table4[],3,FALSE)</f>
        <v>27</v>
      </c>
      <c r="F67" t="str">
        <f>VLOOKUP($A67,Table4[],4,FALSE)</f>
        <v>Female</v>
      </c>
      <c r="G67" t="str">
        <f>VLOOKUP($A67,Table4[],5,FALSE)</f>
        <v>South Aaronside</v>
      </c>
      <c r="H67" t="str">
        <f>VLOOKUP($A67,Table4[],6,FALSE)</f>
        <v>New Hampshire</v>
      </c>
      <c r="I67" t="str">
        <f>VLOOKUP($A67,Table4[],8,FALSE)</f>
        <v>Silver</v>
      </c>
      <c r="J67" t="str">
        <f>VLOOKUP($C67,Table1[],2,FALSE)</f>
        <v>Vitamin E Body Lotion</v>
      </c>
      <c r="K67" t="str">
        <f>VLOOKUP($C67,Table1[],3,FALSE)</f>
        <v>Beauty</v>
      </c>
      <c r="L67" t="str">
        <f>VLOOKUP($C67,Table1[],4,FALSE)</f>
        <v>Skincare</v>
      </c>
      <c r="M67" t="str">
        <f>VLOOKUP($C67,Table1[],5,FALSE)</f>
        <v>Hoffman-Williams</v>
      </c>
      <c r="N67">
        <f>VLOOKUP($C67,Table1[],6,FALSE)</f>
        <v>358.47</v>
      </c>
      <c r="O67">
        <f>VLOOKUP($C67,Table1[],7,FALSE)</f>
        <v>213</v>
      </c>
      <c r="P67" t="str">
        <f>_xlfn.XLOOKUP($B67,Table3[Store_ID],Table3[Store_Name])</f>
        <v>Gray Ltd</v>
      </c>
      <c r="Q67" t="str" cm="1">
        <f t="array" ref="Q67">_xlfn.XLOOKUP($B67,Store_Dim!$A$2:$A$21,Table3[Region])</f>
        <v>North</v>
      </c>
      <c r="R67" t="str" cm="1">
        <f t="array" ref="R67">_xlfn.XLOOKUP($B67,Store_Dim!$A$2:$A$21,Table3[Store_Type])</f>
        <v>Outlet</v>
      </c>
      <c r="S67">
        <f>VLOOKUP(Table7[[#This Row],[Customer ID]],Table6[[Customer_ID]:[Total_Amount]],8,FALSE)</f>
        <v>2555.64</v>
      </c>
    </row>
    <row r="68" spans="1:19" x14ac:dyDescent="0.3">
      <c r="A68" t="s">
        <v>244</v>
      </c>
      <c r="B68" t="str">
        <f>_xlfn.XLOOKUP(Table7[[#This Row],[Customer ID]],Table6[Customer_ID],Table6[Store_ID])</f>
        <v>STORE4</v>
      </c>
      <c r="C68" t="str">
        <f>_xlfn.XLOOKUP(Table7[[#This Row],[Customer ID]],Table6[Customer_ID],Table6[Product_ID])</f>
        <v>PROD46</v>
      </c>
      <c r="D68" t="str">
        <f>VLOOKUP(Table7[[#This Row],[Customer ID]],Table4[#All],2,FALSE)</f>
        <v>Amber Mcclain</v>
      </c>
      <c r="E68">
        <f>VLOOKUP($A68,Table4[],3,FALSE)</f>
        <v>58</v>
      </c>
      <c r="F68" t="str">
        <f>VLOOKUP($A68,Table4[],4,FALSE)</f>
        <v>Male</v>
      </c>
      <c r="G68" t="str">
        <f>VLOOKUP($A68,Table4[],5,FALSE)</f>
        <v>Brendaburgh</v>
      </c>
      <c r="H68" t="str">
        <f>VLOOKUP($A68,Table4[],6,FALSE)</f>
        <v>Florida</v>
      </c>
      <c r="I68" t="str">
        <f>VLOOKUP($A68,Table4[],8,FALSE)</f>
        <v>Silver</v>
      </c>
      <c r="J68" t="str">
        <f>VLOOKUP($C68,Table1[],2,FALSE)</f>
        <v>Men's Winter Jacket</v>
      </c>
      <c r="K68" t="str">
        <f>VLOOKUP($C68,Table1[],3,FALSE)</f>
        <v>Clothing</v>
      </c>
      <c r="L68" t="str">
        <f>VLOOKUP($C68,Table1[],4,FALSE)</f>
        <v>Outerwear</v>
      </c>
      <c r="M68" t="str">
        <f>VLOOKUP($C68,Table1[],5,FALSE)</f>
        <v>Kelly, Smith and Perez</v>
      </c>
      <c r="N68">
        <f>VLOOKUP($C68,Table1[],6,FALSE)</f>
        <v>167.34</v>
      </c>
      <c r="O68">
        <f>VLOOKUP($C68,Table1[],7,FALSE)</f>
        <v>296</v>
      </c>
      <c r="P68" t="str">
        <f>_xlfn.XLOOKUP($B68,Table3[Store_ID],Table3[Store_Name])</f>
        <v>Alexander Group</v>
      </c>
      <c r="Q68" t="str" cm="1">
        <f t="array" ref="Q68">_xlfn.XLOOKUP($B68,Store_Dim!$A$2:$A$21,Table3[Region])</f>
        <v>South</v>
      </c>
      <c r="R68" t="str" cm="1">
        <f t="array" ref="R68">_xlfn.XLOOKUP($B68,Store_Dim!$A$2:$A$21,Table3[Store_Type])</f>
        <v>Online</v>
      </c>
      <c r="S68">
        <f>VLOOKUP(Table7[[#This Row],[Customer ID]],Table6[[Customer_ID]:[Total_Amount]],8,FALSE)</f>
        <v>1007.223</v>
      </c>
    </row>
    <row r="69" spans="1:19" x14ac:dyDescent="0.3">
      <c r="A69" t="s">
        <v>248</v>
      </c>
      <c r="B69" t="str">
        <f>_xlfn.XLOOKUP(Table7[[#This Row],[Customer ID]],Table6[Customer_ID],Table6[Store_ID])</f>
        <v>STORE5</v>
      </c>
      <c r="C69" t="str">
        <f>_xlfn.XLOOKUP(Table7[[#This Row],[Customer ID]],Table6[Customer_ID],Table6[Product_ID])</f>
        <v>PROD52</v>
      </c>
      <c r="D69" t="str">
        <f>VLOOKUP(Table7[[#This Row],[Customer ID]],Table4[#All],2,FALSE)</f>
        <v>Mr. Mark Beasley</v>
      </c>
      <c r="E69">
        <f>VLOOKUP($A69,Table4[],3,FALSE)</f>
        <v>24</v>
      </c>
      <c r="F69" t="str">
        <f>VLOOKUP($A69,Table4[],4,FALSE)</f>
        <v>Female</v>
      </c>
      <c r="G69" t="str">
        <f>VLOOKUP($A69,Table4[],5,FALSE)</f>
        <v>West Johnchester</v>
      </c>
      <c r="H69" t="str">
        <f>VLOOKUP($A69,Table4[],6,FALSE)</f>
        <v>Indiana</v>
      </c>
      <c r="I69" t="str">
        <f>VLOOKUP($A69,Table4[],8,FALSE)</f>
        <v>Silver</v>
      </c>
      <c r="J69" t="str">
        <f>VLOOKUP($C69,Table1[],2,FALSE)</f>
        <v>Rugby Ball</v>
      </c>
      <c r="K69" t="str">
        <f>VLOOKUP($C69,Table1[],3,FALSE)</f>
        <v>Sports</v>
      </c>
      <c r="L69" t="str">
        <f>VLOOKUP($C69,Table1[],4,FALSE)</f>
        <v>Team Sports</v>
      </c>
      <c r="M69" t="str">
        <f>VLOOKUP($C69,Table1[],5,FALSE)</f>
        <v>Harris Inc</v>
      </c>
      <c r="N69">
        <f>VLOOKUP($C69,Table1[],6,FALSE)</f>
        <v>212.26</v>
      </c>
      <c r="O69">
        <f>VLOOKUP($C69,Table1[],7,FALSE)</f>
        <v>82</v>
      </c>
      <c r="P69" t="str">
        <f>_xlfn.XLOOKUP($B69,Table3[Store_ID],Table3[Store_Name])</f>
        <v>Gray Ltd</v>
      </c>
      <c r="Q69" t="str" cm="1">
        <f t="array" ref="Q69">_xlfn.XLOOKUP($B69,Store_Dim!$A$2:$A$21,Table3[Region])</f>
        <v>North</v>
      </c>
      <c r="R69" t="str" cm="1">
        <f t="array" ref="R69">_xlfn.XLOOKUP($B69,Store_Dim!$A$2:$A$21,Table3[Store_Type])</f>
        <v>Outlet</v>
      </c>
      <c r="S69">
        <f>VLOOKUP(Table7[[#This Row],[Customer ID]],Table6[[Customer_ID]:[Total_Amount]],8,FALSE)</f>
        <v>1194.9503999999999</v>
      </c>
    </row>
    <row r="70" spans="1:19" x14ac:dyDescent="0.3">
      <c r="A70" t="s">
        <v>252</v>
      </c>
      <c r="B70" t="str">
        <f>_xlfn.XLOOKUP(Table7[[#This Row],[Customer ID]],Table6[Customer_ID],Table6[Store_ID])</f>
        <v>STORE9</v>
      </c>
      <c r="C70" t="str">
        <f>_xlfn.XLOOKUP(Table7[[#This Row],[Customer ID]],Table6[Customer_ID],Table6[Product_ID])</f>
        <v>PROD73</v>
      </c>
      <c r="D70" t="str">
        <f>VLOOKUP(Table7[[#This Row],[Customer ID]],Table4[#All],2,FALSE)</f>
        <v>Roy Cole</v>
      </c>
      <c r="E70">
        <f>VLOOKUP($A70,Table4[],3,FALSE)</f>
        <v>24</v>
      </c>
      <c r="F70" t="str">
        <f>VLOOKUP($A70,Table4[],4,FALSE)</f>
        <v>Female</v>
      </c>
      <c r="G70" t="str">
        <f>VLOOKUP($A70,Table4[],5,FALSE)</f>
        <v>North Cynthiatown</v>
      </c>
      <c r="H70" t="str">
        <f>VLOOKUP($A70,Table4[],6,FALSE)</f>
        <v>New Jersey</v>
      </c>
      <c r="I70" t="str">
        <f>VLOOKUP($A70,Table4[],8,FALSE)</f>
        <v>Platinum</v>
      </c>
      <c r="J70" t="str">
        <f>VLOOKUP($C70,Table1[],2,FALSE)</f>
        <v>Shin Guards – Adult</v>
      </c>
      <c r="K70" t="str">
        <f>VLOOKUP($C70,Table1[],3,FALSE)</f>
        <v>Sports</v>
      </c>
      <c r="L70" t="str">
        <f>VLOOKUP($C70,Table1[],4,FALSE)</f>
        <v>Team Sports</v>
      </c>
      <c r="M70" t="str">
        <f>VLOOKUP($C70,Table1[],5,FALSE)</f>
        <v>French Ltd</v>
      </c>
      <c r="N70">
        <f>VLOOKUP($C70,Table1[],6,FALSE)</f>
        <v>107.06</v>
      </c>
      <c r="O70">
        <f>VLOOKUP($C70,Table1[],7,FALSE)</f>
        <v>359</v>
      </c>
      <c r="P70" t="str">
        <f>_xlfn.XLOOKUP($B70,Table3[Store_ID],Table3[Store_Name])</f>
        <v>Moore, Padilla and Butler</v>
      </c>
      <c r="Q70" t="str" cm="1">
        <f t="array" ref="Q70">_xlfn.XLOOKUP($B70,Store_Dim!$A$2:$A$21,Table3[Region])</f>
        <v>South</v>
      </c>
      <c r="R70" t="str" cm="1">
        <f t="array" ref="R70">_xlfn.XLOOKUP($B70,Store_Dim!$A$2:$A$21,Table3[Store_Type])</f>
        <v>Flagship</v>
      </c>
      <c r="S70">
        <f>VLOOKUP(Table7[[#This Row],[Customer ID]],Table6[[Customer_ID]:[Total_Amount]],8,FALSE)</f>
        <v>2532.348</v>
      </c>
    </row>
    <row r="71" spans="1:19" x14ac:dyDescent="0.3">
      <c r="A71" t="s">
        <v>255</v>
      </c>
      <c r="B71" t="str">
        <f>_xlfn.XLOOKUP(Table7[[#This Row],[Customer ID]],Table6[Customer_ID],Table6[Store_ID])</f>
        <v>STORE16</v>
      </c>
      <c r="C71" t="str">
        <f>_xlfn.XLOOKUP(Table7[[#This Row],[Customer ID]],Table6[Customer_ID],Table6[Product_ID])</f>
        <v>PROD78</v>
      </c>
      <c r="D71" t="str">
        <f>VLOOKUP(Table7[[#This Row],[Customer ID]],Table4[#All],2,FALSE)</f>
        <v>Eric Singh</v>
      </c>
      <c r="E71">
        <f>VLOOKUP($A71,Table4[],3,FALSE)</f>
        <v>29</v>
      </c>
      <c r="F71" t="str">
        <f>VLOOKUP($A71,Table4[],4,FALSE)</f>
        <v>Female</v>
      </c>
      <c r="G71" t="str">
        <f>VLOOKUP($A71,Table4[],5,FALSE)</f>
        <v>Port Lisa</v>
      </c>
      <c r="H71" t="str">
        <f>VLOOKUP($A71,Table4[],6,FALSE)</f>
        <v>New Mexico</v>
      </c>
      <c r="I71" t="str">
        <f>VLOOKUP($A71,Table4[],8,FALSE)</f>
        <v>Gold</v>
      </c>
      <c r="J71" t="str">
        <f>VLOOKUP($C71,Table1[],2,FALSE)</f>
        <v>Essential Oil Diffuser</v>
      </c>
      <c r="K71" t="str">
        <f>VLOOKUP($C71,Table1[],3,FALSE)</f>
        <v>Home</v>
      </c>
      <c r="L71" t="str">
        <f>VLOOKUP($C71,Table1[],4,FALSE)</f>
        <v>Decor</v>
      </c>
      <c r="M71" t="str">
        <f>VLOOKUP($C71,Table1[],5,FALSE)</f>
        <v>Hernandez Inc</v>
      </c>
      <c r="N71">
        <f>VLOOKUP($C71,Table1[],6,FALSE)</f>
        <v>325.26</v>
      </c>
      <c r="O71">
        <f>VLOOKUP($C71,Table1[],7,FALSE)</f>
        <v>400</v>
      </c>
      <c r="P71" t="str">
        <f>_xlfn.XLOOKUP($B71,Table3[Store_ID],Table3[Store_Name])</f>
        <v>Frederick-Wright</v>
      </c>
      <c r="Q71" t="str" cm="1">
        <f t="array" ref="Q71">_xlfn.XLOOKUP($B71,Store_Dim!$A$2:$A$21,Table3[Region])</f>
        <v>West</v>
      </c>
      <c r="R71" t="str" cm="1">
        <f t="array" ref="R71">_xlfn.XLOOKUP($B71,Store_Dim!$A$2:$A$21,Table3[Store_Type])</f>
        <v>Flagship</v>
      </c>
      <c r="S71">
        <f>VLOOKUP(Table7[[#This Row],[Customer ID]],Table6[[Customer_ID]:[Total_Amount]],8,FALSE)</f>
        <v>393.5686</v>
      </c>
    </row>
    <row r="72" spans="1:19" x14ac:dyDescent="0.3">
      <c r="A72" t="s">
        <v>258</v>
      </c>
      <c r="B72" t="str">
        <f>_xlfn.XLOOKUP(Table7[[#This Row],[Customer ID]],Table6[Customer_ID],Table6[Store_ID])</f>
        <v>STORE14</v>
      </c>
      <c r="C72" t="str">
        <f>_xlfn.XLOOKUP(Table7[[#This Row],[Customer ID]],Table6[Customer_ID],Table6[Product_ID])</f>
        <v>PROD83</v>
      </c>
      <c r="D72" t="str">
        <f>VLOOKUP(Table7[[#This Row],[Customer ID]],Table4[#All],2,FALSE)</f>
        <v>Andrea Perez</v>
      </c>
      <c r="E72">
        <f>VLOOKUP($A72,Table4[],3,FALSE)</f>
        <v>61</v>
      </c>
      <c r="F72" t="str">
        <f>VLOOKUP($A72,Table4[],4,FALSE)</f>
        <v>Female</v>
      </c>
      <c r="G72" t="str">
        <f>VLOOKUP($A72,Table4[],5,FALSE)</f>
        <v>South Shaun</v>
      </c>
      <c r="H72" t="str">
        <f>VLOOKUP($A72,Table4[],6,FALSE)</f>
        <v>New Mexico</v>
      </c>
      <c r="I72" t="str">
        <f>VLOOKUP($A72,Table4[],8,FALSE)</f>
        <v>Gold</v>
      </c>
      <c r="J72" t="str">
        <f>VLOOKUP($C72,Table1[],2,FALSE)</f>
        <v>Hydrating Face Cleanser</v>
      </c>
      <c r="K72" t="str">
        <f>VLOOKUP($C72,Table1[],3,FALSE)</f>
        <v>Beauty</v>
      </c>
      <c r="L72" t="str">
        <f>VLOOKUP($C72,Table1[],4,FALSE)</f>
        <v>Skincare</v>
      </c>
      <c r="M72" t="str">
        <f>VLOOKUP($C72,Table1[],5,FALSE)</f>
        <v>Butler Group</v>
      </c>
      <c r="N72">
        <f>VLOOKUP($C72,Table1[],6,FALSE)</f>
        <v>305.49</v>
      </c>
      <c r="O72">
        <f>VLOOKUP($C72,Table1[],7,FALSE)</f>
        <v>159</v>
      </c>
      <c r="P72" t="str">
        <f>_xlfn.XLOOKUP($B72,Table3[Store_ID],Table3[Store_Name])</f>
        <v>Mcdonald Inc</v>
      </c>
      <c r="Q72" t="str" cm="1">
        <f t="array" ref="Q72">_xlfn.XLOOKUP($B72,Store_Dim!$A$2:$A$21,Table3[Region])</f>
        <v>South</v>
      </c>
      <c r="R72" t="str" cm="1">
        <f t="array" ref="R72">_xlfn.XLOOKUP($B72,Store_Dim!$A$2:$A$21,Table3[Store_Type])</f>
        <v>Outlet</v>
      </c>
      <c r="S72">
        <f>VLOOKUP(Table7[[#This Row],[Customer ID]],Table6[[Customer_ID]:[Total_Amount]],8,FALSE)</f>
        <v>1050.2965999999999</v>
      </c>
    </row>
    <row r="73" spans="1:19" x14ac:dyDescent="0.3">
      <c r="A73" t="s">
        <v>261</v>
      </c>
      <c r="B73" t="str">
        <f>_xlfn.XLOOKUP(Table7[[#This Row],[Customer ID]],Table6[Customer_ID],Table6[Store_ID])</f>
        <v>STORE19</v>
      </c>
      <c r="C73" t="str">
        <f>_xlfn.XLOOKUP(Table7[[#This Row],[Customer ID]],Table6[Customer_ID],Table6[Product_ID])</f>
        <v>PROD26</v>
      </c>
      <c r="D73" t="str">
        <f>VLOOKUP(Table7[[#This Row],[Customer ID]],Table4[#All],2,FALSE)</f>
        <v>Tonya Burch</v>
      </c>
      <c r="E73">
        <f>VLOOKUP($A73,Table4[],3,FALSE)</f>
        <v>39</v>
      </c>
      <c r="F73" t="str">
        <f>VLOOKUP($A73,Table4[],4,FALSE)</f>
        <v>Female</v>
      </c>
      <c r="G73" t="str">
        <f>VLOOKUP($A73,Table4[],5,FALSE)</f>
        <v>Olsonhaven</v>
      </c>
      <c r="H73" t="str">
        <f>VLOOKUP($A73,Table4[],6,FALSE)</f>
        <v>Iowa</v>
      </c>
      <c r="I73" t="str">
        <f>VLOOKUP($A73,Table4[],8,FALSE)</f>
        <v>Gold</v>
      </c>
      <c r="J73" t="str">
        <f>VLOOKUP($C73,Table1[],2,FALSE)</f>
        <v>Wireless Bluetooth Speaker</v>
      </c>
      <c r="K73" t="str">
        <f>VLOOKUP($C73,Table1[],3,FALSE)</f>
        <v>Electronics</v>
      </c>
      <c r="L73" t="str">
        <f>VLOOKUP($C73,Table1[],4,FALSE)</f>
        <v>Audio</v>
      </c>
      <c r="M73" t="str">
        <f>VLOOKUP($C73,Table1[],5,FALSE)</f>
        <v>Reed-Schmidt</v>
      </c>
      <c r="N73">
        <f>VLOOKUP($C73,Table1[],6,FALSE)</f>
        <v>322.41000000000003</v>
      </c>
      <c r="O73">
        <f>VLOOKUP($C73,Table1[],7,FALSE)</f>
        <v>213</v>
      </c>
      <c r="P73" t="str">
        <f>_xlfn.XLOOKUP($B73,Table3[Store_ID],Table3[Store_Name])</f>
        <v>Mann-Austin</v>
      </c>
      <c r="Q73" t="str" cm="1">
        <f t="array" ref="Q73">_xlfn.XLOOKUP($B73,Store_Dim!$A$2:$A$21,Table3[Region])</f>
        <v>East</v>
      </c>
      <c r="R73" t="str" cm="1">
        <f t="array" ref="R73">_xlfn.XLOOKUP($B73,Store_Dim!$A$2:$A$21,Table3[Store_Type])</f>
        <v>Online</v>
      </c>
      <c r="S73">
        <f>VLOOKUP(Table7[[#This Row],[Customer ID]],Table6[[Customer_ID]:[Total_Amount]],8,FALSE)</f>
        <v>1625.3796</v>
      </c>
    </row>
    <row r="74" spans="1:19" x14ac:dyDescent="0.3">
      <c r="A74" t="s">
        <v>265</v>
      </c>
      <c r="B74" t="str">
        <f>_xlfn.XLOOKUP(Table7[[#This Row],[Customer ID]],Table6[Customer_ID],Table6[Store_ID])</f>
        <v>STORE17</v>
      </c>
      <c r="C74" t="str">
        <f>_xlfn.XLOOKUP(Table7[[#This Row],[Customer ID]],Table6[Customer_ID],Table6[Product_ID])</f>
        <v>PROD10</v>
      </c>
      <c r="D74" t="str">
        <f>VLOOKUP(Table7[[#This Row],[Customer ID]],Table4[#All],2,FALSE)</f>
        <v>Christopher Brown</v>
      </c>
      <c r="E74">
        <f>VLOOKUP($A74,Table4[],3,FALSE)</f>
        <v>56</v>
      </c>
      <c r="F74" t="str">
        <f>VLOOKUP($A74,Table4[],4,FALSE)</f>
        <v>Female</v>
      </c>
      <c r="G74" t="str">
        <f>VLOOKUP($A74,Table4[],5,FALSE)</f>
        <v>Sandrastad</v>
      </c>
      <c r="H74" t="str">
        <f>VLOOKUP($A74,Table4[],6,FALSE)</f>
        <v>West Virginia</v>
      </c>
      <c r="I74" t="str">
        <f>VLOOKUP($A74,Table4[],8,FALSE)</f>
        <v>Silver</v>
      </c>
      <c r="J74" t="str">
        <f>VLOOKUP($C74,Table1[],2,FALSE)</f>
        <v>Ceramic Kitchen Bowl Set</v>
      </c>
      <c r="K74" t="str">
        <f>VLOOKUP($C74,Table1[],3,FALSE)</f>
        <v>Home</v>
      </c>
      <c r="L74" t="str">
        <f>VLOOKUP($C74,Table1[],4,FALSE)</f>
        <v>Kitchen</v>
      </c>
      <c r="M74" t="str">
        <f>VLOOKUP($C74,Table1[],5,FALSE)</f>
        <v>Hamilton Group</v>
      </c>
      <c r="N74">
        <f>VLOOKUP($C74,Table1[],6,FALSE)</f>
        <v>298.86</v>
      </c>
      <c r="O74">
        <f>VLOOKUP($C74,Table1[],7,FALSE)</f>
        <v>308</v>
      </c>
      <c r="P74" t="str">
        <f>_xlfn.XLOOKUP($B74,Table3[Store_ID],Table3[Store_Name])</f>
        <v>Holloway Ltd</v>
      </c>
      <c r="Q74" t="str" cm="1">
        <f t="array" ref="Q74">_xlfn.XLOOKUP($B74,Store_Dim!$A$2:$A$21,Table3[Region])</f>
        <v>North</v>
      </c>
      <c r="R74" t="str" cm="1">
        <f t="array" ref="R74">_xlfn.XLOOKUP($B74,Store_Dim!$A$2:$A$21,Table3[Store_Type])</f>
        <v>Flagship</v>
      </c>
      <c r="S74">
        <f>VLOOKUP(Table7[[#This Row],[Customer ID]],Table6[[Customer_ID]:[Total_Amount]],8,FALSE)</f>
        <v>1741.557</v>
      </c>
    </row>
    <row r="75" spans="1:19" x14ac:dyDescent="0.3">
      <c r="A75" t="s">
        <v>268</v>
      </c>
      <c r="B75" t="str">
        <f>_xlfn.XLOOKUP(Table7[[#This Row],[Customer ID]],Table6[Customer_ID],Table6[Store_ID])</f>
        <v>STORE4</v>
      </c>
      <c r="C75" t="str">
        <f>_xlfn.XLOOKUP(Table7[[#This Row],[Customer ID]],Table6[Customer_ID],Table6[Product_ID])</f>
        <v>PROD83</v>
      </c>
      <c r="D75" t="str">
        <f>VLOOKUP(Table7[[#This Row],[Customer ID]],Table4[#All],2,FALSE)</f>
        <v>John Mayer</v>
      </c>
      <c r="E75">
        <f>VLOOKUP($A75,Table4[],3,FALSE)</f>
        <v>58</v>
      </c>
      <c r="F75" t="str">
        <f>VLOOKUP($A75,Table4[],4,FALSE)</f>
        <v>Male</v>
      </c>
      <c r="G75" t="str">
        <f>VLOOKUP($A75,Table4[],5,FALSE)</f>
        <v>Longport</v>
      </c>
      <c r="H75" t="str">
        <f>VLOOKUP($A75,Table4[],6,FALSE)</f>
        <v>Colorado</v>
      </c>
      <c r="I75" t="str">
        <f>VLOOKUP($A75,Table4[],8,FALSE)</f>
        <v>Bronze</v>
      </c>
      <c r="J75" t="str">
        <f>VLOOKUP($C75,Table1[],2,FALSE)</f>
        <v>Hydrating Face Cleanser</v>
      </c>
      <c r="K75" t="str">
        <f>VLOOKUP($C75,Table1[],3,FALSE)</f>
        <v>Beauty</v>
      </c>
      <c r="L75" t="str">
        <f>VLOOKUP($C75,Table1[],4,FALSE)</f>
        <v>Skincare</v>
      </c>
      <c r="M75" t="str">
        <f>VLOOKUP($C75,Table1[],5,FALSE)</f>
        <v>Butler Group</v>
      </c>
      <c r="N75">
        <f>VLOOKUP($C75,Table1[],6,FALSE)</f>
        <v>305.49</v>
      </c>
      <c r="O75">
        <f>VLOOKUP($C75,Table1[],7,FALSE)</f>
        <v>159</v>
      </c>
      <c r="P75" t="str">
        <f>_xlfn.XLOOKUP($B75,Table3[Store_ID],Table3[Store_Name])</f>
        <v>Alexander Group</v>
      </c>
      <c r="Q75" t="str" cm="1">
        <f t="array" ref="Q75">_xlfn.XLOOKUP($B75,Store_Dim!$A$2:$A$21,Table3[Region])</f>
        <v>South</v>
      </c>
      <c r="R75" t="str" cm="1">
        <f t="array" ref="R75">_xlfn.XLOOKUP($B75,Store_Dim!$A$2:$A$21,Table3[Store_Type])</f>
        <v>Online</v>
      </c>
      <c r="S75">
        <f>VLOOKUP(Table7[[#This Row],[Customer ID]],Table6[[Customer_ID]:[Total_Amount]],8,FALSE)</f>
        <v>1348.2149999999999</v>
      </c>
    </row>
    <row r="76" spans="1:19" x14ac:dyDescent="0.3">
      <c r="A76" t="s">
        <v>272</v>
      </c>
      <c r="B76" t="str">
        <f>_xlfn.XLOOKUP(Table7[[#This Row],[Customer ID]],Table6[Customer_ID],Table6[Store_ID])</f>
        <v>STORE18</v>
      </c>
      <c r="C76" t="str">
        <f>_xlfn.XLOOKUP(Table7[[#This Row],[Customer ID]],Table6[Customer_ID],Table6[Product_ID])</f>
        <v>PROD16</v>
      </c>
      <c r="D76" t="str">
        <f>VLOOKUP(Table7[[#This Row],[Customer ID]],Table4[#All],2,FALSE)</f>
        <v>Rhonda Morales</v>
      </c>
      <c r="E76">
        <f>VLOOKUP($A76,Table4[],3,FALSE)</f>
        <v>61</v>
      </c>
      <c r="F76" t="str">
        <f>VLOOKUP($A76,Table4[],4,FALSE)</f>
        <v>Female</v>
      </c>
      <c r="G76" t="str">
        <f>VLOOKUP($A76,Table4[],5,FALSE)</f>
        <v>Lake Barryfurt</v>
      </c>
      <c r="H76" t="str">
        <f>VLOOKUP($A76,Table4[],6,FALSE)</f>
        <v>California</v>
      </c>
      <c r="I76" t="str">
        <f>VLOOKUP($A76,Table4[],8,FALSE)</f>
        <v>Gold</v>
      </c>
      <c r="J76" t="str">
        <f>VLOOKUP($C76,Table1[],2,FALSE)</f>
        <v>Beard Grooming Kit</v>
      </c>
      <c r="K76" t="str">
        <f>VLOOKUP($C76,Table1[],3,FALSE)</f>
        <v>Beauty</v>
      </c>
      <c r="L76" t="str">
        <f>VLOOKUP($C76,Table1[],4,FALSE)</f>
        <v>Grooming</v>
      </c>
      <c r="M76" t="str">
        <f>VLOOKUP($C76,Table1[],5,FALSE)</f>
        <v>Erickson-Green</v>
      </c>
      <c r="N76">
        <f>VLOOKUP($C76,Table1[],6,FALSE)</f>
        <v>337.42</v>
      </c>
      <c r="O76">
        <f>VLOOKUP($C76,Table1[],7,FALSE)</f>
        <v>256</v>
      </c>
      <c r="P76" t="str">
        <f>_xlfn.XLOOKUP($B76,Table3[Store_ID],Table3[Store_Name])</f>
        <v>Guerrero-Schmitt</v>
      </c>
      <c r="Q76" t="str" cm="1">
        <f t="array" ref="Q76">_xlfn.XLOOKUP($B76,Store_Dim!$A$2:$A$21,Table3[Region])</f>
        <v>East</v>
      </c>
      <c r="R76" t="str" cm="1">
        <f t="array" ref="R76">_xlfn.XLOOKUP($B76,Store_Dim!$A$2:$A$21,Table3[Store_Type])</f>
        <v>Flagship</v>
      </c>
      <c r="S76">
        <f>VLOOKUP(Table7[[#This Row],[Customer ID]],Table6[[Customer_ID]:[Total_Amount]],8,FALSE)</f>
        <v>1199.3579999999999</v>
      </c>
    </row>
    <row r="77" spans="1:19" x14ac:dyDescent="0.3">
      <c r="A77" t="s">
        <v>275</v>
      </c>
      <c r="B77" t="str">
        <f>_xlfn.XLOOKUP(Table7[[#This Row],[Customer ID]],Table6[Customer_ID],Table6[Store_ID])</f>
        <v>STORE1</v>
      </c>
      <c r="C77" t="str">
        <f>_xlfn.XLOOKUP(Table7[[#This Row],[Customer ID]],Table6[Customer_ID],Table6[Product_ID])</f>
        <v>PROD32</v>
      </c>
      <c r="D77" t="str">
        <f>VLOOKUP(Table7[[#This Row],[Customer ID]],Table4[#All],2,FALSE)</f>
        <v>Nathan Campbell</v>
      </c>
      <c r="E77">
        <f>VLOOKUP($A77,Table4[],3,FALSE)</f>
        <v>37</v>
      </c>
      <c r="F77" t="str">
        <f>VLOOKUP($A77,Table4[],4,FALSE)</f>
        <v>Male</v>
      </c>
      <c r="G77" t="str">
        <f>VLOOKUP($A77,Table4[],5,FALSE)</f>
        <v>Rodrigueztown</v>
      </c>
      <c r="H77" t="str">
        <f>VLOOKUP($A77,Table4[],6,FALSE)</f>
        <v>Oklahoma</v>
      </c>
      <c r="I77" t="str">
        <f>VLOOKUP($A77,Table4[],8,FALSE)</f>
        <v>Gold</v>
      </c>
      <c r="J77" t="str">
        <f>VLOOKUP($C77,Table1[],2,FALSE)</f>
        <v>Vitamin C Face Serum</v>
      </c>
      <c r="K77" t="str">
        <f>VLOOKUP($C77,Table1[],3,FALSE)</f>
        <v>Beauty</v>
      </c>
      <c r="L77" t="str">
        <f>VLOOKUP($C77,Table1[],4,FALSE)</f>
        <v>Skincare</v>
      </c>
      <c r="M77" t="str">
        <f>VLOOKUP($C77,Table1[],5,FALSE)</f>
        <v>Griffin Ltd</v>
      </c>
      <c r="N77">
        <f>VLOOKUP($C77,Table1[],6,FALSE)</f>
        <v>283.83</v>
      </c>
      <c r="O77">
        <f>VLOOKUP($C77,Table1[],7,FALSE)</f>
        <v>244</v>
      </c>
      <c r="P77" t="str">
        <f>_xlfn.XLOOKUP($B77,Table3[Store_ID],Table3[Store_Name])</f>
        <v>Martinez, Adkins and Johnson</v>
      </c>
      <c r="Q77" t="str" cm="1">
        <f t="array" ref="Q77">_xlfn.XLOOKUP($B77,Store_Dim!$A$2:$A$21,Table3[Region])</f>
        <v>North</v>
      </c>
      <c r="R77" t="str" cm="1">
        <f t="array" ref="R77">_xlfn.XLOOKUP($B77,Store_Dim!$A$2:$A$21,Table3[Store_Type])</f>
        <v>Flagship</v>
      </c>
      <c r="S77">
        <f>VLOOKUP(Table7[[#This Row],[Customer ID]],Table6[[Customer_ID]:[Total_Amount]],8,FALSE)</f>
        <v>473.66070000000002</v>
      </c>
    </row>
    <row r="78" spans="1:19" x14ac:dyDescent="0.3">
      <c r="A78" t="s">
        <v>278</v>
      </c>
      <c r="B78" t="str">
        <f>_xlfn.XLOOKUP(Table7[[#This Row],[Customer ID]],Table6[Customer_ID],Table6[Store_ID])</f>
        <v>STORE19</v>
      </c>
      <c r="C78" t="str">
        <f>_xlfn.XLOOKUP(Table7[[#This Row],[Customer ID]],Table6[Customer_ID],Table6[Product_ID])</f>
        <v>PROD21</v>
      </c>
      <c r="D78" t="str">
        <f>VLOOKUP(Table7[[#This Row],[Customer ID]],Table4[#All],2,FALSE)</f>
        <v>Katherine Young</v>
      </c>
      <c r="E78">
        <f>VLOOKUP($A78,Table4[],3,FALSE)</f>
        <v>29</v>
      </c>
      <c r="F78" t="str">
        <f>VLOOKUP($A78,Table4[],4,FALSE)</f>
        <v>Male</v>
      </c>
      <c r="G78" t="str">
        <f>VLOOKUP($A78,Table4[],5,FALSE)</f>
        <v>North Valeriemouth</v>
      </c>
      <c r="H78" t="str">
        <f>VLOOKUP($A78,Table4[],6,FALSE)</f>
        <v>Vermont</v>
      </c>
      <c r="I78" t="str">
        <f>VLOOKUP($A78,Table4[],8,FALSE)</f>
        <v>Gold</v>
      </c>
      <c r="J78" t="str">
        <f>VLOOKUP($C78,Table1[],2,FALSE)</f>
        <v>Multi-Purpose Storage Box</v>
      </c>
      <c r="K78" t="str">
        <f>VLOOKUP($C78,Table1[],3,FALSE)</f>
        <v>Home</v>
      </c>
      <c r="L78" t="str">
        <f>VLOOKUP($C78,Table1[],4,FALSE)</f>
        <v>Storage</v>
      </c>
      <c r="M78" t="str">
        <f>VLOOKUP($C78,Table1[],5,FALSE)</f>
        <v>Gardner-Montes</v>
      </c>
      <c r="N78">
        <f>VLOOKUP($C78,Table1[],6,FALSE)</f>
        <v>123.46</v>
      </c>
      <c r="O78">
        <f>VLOOKUP($C78,Table1[],7,FALSE)</f>
        <v>76</v>
      </c>
      <c r="P78" t="str">
        <f>_xlfn.XLOOKUP($B78,Table3[Store_ID],Table3[Store_Name])</f>
        <v>Mann-Austin</v>
      </c>
      <c r="Q78" t="str" cm="1">
        <f t="array" ref="Q78">_xlfn.XLOOKUP($B78,Store_Dim!$A$2:$A$21,Table3[Region])</f>
        <v>East</v>
      </c>
      <c r="R78" t="str" cm="1">
        <f t="array" ref="R78">_xlfn.XLOOKUP($B78,Store_Dim!$A$2:$A$21,Table3[Store_Type])</f>
        <v>Online</v>
      </c>
      <c r="S78">
        <f>VLOOKUP(Table7[[#This Row],[Customer ID]],Table6[[Customer_ID]:[Total_Amount]],8,FALSE)</f>
        <v>158.56</v>
      </c>
    </row>
    <row r="79" spans="1:19" x14ac:dyDescent="0.3">
      <c r="A79" t="s">
        <v>281</v>
      </c>
      <c r="B79" t="str">
        <f>_xlfn.XLOOKUP(Table7[[#This Row],[Customer ID]],Table6[Customer_ID],Table6[Store_ID])</f>
        <v>STORE15</v>
      </c>
      <c r="C79" t="str">
        <f>_xlfn.XLOOKUP(Table7[[#This Row],[Customer ID]],Table6[Customer_ID],Table6[Product_ID])</f>
        <v>PROD45</v>
      </c>
      <c r="D79" t="str">
        <f>VLOOKUP(Table7[[#This Row],[Customer ID]],Table4[#All],2,FALSE)</f>
        <v>Cody Blake</v>
      </c>
      <c r="E79">
        <f>VLOOKUP($A79,Table4[],3,FALSE)</f>
        <v>21</v>
      </c>
      <c r="F79" t="str">
        <f>VLOOKUP($A79,Table4[],4,FALSE)</f>
        <v>Male</v>
      </c>
      <c r="G79" t="str">
        <f>VLOOKUP($A79,Table4[],5,FALSE)</f>
        <v>North Scottport</v>
      </c>
      <c r="H79" t="str">
        <f>VLOOKUP($A79,Table4[],6,FALSE)</f>
        <v>Virginia</v>
      </c>
      <c r="I79" t="str">
        <f>VLOOKUP($A79,Table4[],8,FALSE)</f>
        <v>Gold</v>
      </c>
      <c r="J79" t="str">
        <f>VLOOKUP($C79,Table1[],2,FALSE)</f>
        <v>High-Grip Football</v>
      </c>
      <c r="K79" t="str">
        <f>VLOOKUP($C79,Table1[],3,FALSE)</f>
        <v>Sports</v>
      </c>
      <c r="L79" t="str">
        <f>VLOOKUP($C79,Table1[],4,FALSE)</f>
        <v>Team Sports</v>
      </c>
      <c r="M79" t="str">
        <f>VLOOKUP($C79,Table1[],5,FALSE)</f>
        <v>Bridges, Banks and Cummings</v>
      </c>
      <c r="N79">
        <f>VLOOKUP($C79,Table1[],6,FALSE)</f>
        <v>318.91000000000003</v>
      </c>
      <c r="O79">
        <f>VLOOKUP($C79,Table1[],7,FALSE)</f>
        <v>114</v>
      </c>
      <c r="P79" t="str">
        <f>_xlfn.XLOOKUP($B79,Table3[Store_ID],Table3[Store_Name])</f>
        <v>Shelton PLC</v>
      </c>
      <c r="Q79" t="str" cm="1">
        <f t="array" ref="Q79">_xlfn.XLOOKUP($B79,Store_Dim!$A$2:$A$21,Table3[Region])</f>
        <v>North</v>
      </c>
      <c r="R79" t="str" cm="1">
        <f t="array" ref="R79">_xlfn.XLOOKUP($B79,Store_Dim!$A$2:$A$21,Table3[Store_Type])</f>
        <v>Flagship</v>
      </c>
      <c r="S79">
        <f>VLOOKUP(Table7[[#This Row],[Customer ID]],Table6[[Customer_ID]:[Total_Amount]],8,FALSE)</f>
        <v>1558.4646</v>
      </c>
    </row>
    <row r="80" spans="1:19" x14ac:dyDescent="0.3">
      <c r="A80" t="s">
        <v>285</v>
      </c>
      <c r="B80" t="str">
        <f>_xlfn.XLOOKUP(Table7[[#This Row],[Customer ID]],Table6[Customer_ID],Table6[Store_ID])</f>
        <v>STORE4</v>
      </c>
      <c r="C80" t="str">
        <f>_xlfn.XLOOKUP(Table7[[#This Row],[Customer ID]],Table6[Customer_ID],Table6[Product_ID])</f>
        <v>PROD27</v>
      </c>
      <c r="D80" t="str">
        <f>VLOOKUP(Table7[[#This Row],[Customer ID]],Table4[#All],2,FALSE)</f>
        <v>Molly Gardner</v>
      </c>
      <c r="E80">
        <f>VLOOKUP($A80,Table4[],3,FALSE)</f>
        <v>22</v>
      </c>
      <c r="F80" t="str">
        <f>VLOOKUP($A80,Table4[],4,FALSE)</f>
        <v>Female</v>
      </c>
      <c r="G80" t="str">
        <f>VLOOKUP($A80,Table4[],5,FALSE)</f>
        <v>Nicoleborough</v>
      </c>
      <c r="H80" t="str">
        <f>VLOOKUP($A80,Table4[],6,FALSE)</f>
        <v>Arkansas</v>
      </c>
      <c r="I80" t="str">
        <f>VLOOKUP($A80,Table4[],8,FALSE)</f>
        <v>Platinum</v>
      </c>
      <c r="J80" t="str">
        <f>VLOOKUP($C80,Table1[],2,FALSE)</f>
        <v>Decorative Floor Vase</v>
      </c>
      <c r="K80" t="str">
        <f>VLOOKUP($C80,Table1[],3,FALSE)</f>
        <v>Home</v>
      </c>
      <c r="L80" t="str">
        <f>VLOOKUP($C80,Table1[],4,FALSE)</f>
        <v>Decor</v>
      </c>
      <c r="M80" t="str">
        <f>VLOOKUP($C80,Table1[],5,FALSE)</f>
        <v>Khan, Jones and Paul</v>
      </c>
      <c r="N80">
        <f>VLOOKUP($C80,Table1[],6,FALSE)</f>
        <v>219.12</v>
      </c>
      <c r="O80">
        <f>VLOOKUP($C80,Table1[],7,FALSE)</f>
        <v>378</v>
      </c>
      <c r="P80" t="str">
        <f>_xlfn.XLOOKUP($B80,Table3[Store_ID],Table3[Store_Name])</f>
        <v>Alexander Group</v>
      </c>
      <c r="Q80" t="str" cm="1">
        <f t="array" ref="Q80">_xlfn.XLOOKUP($B80,Store_Dim!$A$2:$A$21,Table3[Region])</f>
        <v>South</v>
      </c>
      <c r="R80" t="str" cm="1">
        <f t="array" ref="R80">_xlfn.XLOOKUP($B80,Store_Dim!$A$2:$A$21,Table3[Store_Type])</f>
        <v>Online</v>
      </c>
      <c r="S80">
        <f>VLOOKUP(Table7[[#This Row],[Customer ID]],Table6[[Customer_ID]:[Total_Amount]],8,FALSE)</f>
        <v>774.14260000000002</v>
      </c>
    </row>
    <row r="81" spans="1:19" x14ac:dyDescent="0.3">
      <c r="A81" t="s">
        <v>289</v>
      </c>
      <c r="B81" t="str">
        <f>_xlfn.XLOOKUP(Table7[[#This Row],[Customer ID]],Table6[Customer_ID],Table6[Store_ID])</f>
        <v>STORE6</v>
      </c>
      <c r="C81" t="str">
        <f>_xlfn.XLOOKUP(Table7[[#This Row],[Customer ID]],Table6[Customer_ID],Table6[Product_ID])</f>
        <v>PROD34</v>
      </c>
      <c r="D81" t="str">
        <f>VLOOKUP(Table7[[#This Row],[Customer ID]],Table4[#All],2,FALSE)</f>
        <v>Jennifer Garcia</v>
      </c>
      <c r="E81">
        <f>VLOOKUP($A81,Table4[],3,FALSE)</f>
        <v>61</v>
      </c>
      <c r="F81" t="str">
        <f>VLOOKUP($A81,Table4[],4,FALSE)</f>
        <v>Female</v>
      </c>
      <c r="G81" t="str">
        <f>VLOOKUP($A81,Table4[],5,FALSE)</f>
        <v>New Sean</v>
      </c>
      <c r="H81" t="str">
        <f>VLOOKUP($A81,Table4[],6,FALSE)</f>
        <v>New Mexico</v>
      </c>
      <c r="I81" t="str">
        <f>VLOOKUP($A81,Table4[],8,FALSE)</f>
        <v>Bronze</v>
      </c>
      <c r="J81" t="str">
        <f>VLOOKUP($C81,Table1[],2,FALSE)</f>
        <v>Gaming Mechanical Keyboard</v>
      </c>
      <c r="K81" t="str">
        <f>VLOOKUP($C81,Table1[],3,FALSE)</f>
        <v>Electronics</v>
      </c>
      <c r="L81" t="str">
        <f>VLOOKUP($C81,Table1[],4,FALSE)</f>
        <v>Computer</v>
      </c>
      <c r="M81" t="str">
        <f>VLOOKUP($C81,Table1[],5,FALSE)</f>
        <v>Lucero LLC</v>
      </c>
      <c r="N81">
        <f>VLOOKUP($C81,Table1[],6,FALSE)</f>
        <v>419.28</v>
      </c>
      <c r="O81">
        <f>VLOOKUP($C81,Table1[],7,FALSE)</f>
        <v>86</v>
      </c>
      <c r="P81" t="str">
        <f>_xlfn.XLOOKUP($B81,Table3[Store_ID],Table3[Store_Name])</f>
        <v>Benson-Elliott</v>
      </c>
      <c r="Q81" t="str" cm="1">
        <f t="array" ref="Q81">_xlfn.XLOOKUP($B81,Store_Dim!$A$2:$A$21,Table3[Region])</f>
        <v>East</v>
      </c>
      <c r="R81" t="str" cm="1">
        <f t="array" ref="R81">_xlfn.XLOOKUP($B81,Store_Dim!$A$2:$A$21,Table3[Store_Type])</f>
        <v>Online</v>
      </c>
      <c r="S81">
        <f>VLOOKUP(Table7[[#This Row],[Customer ID]],Table6[[Customer_ID]:[Total_Amount]],8,FALSE)</f>
        <v>1567.356</v>
      </c>
    </row>
    <row r="82" spans="1:19" x14ac:dyDescent="0.3">
      <c r="A82" t="s">
        <v>292</v>
      </c>
      <c r="B82" t="str">
        <f>_xlfn.XLOOKUP(Table7[[#This Row],[Customer ID]],Table6[Customer_ID],Table6[Store_ID])</f>
        <v>STORE0</v>
      </c>
      <c r="C82" t="str">
        <f>_xlfn.XLOOKUP(Table7[[#This Row],[Customer ID]],Table6[Customer_ID],Table6[Product_ID])</f>
        <v>PROD45</v>
      </c>
      <c r="D82" t="str">
        <f>VLOOKUP(Table7[[#This Row],[Customer ID]],Table4[#All],2,FALSE)</f>
        <v>Krystal Ford</v>
      </c>
      <c r="E82">
        <f>VLOOKUP($A82,Table4[],3,FALSE)</f>
        <v>34</v>
      </c>
      <c r="F82" t="str">
        <f>VLOOKUP($A82,Table4[],4,FALSE)</f>
        <v>Female</v>
      </c>
      <c r="G82" t="str">
        <f>VLOOKUP($A82,Table4[],5,FALSE)</f>
        <v>South David</v>
      </c>
      <c r="H82" t="str">
        <f>VLOOKUP($A82,Table4[],6,FALSE)</f>
        <v>Arizona</v>
      </c>
      <c r="I82" t="str">
        <f>VLOOKUP($A82,Table4[],8,FALSE)</f>
        <v>Platinum</v>
      </c>
      <c r="J82" t="str">
        <f>VLOOKUP($C82,Table1[],2,FALSE)</f>
        <v>High-Grip Football</v>
      </c>
      <c r="K82" t="str">
        <f>VLOOKUP($C82,Table1[],3,FALSE)</f>
        <v>Sports</v>
      </c>
      <c r="L82" t="str">
        <f>VLOOKUP($C82,Table1[],4,FALSE)</f>
        <v>Team Sports</v>
      </c>
      <c r="M82" t="str">
        <f>VLOOKUP($C82,Table1[],5,FALSE)</f>
        <v>Bridges, Banks and Cummings</v>
      </c>
      <c r="N82">
        <f>VLOOKUP($C82,Table1[],6,FALSE)</f>
        <v>318.91000000000003</v>
      </c>
      <c r="O82">
        <f>VLOOKUP($C82,Table1[],7,FALSE)</f>
        <v>114</v>
      </c>
      <c r="P82" t="str">
        <f>_xlfn.XLOOKUP($B82,Table3[Store_ID],Table3[Store_Name])</f>
        <v>Rivera-Warner</v>
      </c>
      <c r="Q82" t="str" cm="1">
        <f t="array" ref="Q82">_xlfn.XLOOKUP($B82,Store_Dim!$A$2:$A$21,Table3[Region])</f>
        <v>East</v>
      </c>
      <c r="R82" t="str" cm="1">
        <f t="array" ref="R82">_xlfn.XLOOKUP($B82,Store_Dim!$A$2:$A$21,Table3[Store_Type])</f>
        <v>Flagship</v>
      </c>
      <c r="S82">
        <f>VLOOKUP(Table7[[#This Row],[Customer ID]],Table6[[Customer_ID]:[Total_Amount]],8,FALSE)</f>
        <v>762.36819999999989</v>
      </c>
    </row>
    <row r="83" spans="1:19" x14ac:dyDescent="0.3">
      <c r="A83" t="s">
        <v>295</v>
      </c>
      <c r="B83" t="str">
        <f>_xlfn.XLOOKUP(Table7[[#This Row],[Customer ID]],Table6[Customer_ID],Table6[Store_ID])</f>
        <v>STORE6</v>
      </c>
      <c r="C83" t="str">
        <f>_xlfn.XLOOKUP(Table7[[#This Row],[Customer ID]],Table6[Customer_ID],Table6[Product_ID])</f>
        <v>PROD92</v>
      </c>
      <c r="D83" t="str">
        <f>VLOOKUP(Table7[[#This Row],[Customer ID]],Table4[#All],2,FALSE)</f>
        <v>George Rosario</v>
      </c>
      <c r="E83">
        <f>VLOOKUP($A83,Table4[],3,FALSE)</f>
        <v>53</v>
      </c>
      <c r="F83" t="str">
        <f>VLOOKUP($A83,Table4[],4,FALSE)</f>
        <v>Male</v>
      </c>
      <c r="G83" t="str">
        <f>VLOOKUP($A83,Table4[],5,FALSE)</f>
        <v>Leburgh</v>
      </c>
      <c r="H83" t="str">
        <f>VLOOKUP($A83,Table4[],6,FALSE)</f>
        <v>Florida</v>
      </c>
      <c r="I83" t="str">
        <f>VLOOKUP($A83,Table4[],8,FALSE)</f>
        <v>Bronze</v>
      </c>
      <c r="J83" t="str">
        <f>VLOOKUP($C83,Table1[],2,FALSE)</f>
        <v>Microwave Oven</v>
      </c>
      <c r="K83" t="str">
        <f>VLOOKUP($C83,Table1[],3,FALSE)</f>
        <v>Home</v>
      </c>
      <c r="L83" t="str">
        <f>VLOOKUP($C83,Table1[],4,FALSE)</f>
        <v>Appliances</v>
      </c>
      <c r="M83" t="str">
        <f>VLOOKUP($C83,Table1[],5,FALSE)</f>
        <v>Green, Powell and Palmer</v>
      </c>
      <c r="N83">
        <f>VLOOKUP($C83,Table1[],6,FALSE)</f>
        <v>447.43</v>
      </c>
      <c r="O83">
        <f>VLOOKUP($C83,Table1[],7,FALSE)</f>
        <v>191</v>
      </c>
      <c r="P83" t="str">
        <f>_xlfn.XLOOKUP($B83,Table3[Store_ID],Table3[Store_Name])</f>
        <v>Benson-Elliott</v>
      </c>
      <c r="Q83" t="str" cm="1">
        <f t="array" ref="Q83">_xlfn.XLOOKUP($B83,Store_Dim!$A$2:$A$21,Table3[Region])</f>
        <v>East</v>
      </c>
      <c r="R83" t="str" cm="1">
        <f t="array" ref="R83">_xlfn.XLOOKUP($B83,Store_Dim!$A$2:$A$21,Table3[Store_Type])</f>
        <v>Online</v>
      </c>
      <c r="S83">
        <f>VLOOKUP(Table7[[#This Row],[Customer ID]],Table6[[Customer_ID]:[Total_Amount]],8,FALSE)</f>
        <v>1562.9290000000001</v>
      </c>
    </row>
    <row r="84" spans="1:19" x14ac:dyDescent="0.3">
      <c r="A84" t="s">
        <v>298</v>
      </c>
      <c r="B84" t="str">
        <f>_xlfn.XLOOKUP(Table7[[#This Row],[Customer ID]],Table6[Customer_ID],Table6[Store_ID])</f>
        <v>STORE9</v>
      </c>
      <c r="C84" t="str">
        <f>_xlfn.XLOOKUP(Table7[[#This Row],[Customer ID]],Table6[Customer_ID],Table6[Product_ID])</f>
        <v>PROD45</v>
      </c>
      <c r="D84" t="str">
        <f>VLOOKUP(Table7[[#This Row],[Customer ID]],Table4[#All],2,FALSE)</f>
        <v>Thomas Robinson</v>
      </c>
      <c r="E84">
        <f>VLOOKUP($A84,Table4[],3,FALSE)</f>
        <v>48</v>
      </c>
      <c r="F84" t="str">
        <f>VLOOKUP($A84,Table4[],4,FALSE)</f>
        <v>Female</v>
      </c>
      <c r="G84" t="str">
        <f>VLOOKUP($A84,Table4[],5,FALSE)</f>
        <v>Nicholastown</v>
      </c>
      <c r="H84" t="str">
        <f>VLOOKUP($A84,Table4[],6,FALSE)</f>
        <v>Georgia</v>
      </c>
      <c r="I84" t="str">
        <f>VLOOKUP($A84,Table4[],8,FALSE)</f>
        <v>Bronze</v>
      </c>
      <c r="J84" t="str">
        <f>VLOOKUP($C84,Table1[],2,FALSE)</f>
        <v>High-Grip Football</v>
      </c>
      <c r="K84" t="str">
        <f>VLOOKUP($C84,Table1[],3,FALSE)</f>
        <v>Sports</v>
      </c>
      <c r="L84" t="str">
        <f>VLOOKUP($C84,Table1[],4,FALSE)</f>
        <v>Team Sports</v>
      </c>
      <c r="M84" t="str">
        <f>VLOOKUP($C84,Table1[],5,FALSE)</f>
        <v>Bridges, Banks and Cummings</v>
      </c>
      <c r="N84">
        <f>VLOOKUP($C84,Table1[],6,FALSE)</f>
        <v>318.91000000000003</v>
      </c>
      <c r="O84">
        <f>VLOOKUP($C84,Table1[],7,FALSE)</f>
        <v>114</v>
      </c>
      <c r="P84" t="str">
        <f>_xlfn.XLOOKUP($B84,Table3[Store_ID],Table3[Store_Name])</f>
        <v>Moore, Padilla and Butler</v>
      </c>
      <c r="Q84" t="str" cm="1">
        <f t="array" ref="Q84">_xlfn.XLOOKUP($B84,Store_Dim!$A$2:$A$21,Table3[Region])</f>
        <v>South</v>
      </c>
      <c r="R84" t="str" cm="1">
        <f t="array" ref="R84">_xlfn.XLOOKUP($B84,Store_Dim!$A$2:$A$21,Table3[Store_Type])</f>
        <v>Flagship</v>
      </c>
      <c r="S84">
        <f>VLOOKUP(Table7[[#This Row],[Customer ID]],Table6[[Customer_ID]:[Total_Amount]],8,FALSE)</f>
        <v>1422.492</v>
      </c>
    </row>
    <row r="85" spans="1:19" x14ac:dyDescent="0.3">
      <c r="A85" t="s">
        <v>301</v>
      </c>
      <c r="B85" t="str">
        <f>_xlfn.XLOOKUP(Table7[[#This Row],[Customer ID]],Table6[Customer_ID],Table6[Store_ID])</f>
        <v>STORE17</v>
      </c>
      <c r="C85" t="str">
        <f>_xlfn.XLOOKUP(Table7[[#This Row],[Customer ID]],Table6[Customer_ID],Table6[Product_ID])</f>
        <v>PROD33</v>
      </c>
      <c r="D85" t="str">
        <f>VLOOKUP(Table7[[#This Row],[Customer ID]],Table4[#All],2,FALSE)</f>
        <v>Christy Hoffman</v>
      </c>
      <c r="E85">
        <f>VLOOKUP($A85,Table4[],3,FALSE)</f>
        <v>26</v>
      </c>
      <c r="F85" t="str">
        <f>VLOOKUP($A85,Table4[],4,FALSE)</f>
        <v>Female</v>
      </c>
      <c r="G85" t="str">
        <f>VLOOKUP($A85,Table4[],5,FALSE)</f>
        <v>Garyberg</v>
      </c>
      <c r="H85" t="str">
        <f>VLOOKUP($A85,Table4[],6,FALSE)</f>
        <v>Indiana</v>
      </c>
      <c r="I85" t="str">
        <f>VLOOKUP($A85,Table4[],8,FALSE)</f>
        <v>Platinum</v>
      </c>
      <c r="J85" t="str">
        <f>VLOOKUP($C85,Table1[],2,FALSE)</f>
        <v>Modern Wall Clock</v>
      </c>
      <c r="K85" t="str">
        <f>VLOOKUP($C85,Table1[],3,FALSE)</f>
        <v>Home</v>
      </c>
      <c r="L85" t="str">
        <f>VLOOKUP($C85,Table1[],4,FALSE)</f>
        <v>Decor</v>
      </c>
      <c r="M85" t="str">
        <f>VLOOKUP($C85,Table1[],5,FALSE)</f>
        <v>Weiss-Watson</v>
      </c>
      <c r="N85">
        <f>VLOOKUP($C85,Table1[],6,FALSE)</f>
        <v>179.77</v>
      </c>
      <c r="O85">
        <f>VLOOKUP($C85,Table1[],7,FALSE)</f>
        <v>305</v>
      </c>
      <c r="P85" t="str">
        <f>_xlfn.XLOOKUP($B85,Table3[Store_ID],Table3[Store_Name])</f>
        <v>Holloway Ltd</v>
      </c>
      <c r="Q85" t="str" cm="1">
        <f t="array" ref="Q85">_xlfn.XLOOKUP($B85,Store_Dim!$A$2:$A$21,Table3[Region])</f>
        <v>North</v>
      </c>
      <c r="R85" t="str" cm="1">
        <f t="array" ref="R85">_xlfn.XLOOKUP($B85,Store_Dim!$A$2:$A$21,Table3[Store_Type])</f>
        <v>Flagship</v>
      </c>
      <c r="S85">
        <f>VLOOKUP(Table7[[#This Row],[Customer ID]],Table6[[Customer_ID]:[Total_Amount]],8,FALSE)</f>
        <v>1864.3176000000001</v>
      </c>
    </row>
    <row r="86" spans="1:19" x14ac:dyDescent="0.3">
      <c r="A86" t="s">
        <v>304</v>
      </c>
      <c r="B86" t="str">
        <f>_xlfn.XLOOKUP(Table7[[#This Row],[Customer ID]],Table6[Customer_ID],Table6[Store_ID])</f>
        <v>STORE19</v>
      </c>
      <c r="C86" t="str">
        <f>_xlfn.XLOOKUP(Table7[[#This Row],[Customer ID]],Table6[Customer_ID],Table6[Product_ID])</f>
        <v>PROD31</v>
      </c>
      <c r="D86" t="str">
        <f>VLOOKUP(Table7[[#This Row],[Customer ID]],Table4[#All],2,FALSE)</f>
        <v>Richard Delgado</v>
      </c>
      <c r="E86">
        <f>VLOOKUP($A86,Table4[],3,FALSE)</f>
        <v>36</v>
      </c>
      <c r="F86" t="str">
        <f>VLOOKUP($A86,Table4[],4,FALSE)</f>
        <v>Male</v>
      </c>
      <c r="G86" t="str">
        <f>VLOOKUP($A86,Table4[],5,FALSE)</f>
        <v>West Theodorechester</v>
      </c>
      <c r="H86" t="str">
        <f>VLOOKUP($A86,Table4[],6,FALSE)</f>
        <v>Pennsylvania</v>
      </c>
      <c r="I86" t="str">
        <f>VLOOKUP($A86,Table4[],8,FALSE)</f>
        <v>Silver</v>
      </c>
      <c r="J86" t="str">
        <f>VLOOKUP($C86,Table1[],2,FALSE)</f>
        <v>Basketball</v>
      </c>
      <c r="K86" t="str">
        <f>VLOOKUP($C86,Table1[],3,FALSE)</f>
        <v>Sports</v>
      </c>
      <c r="L86" t="str">
        <f>VLOOKUP($C86,Table1[],4,FALSE)</f>
        <v>Team Sports</v>
      </c>
      <c r="M86" t="str">
        <f>VLOOKUP($C86,Table1[],5,FALSE)</f>
        <v>Nolan-Snow</v>
      </c>
      <c r="N86">
        <f>VLOOKUP($C86,Table1[],6,FALSE)</f>
        <v>204.39</v>
      </c>
      <c r="O86">
        <f>VLOOKUP($C86,Table1[],7,FALSE)</f>
        <v>281</v>
      </c>
      <c r="P86" t="str">
        <f>_xlfn.XLOOKUP($B86,Table3[Store_ID],Table3[Store_Name])</f>
        <v>Mann-Austin</v>
      </c>
      <c r="Q86" t="str" cm="1">
        <f t="array" ref="Q86">_xlfn.XLOOKUP($B86,Store_Dim!$A$2:$A$21,Table3[Region])</f>
        <v>East</v>
      </c>
      <c r="R86" t="str" cm="1">
        <f t="array" ref="R86">_xlfn.XLOOKUP($B86,Store_Dim!$A$2:$A$21,Table3[Store_Type])</f>
        <v>Online</v>
      </c>
      <c r="S86">
        <f>VLOOKUP(Table7[[#This Row],[Customer ID]],Table6[[Customer_ID]:[Total_Amount]],8,FALSE)</f>
        <v>1353.7854</v>
      </c>
    </row>
    <row r="87" spans="1:19" x14ac:dyDescent="0.3">
      <c r="A87" t="s">
        <v>307</v>
      </c>
      <c r="B87" t="str">
        <f>_xlfn.XLOOKUP(Table7[[#This Row],[Customer ID]],Table6[Customer_ID],Table6[Store_ID])</f>
        <v>STORE7</v>
      </c>
      <c r="C87" t="str">
        <f>_xlfn.XLOOKUP(Table7[[#This Row],[Customer ID]],Table6[Customer_ID],Table6[Product_ID])</f>
        <v>PROD5</v>
      </c>
      <c r="D87" t="str">
        <f>VLOOKUP(Table7[[#This Row],[Customer ID]],Table4[#All],2,FALSE)</f>
        <v>Tammy Miller Md</v>
      </c>
      <c r="E87">
        <f>VLOOKUP($A87,Table4[],3,FALSE)</f>
        <v>19</v>
      </c>
      <c r="F87" t="str">
        <f>VLOOKUP($A87,Table4[],4,FALSE)</f>
        <v>Female</v>
      </c>
      <c r="G87" t="str">
        <f>VLOOKUP($A87,Table4[],5,FALSE)</f>
        <v>Austinfurt</v>
      </c>
      <c r="H87" t="str">
        <f>VLOOKUP($A87,Table4[],6,FALSE)</f>
        <v>Mississippi</v>
      </c>
      <c r="I87" t="str">
        <f>VLOOKUP($A87,Table4[],8,FALSE)</f>
        <v>Gold</v>
      </c>
      <c r="J87" t="str">
        <f>VLOOKUP($C87,Table1[],2,FALSE)</f>
        <v>Men's Leather Belt</v>
      </c>
      <c r="K87" t="str">
        <f>VLOOKUP($C87,Table1[],3,FALSE)</f>
        <v>Clothing</v>
      </c>
      <c r="L87" t="str">
        <f>VLOOKUP($C87,Table1[],4,FALSE)</f>
        <v>Accessories</v>
      </c>
      <c r="M87" t="str">
        <f>VLOOKUP($C87,Table1[],5,FALSE)</f>
        <v>Baldwin, Garza and Gonzalez</v>
      </c>
      <c r="N87">
        <f>VLOOKUP($C87,Table1[],6,FALSE)</f>
        <v>261</v>
      </c>
      <c r="O87">
        <f>VLOOKUP($C87,Table1[],7,FALSE)</f>
        <v>59</v>
      </c>
      <c r="P87" t="str">
        <f>_xlfn.XLOOKUP($B87,Table3[Store_ID],Table3[Store_Name])</f>
        <v>Martinez-Mullins</v>
      </c>
      <c r="Q87" t="str" cm="1">
        <f t="array" ref="Q87">_xlfn.XLOOKUP($B87,Store_Dim!$A$2:$A$21,Table3[Region])</f>
        <v>South</v>
      </c>
      <c r="R87" t="str" cm="1">
        <f t="array" ref="R87">_xlfn.XLOOKUP($B87,Store_Dim!$A$2:$A$21,Table3[Store_Type])</f>
        <v>Online</v>
      </c>
      <c r="S87">
        <f>VLOOKUP(Table7[[#This Row],[Customer ID]],Table6[[Customer_ID]:[Total_Amount]],8,FALSE)</f>
        <v>1409.9903999999999</v>
      </c>
    </row>
    <row r="88" spans="1:19" x14ac:dyDescent="0.3">
      <c r="A88" t="s">
        <v>310</v>
      </c>
      <c r="B88" t="str">
        <f>_xlfn.XLOOKUP(Table7[[#This Row],[Customer ID]],Table6[Customer_ID],Table6[Store_ID])</f>
        <v>STORE13</v>
      </c>
      <c r="C88" t="str">
        <f>_xlfn.XLOOKUP(Table7[[#This Row],[Customer ID]],Table6[Customer_ID],Table6[Product_ID])</f>
        <v>PROD76</v>
      </c>
      <c r="D88" t="str">
        <f>VLOOKUP(Table7[[#This Row],[Customer ID]],Table4[#All],2,FALSE)</f>
        <v>Melissa Duffy Md</v>
      </c>
      <c r="E88">
        <f>VLOOKUP($A88,Table4[],3,FALSE)</f>
        <v>58</v>
      </c>
      <c r="F88" t="str">
        <f>VLOOKUP($A88,Table4[],4,FALSE)</f>
        <v>Female</v>
      </c>
      <c r="G88" t="str">
        <f>VLOOKUP($A88,Table4[],5,FALSE)</f>
        <v>East Jenna</v>
      </c>
      <c r="H88" t="str">
        <f>VLOOKUP($A88,Table4[],6,FALSE)</f>
        <v>South Carolina</v>
      </c>
      <c r="I88" t="str">
        <f>VLOOKUP($A88,Table4[],8,FALSE)</f>
        <v>Bronze</v>
      </c>
      <c r="J88" t="str">
        <f>VLOOKUP($C88,Table1[],2,FALSE)</f>
        <v>Wireless Mouse</v>
      </c>
      <c r="K88" t="str">
        <f>VLOOKUP($C88,Table1[],3,FALSE)</f>
        <v>Electronics</v>
      </c>
      <c r="L88" t="str">
        <f>VLOOKUP($C88,Table1[],4,FALSE)</f>
        <v>Computer</v>
      </c>
      <c r="M88" t="str">
        <f>VLOOKUP($C88,Table1[],5,FALSE)</f>
        <v>Larson Ltd</v>
      </c>
      <c r="N88">
        <f>VLOOKUP($C88,Table1[],6,FALSE)</f>
        <v>392.89</v>
      </c>
      <c r="O88">
        <f>VLOOKUP($C88,Table1[],7,FALSE)</f>
        <v>320</v>
      </c>
      <c r="P88" t="str">
        <f>_xlfn.XLOOKUP($B88,Table3[Store_ID],Table3[Store_Name])</f>
        <v>Gardner, Humphrey and Contreras</v>
      </c>
      <c r="Q88" t="str" cm="1">
        <f t="array" ref="Q88">_xlfn.XLOOKUP($B88,Store_Dim!$A$2:$A$21,Table3[Region])</f>
        <v>East</v>
      </c>
      <c r="R88" t="str" cm="1">
        <f t="array" ref="R88">_xlfn.XLOOKUP($B88,Store_Dim!$A$2:$A$21,Table3[Store_Type])</f>
        <v>Flagship</v>
      </c>
      <c r="S88">
        <f>VLOOKUP(Table7[[#This Row],[Customer ID]],Table6[[Customer_ID]:[Total_Amount]],8,FALSE)</f>
        <v>2020.7097000000001</v>
      </c>
    </row>
    <row r="89" spans="1:19" x14ac:dyDescent="0.3">
      <c r="A89" t="s">
        <v>313</v>
      </c>
      <c r="B89" t="str">
        <f>_xlfn.XLOOKUP(Table7[[#This Row],[Customer ID]],Table6[Customer_ID],Table6[Store_ID])</f>
        <v>STORE4</v>
      </c>
      <c r="C89" t="str">
        <f>_xlfn.XLOOKUP(Table7[[#This Row],[Customer ID]],Table6[Customer_ID],Table6[Product_ID])</f>
        <v>PROD2</v>
      </c>
      <c r="D89" t="str">
        <f>VLOOKUP(Table7[[#This Row],[Customer ID]],Table4[#All],2,FALSE)</f>
        <v>Timothy Wright</v>
      </c>
      <c r="E89">
        <f>VLOOKUP($A89,Table4[],3,FALSE)</f>
        <v>58</v>
      </c>
      <c r="F89" t="str">
        <f>VLOOKUP($A89,Table4[],4,FALSE)</f>
        <v>Male</v>
      </c>
      <c r="G89" t="str">
        <f>VLOOKUP($A89,Table4[],5,FALSE)</f>
        <v>Ashleystad</v>
      </c>
      <c r="H89" t="str">
        <f>VLOOKUP($A89,Table4[],6,FALSE)</f>
        <v>Arkansas</v>
      </c>
      <c r="I89" t="str">
        <f>VLOOKUP($A89,Table4[],8,FALSE)</f>
        <v>Silver</v>
      </c>
      <c r="J89" t="str">
        <f>VLOOKUP($C89,Table1[],2,FALSE)</f>
        <v>Women's Casual Hoodie</v>
      </c>
      <c r="K89" t="str">
        <f>VLOOKUP($C89,Table1[],3,FALSE)</f>
        <v>Clothing</v>
      </c>
      <c r="L89" t="str">
        <f>VLOOKUP($C89,Table1[],4,FALSE)</f>
        <v>Outerwear</v>
      </c>
      <c r="M89" t="str">
        <f>VLOOKUP($C89,Table1[],5,FALSE)</f>
        <v>Sims Inc</v>
      </c>
      <c r="N89">
        <f>VLOOKUP($C89,Table1[],6,FALSE)</f>
        <v>296.83</v>
      </c>
      <c r="O89">
        <f>VLOOKUP($C89,Table1[],7,FALSE)</f>
        <v>352</v>
      </c>
      <c r="P89" t="str">
        <f>_xlfn.XLOOKUP($B89,Table3[Store_ID],Table3[Store_Name])</f>
        <v>Alexander Group</v>
      </c>
      <c r="Q89" t="str" cm="1">
        <f t="array" ref="Q89">_xlfn.XLOOKUP($B89,Store_Dim!$A$2:$A$21,Table3[Region])</f>
        <v>South</v>
      </c>
      <c r="R89" t="str" cm="1">
        <f t="array" ref="R89">_xlfn.XLOOKUP($B89,Store_Dim!$A$2:$A$21,Table3[Store_Type])</f>
        <v>Online</v>
      </c>
      <c r="S89">
        <f>VLOOKUP(Table7[[#This Row],[Customer ID]],Table6[[Customer_ID]:[Total_Amount]],8,FALSE)</f>
        <v>199.56780000000001</v>
      </c>
    </row>
    <row r="90" spans="1:19" x14ac:dyDescent="0.3">
      <c r="A90" t="s">
        <v>316</v>
      </c>
      <c r="B90" t="str">
        <f>_xlfn.XLOOKUP(Table7[[#This Row],[Customer ID]],Table6[Customer_ID],Table6[Store_ID])</f>
        <v>STORE3</v>
      </c>
      <c r="C90" t="str">
        <f>_xlfn.XLOOKUP(Table7[[#This Row],[Customer ID]],Table6[Customer_ID],Table6[Product_ID])</f>
        <v>PROD57</v>
      </c>
      <c r="D90" t="str">
        <f>VLOOKUP(Table7[[#This Row],[Customer ID]],Table4[#All],2,FALSE)</f>
        <v>Jamie Yoder</v>
      </c>
      <c r="E90">
        <f>VLOOKUP($A90,Table4[],3,FALSE)</f>
        <v>43</v>
      </c>
      <c r="F90" t="str">
        <f>VLOOKUP($A90,Table4[],4,FALSE)</f>
        <v>Male</v>
      </c>
      <c r="G90" t="str">
        <f>VLOOKUP($A90,Table4[],5,FALSE)</f>
        <v>New Gabrielleville</v>
      </c>
      <c r="H90" t="str">
        <f>VLOOKUP($A90,Table4[],6,FALSE)</f>
        <v>Wisconsin</v>
      </c>
      <c r="I90" t="str">
        <f>VLOOKUP($A90,Table4[],8,FALSE)</f>
        <v>Platinum</v>
      </c>
      <c r="J90" t="str">
        <f>VLOOKUP($C90,Table1[],2,FALSE)</f>
        <v>Foam Roller</v>
      </c>
      <c r="K90" t="str">
        <f>VLOOKUP($C90,Table1[],3,FALSE)</f>
        <v>Sports</v>
      </c>
      <c r="L90" t="str">
        <f>VLOOKUP($C90,Table1[],4,FALSE)</f>
        <v>Fitness</v>
      </c>
      <c r="M90" t="str">
        <f>VLOOKUP($C90,Table1[],5,FALSE)</f>
        <v>Atkinson, Camacho and Oliver</v>
      </c>
      <c r="N90">
        <f>VLOOKUP($C90,Table1[],6,FALSE)</f>
        <v>30.62</v>
      </c>
      <c r="O90">
        <f>VLOOKUP($C90,Table1[],7,FALSE)</f>
        <v>138</v>
      </c>
      <c r="P90" t="str">
        <f>_xlfn.XLOOKUP($B90,Table3[Store_ID],Table3[Store_Name])</f>
        <v>Johnson-Wright</v>
      </c>
      <c r="Q90" t="str" cm="1">
        <f t="array" ref="Q90">_xlfn.XLOOKUP($B90,Store_Dim!$A$2:$A$21,Table3[Region])</f>
        <v>North</v>
      </c>
      <c r="R90" t="str" cm="1">
        <f t="array" ref="R90">_xlfn.XLOOKUP($B90,Store_Dim!$A$2:$A$21,Table3[Store_Type])</f>
        <v>Outlet</v>
      </c>
      <c r="S90">
        <f>VLOOKUP(Table7[[#This Row],[Customer ID]],Table6[[Customer_ID]:[Total_Amount]],8,FALSE)</f>
        <v>3225.5819999999999</v>
      </c>
    </row>
    <row r="91" spans="1:19" x14ac:dyDescent="0.3">
      <c r="A91" t="s">
        <v>320</v>
      </c>
      <c r="B91" t="str">
        <f>_xlfn.XLOOKUP(Table7[[#This Row],[Customer ID]],Table6[Customer_ID],Table6[Store_ID])</f>
        <v>STORE14</v>
      </c>
      <c r="C91" t="str">
        <f>_xlfn.XLOOKUP(Table7[[#This Row],[Customer ID]],Table6[Customer_ID],Table6[Product_ID])</f>
        <v>PROD65</v>
      </c>
      <c r="D91" t="str">
        <f>VLOOKUP(Table7[[#This Row],[Customer ID]],Table4[#All],2,FALSE)</f>
        <v>Oscar Moon</v>
      </c>
      <c r="E91">
        <f>VLOOKUP($A91,Table4[],3,FALSE)</f>
        <v>58</v>
      </c>
      <c r="F91" t="str">
        <f>VLOOKUP($A91,Table4[],4,FALSE)</f>
        <v>Female</v>
      </c>
      <c r="G91" t="str">
        <f>VLOOKUP($A91,Table4[],5,FALSE)</f>
        <v>West Cody</v>
      </c>
      <c r="H91" t="str">
        <f>VLOOKUP($A91,Table4[],6,FALSE)</f>
        <v>Louisiana</v>
      </c>
      <c r="I91" t="str">
        <f>VLOOKUP($A91,Table4[],8,FALSE)</f>
        <v>Platinum</v>
      </c>
      <c r="J91" t="str">
        <f>VLOOKUP($C91,Table1[],2,FALSE)</f>
        <v>Adjustable Dumbbells 20kg</v>
      </c>
      <c r="K91" t="str">
        <f>VLOOKUP($C91,Table1[],3,FALSE)</f>
        <v>Sports</v>
      </c>
      <c r="L91" t="str">
        <f>VLOOKUP($C91,Table1[],4,FALSE)</f>
        <v>Fitness</v>
      </c>
      <c r="M91" t="str">
        <f>VLOOKUP($C91,Table1[],5,FALSE)</f>
        <v>Montgomery, Benton and Miller</v>
      </c>
      <c r="N91">
        <f>VLOOKUP($C91,Table1[],6,FALSE)</f>
        <v>240.63</v>
      </c>
      <c r="O91">
        <f>VLOOKUP($C91,Table1[],7,FALSE)</f>
        <v>423</v>
      </c>
      <c r="P91" t="str">
        <f>_xlfn.XLOOKUP($B91,Table3[Store_ID],Table3[Store_Name])</f>
        <v>Mcdonald Inc</v>
      </c>
      <c r="Q91" t="str" cm="1">
        <f t="array" ref="Q91">_xlfn.XLOOKUP($B91,Store_Dim!$A$2:$A$21,Table3[Region])</f>
        <v>South</v>
      </c>
      <c r="R91" t="str" cm="1">
        <f t="array" ref="R91">_xlfn.XLOOKUP($B91,Store_Dim!$A$2:$A$21,Table3[Store_Type])</f>
        <v>Outlet</v>
      </c>
      <c r="S91">
        <f>VLOOKUP(Table7[[#This Row],[Customer ID]],Table6[[Customer_ID]:[Total_Amount]],8,FALSE)</f>
        <v>1005.3944</v>
      </c>
    </row>
    <row r="92" spans="1:19" x14ac:dyDescent="0.3">
      <c r="A92" t="s">
        <v>324</v>
      </c>
      <c r="B92" t="str">
        <f>_xlfn.XLOOKUP(Table7[[#This Row],[Customer ID]],Table6[Customer_ID],Table6[Store_ID])</f>
        <v>STORE3</v>
      </c>
      <c r="C92" t="str">
        <f>_xlfn.XLOOKUP(Table7[[#This Row],[Customer ID]],Table6[Customer_ID],Table6[Product_ID])</f>
        <v>PROD46</v>
      </c>
      <c r="D92" t="str">
        <f>VLOOKUP(Table7[[#This Row],[Customer ID]],Table4[#All],2,FALSE)</f>
        <v>Donna Gregory</v>
      </c>
      <c r="E92">
        <f>VLOOKUP($A92,Table4[],3,FALSE)</f>
        <v>29</v>
      </c>
      <c r="F92" t="str">
        <f>VLOOKUP($A92,Table4[],4,FALSE)</f>
        <v>Female</v>
      </c>
      <c r="G92" t="str">
        <f>VLOOKUP($A92,Table4[],5,FALSE)</f>
        <v>South Amandahaven</v>
      </c>
      <c r="H92" t="str">
        <f>VLOOKUP($A92,Table4[],6,FALSE)</f>
        <v>Arizona</v>
      </c>
      <c r="I92" t="str">
        <f>VLOOKUP($A92,Table4[],8,FALSE)</f>
        <v>Silver</v>
      </c>
      <c r="J92" t="str">
        <f>VLOOKUP($C92,Table1[],2,FALSE)</f>
        <v>Men's Winter Jacket</v>
      </c>
      <c r="K92" t="str">
        <f>VLOOKUP($C92,Table1[],3,FALSE)</f>
        <v>Clothing</v>
      </c>
      <c r="L92" t="str">
        <f>VLOOKUP($C92,Table1[],4,FALSE)</f>
        <v>Outerwear</v>
      </c>
      <c r="M92" t="str">
        <f>VLOOKUP($C92,Table1[],5,FALSE)</f>
        <v>Kelly, Smith and Perez</v>
      </c>
      <c r="N92">
        <f>VLOOKUP($C92,Table1[],6,FALSE)</f>
        <v>167.34</v>
      </c>
      <c r="O92">
        <f>VLOOKUP($C92,Table1[],7,FALSE)</f>
        <v>296</v>
      </c>
      <c r="P92" t="str">
        <f>_xlfn.XLOOKUP($B92,Table3[Store_ID],Table3[Store_Name])</f>
        <v>Johnson-Wright</v>
      </c>
      <c r="Q92" t="str" cm="1">
        <f t="array" ref="Q92">_xlfn.XLOOKUP($B92,Store_Dim!$A$2:$A$21,Table3[Region])</f>
        <v>North</v>
      </c>
      <c r="R92" t="str" cm="1">
        <f t="array" ref="R92">_xlfn.XLOOKUP($B92,Store_Dim!$A$2:$A$21,Table3[Store_Type])</f>
        <v>Outlet</v>
      </c>
      <c r="S92">
        <f>VLOOKUP(Table7[[#This Row],[Customer ID]],Table6[[Customer_ID]:[Total_Amount]],8,FALSE)</f>
        <v>522.68399999999997</v>
      </c>
    </row>
    <row r="93" spans="1:19" x14ac:dyDescent="0.3">
      <c r="A93" t="s">
        <v>327</v>
      </c>
      <c r="B93" t="str">
        <f>_xlfn.XLOOKUP(Table7[[#This Row],[Customer ID]],Table6[Customer_ID],Table6[Store_ID])</f>
        <v>STORE11</v>
      </c>
      <c r="C93" t="str">
        <f>_xlfn.XLOOKUP(Table7[[#This Row],[Customer ID]],Table6[Customer_ID],Table6[Product_ID])</f>
        <v>PROD10</v>
      </c>
      <c r="D93" t="str">
        <f>VLOOKUP(Table7[[#This Row],[Customer ID]],Table4[#All],2,FALSE)</f>
        <v>Robert Jackson</v>
      </c>
      <c r="E93">
        <f>VLOOKUP($A93,Table4[],3,FALSE)</f>
        <v>44</v>
      </c>
      <c r="F93" t="str">
        <f>VLOOKUP($A93,Table4[],4,FALSE)</f>
        <v>Female</v>
      </c>
      <c r="G93" t="str">
        <f>VLOOKUP($A93,Table4[],5,FALSE)</f>
        <v>Lake Brandy</v>
      </c>
      <c r="H93" t="str">
        <f>VLOOKUP($A93,Table4[],6,FALSE)</f>
        <v>Tennessee</v>
      </c>
      <c r="I93" t="str">
        <f>VLOOKUP($A93,Table4[],8,FALSE)</f>
        <v>Platinum</v>
      </c>
      <c r="J93" t="str">
        <f>VLOOKUP($C93,Table1[],2,FALSE)</f>
        <v>Ceramic Kitchen Bowl Set</v>
      </c>
      <c r="K93" t="str">
        <f>VLOOKUP($C93,Table1[],3,FALSE)</f>
        <v>Home</v>
      </c>
      <c r="L93" t="str">
        <f>VLOOKUP($C93,Table1[],4,FALSE)</f>
        <v>Kitchen</v>
      </c>
      <c r="M93" t="str">
        <f>VLOOKUP($C93,Table1[],5,FALSE)</f>
        <v>Hamilton Group</v>
      </c>
      <c r="N93">
        <f>VLOOKUP($C93,Table1[],6,FALSE)</f>
        <v>298.86</v>
      </c>
      <c r="O93">
        <f>VLOOKUP($C93,Table1[],7,FALSE)</f>
        <v>308</v>
      </c>
      <c r="P93" t="str">
        <f>_xlfn.XLOOKUP($B93,Table3[Store_ID],Table3[Store_Name])</f>
        <v>Aguirre-Keller</v>
      </c>
      <c r="Q93" t="str" cm="1">
        <f t="array" ref="Q93">_xlfn.XLOOKUP($B93,Store_Dim!$A$2:$A$21,Table3[Region])</f>
        <v>South</v>
      </c>
      <c r="R93" t="str" cm="1">
        <f t="array" ref="R93">_xlfn.XLOOKUP($B93,Store_Dim!$A$2:$A$21,Table3[Store_Type])</f>
        <v>Online</v>
      </c>
      <c r="S93">
        <f>VLOOKUP(Table7[[#This Row],[Customer ID]],Table6[[Customer_ID]:[Total_Amount]],8,FALSE)</f>
        <v>50.407799999999988</v>
      </c>
    </row>
    <row r="94" spans="1:19" x14ac:dyDescent="0.3">
      <c r="A94" t="s">
        <v>330</v>
      </c>
      <c r="B94" t="str">
        <f>_xlfn.XLOOKUP(Table7[[#This Row],[Customer ID]],Table6[Customer_ID],Table6[Store_ID])</f>
        <v>STORE12</v>
      </c>
      <c r="C94" t="str">
        <f>_xlfn.XLOOKUP(Table7[[#This Row],[Customer ID]],Table6[Customer_ID],Table6[Product_ID])</f>
        <v>PROD5</v>
      </c>
      <c r="D94" t="str">
        <f>VLOOKUP(Table7[[#This Row],[Customer ID]],Table4[#All],2,FALSE)</f>
        <v>Christy Vasquez</v>
      </c>
      <c r="E94">
        <f>VLOOKUP($A94,Table4[],3,FALSE)</f>
        <v>28</v>
      </c>
      <c r="F94" t="str">
        <f>VLOOKUP($A94,Table4[],4,FALSE)</f>
        <v>Female</v>
      </c>
      <c r="G94" t="str">
        <f>VLOOKUP($A94,Table4[],5,FALSE)</f>
        <v>Port Travisstad</v>
      </c>
      <c r="H94" t="str">
        <f>VLOOKUP($A94,Table4[],6,FALSE)</f>
        <v>South Carolina</v>
      </c>
      <c r="I94" t="str">
        <f>VLOOKUP($A94,Table4[],8,FALSE)</f>
        <v>Gold</v>
      </c>
      <c r="J94" t="str">
        <f>VLOOKUP($C94,Table1[],2,FALSE)</f>
        <v>Men's Leather Belt</v>
      </c>
      <c r="K94" t="str">
        <f>VLOOKUP($C94,Table1[],3,FALSE)</f>
        <v>Clothing</v>
      </c>
      <c r="L94" t="str">
        <f>VLOOKUP($C94,Table1[],4,FALSE)</f>
        <v>Accessories</v>
      </c>
      <c r="M94" t="str">
        <f>VLOOKUP($C94,Table1[],5,FALSE)</f>
        <v>Baldwin, Garza and Gonzalez</v>
      </c>
      <c r="N94">
        <f>VLOOKUP($C94,Table1[],6,FALSE)</f>
        <v>261</v>
      </c>
      <c r="O94">
        <f>VLOOKUP($C94,Table1[],7,FALSE)</f>
        <v>59</v>
      </c>
      <c r="P94" t="str">
        <f>_xlfn.XLOOKUP($B94,Table3[Store_ID],Table3[Store_Name])</f>
        <v>Thomas, Bridges and Harris</v>
      </c>
      <c r="Q94" t="str" cm="1">
        <f t="array" ref="Q94">_xlfn.XLOOKUP($B94,Store_Dim!$A$2:$A$21,Table3[Region])</f>
        <v>North</v>
      </c>
      <c r="R94" t="str" cm="1">
        <f t="array" ref="R94">_xlfn.XLOOKUP($B94,Store_Dim!$A$2:$A$21,Table3[Store_Type])</f>
        <v>Online</v>
      </c>
      <c r="S94">
        <f>VLOOKUP(Table7[[#This Row],[Customer ID]],Table6[[Customer_ID]:[Total_Amount]],8,FALSE)</f>
        <v>1432.2744</v>
      </c>
    </row>
    <row r="95" spans="1:19" x14ac:dyDescent="0.3">
      <c r="A95" t="s">
        <v>333</v>
      </c>
      <c r="B95" t="str">
        <f>_xlfn.XLOOKUP(Table7[[#This Row],[Customer ID]],Table6[Customer_ID],Table6[Store_ID])</f>
        <v>STORE4</v>
      </c>
      <c r="C95" t="str">
        <f>_xlfn.XLOOKUP(Table7[[#This Row],[Customer ID]],Table6[Customer_ID],Table6[Product_ID])</f>
        <v>PROD39</v>
      </c>
      <c r="D95" t="str">
        <f>VLOOKUP(Table7[[#This Row],[Customer ID]],Table4[#All],2,FALSE)</f>
        <v>David Patterson</v>
      </c>
      <c r="E95">
        <f>VLOOKUP($A95,Table4[],3,FALSE)</f>
        <v>43</v>
      </c>
      <c r="F95" t="str">
        <f>VLOOKUP($A95,Table4[],4,FALSE)</f>
        <v>Female</v>
      </c>
      <c r="G95" t="str">
        <f>VLOOKUP($A95,Table4[],5,FALSE)</f>
        <v>New Amyport</v>
      </c>
      <c r="H95" t="str">
        <f>VLOOKUP($A95,Table4[],6,FALSE)</f>
        <v>Nevada</v>
      </c>
      <c r="I95" t="str">
        <f>VLOOKUP($A95,Table4[],8,FALSE)</f>
        <v>Gold</v>
      </c>
      <c r="J95" t="str">
        <f>VLOOKUP($C95,Table1[],2,FALSE)</f>
        <v>Portable Power Bank</v>
      </c>
      <c r="K95" t="str">
        <f>VLOOKUP($C95,Table1[],3,FALSE)</f>
        <v>Electronics</v>
      </c>
      <c r="L95" t="str">
        <f>VLOOKUP($C95,Table1[],4,FALSE)</f>
        <v>Mobile</v>
      </c>
      <c r="M95" t="str">
        <f>VLOOKUP($C95,Table1[],5,FALSE)</f>
        <v>Cummings and Sons</v>
      </c>
      <c r="N95">
        <f>VLOOKUP($C95,Table1[],6,FALSE)</f>
        <v>326.06</v>
      </c>
      <c r="O95">
        <f>VLOOKUP($C95,Table1[],7,FALSE)</f>
        <v>301</v>
      </c>
      <c r="P95" t="str">
        <f>_xlfn.XLOOKUP($B95,Table3[Store_ID],Table3[Store_Name])</f>
        <v>Alexander Group</v>
      </c>
      <c r="Q95" t="str" cm="1">
        <f t="array" ref="Q95">_xlfn.XLOOKUP($B95,Store_Dim!$A$2:$A$21,Table3[Region])</f>
        <v>South</v>
      </c>
      <c r="R95" t="str" cm="1">
        <f t="array" ref="R95">_xlfn.XLOOKUP($B95,Store_Dim!$A$2:$A$21,Table3[Store_Type])</f>
        <v>Online</v>
      </c>
      <c r="S95">
        <f>VLOOKUP(Table7[[#This Row],[Customer ID]],Table6[[Customer_ID]:[Total_Amount]],8,FALSE)</f>
        <v>838.84500000000003</v>
      </c>
    </row>
    <row r="96" spans="1:19" x14ac:dyDescent="0.3">
      <c r="A96" t="s">
        <v>336</v>
      </c>
      <c r="B96" t="str">
        <f>_xlfn.XLOOKUP(Table7[[#This Row],[Customer ID]],Table6[Customer_ID],Table6[Store_ID])</f>
        <v>STORE10</v>
      </c>
      <c r="C96" t="str">
        <f>_xlfn.XLOOKUP(Table7[[#This Row],[Customer ID]],Table6[Customer_ID],Table6[Product_ID])</f>
        <v>PROD40</v>
      </c>
      <c r="D96" t="str">
        <f>VLOOKUP(Table7[[#This Row],[Customer ID]],Table4[#All],2,FALSE)</f>
        <v>Amy Fowler</v>
      </c>
      <c r="E96">
        <f>VLOOKUP($A96,Table4[],3,FALSE)</f>
        <v>62</v>
      </c>
      <c r="F96" t="str">
        <f>VLOOKUP($A96,Table4[],4,FALSE)</f>
        <v>Female</v>
      </c>
      <c r="G96" t="str">
        <f>VLOOKUP($A96,Table4[],5,FALSE)</f>
        <v>West Bobbyshire</v>
      </c>
      <c r="H96" t="str">
        <f>VLOOKUP($A96,Table4[],6,FALSE)</f>
        <v>New York</v>
      </c>
      <c r="I96" t="str">
        <f>VLOOKUP($A96,Table4[],8,FALSE)</f>
        <v>Platinum</v>
      </c>
      <c r="J96" t="str">
        <f>VLOOKUP($C96,Table1[],2,FALSE)</f>
        <v>Noise-Canceling Headphones</v>
      </c>
      <c r="K96" t="str">
        <f>VLOOKUP($C96,Table1[],3,FALSE)</f>
        <v>Electronics</v>
      </c>
      <c r="L96" t="str">
        <f>VLOOKUP($C96,Table1[],4,FALSE)</f>
        <v>Audio</v>
      </c>
      <c r="M96" t="str">
        <f>VLOOKUP($C96,Table1[],5,FALSE)</f>
        <v>Taylor-Hart</v>
      </c>
      <c r="N96">
        <f>VLOOKUP($C96,Table1[],6,FALSE)</f>
        <v>38.520000000000003</v>
      </c>
      <c r="O96">
        <f>VLOOKUP($C96,Table1[],7,FALSE)</f>
        <v>378</v>
      </c>
      <c r="P96" t="str">
        <f>_xlfn.XLOOKUP($B96,Table3[Store_ID],Table3[Store_Name])</f>
        <v>Hill, Wagner and Ballard</v>
      </c>
      <c r="Q96" t="str" cm="1">
        <f t="array" ref="Q96">_xlfn.XLOOKUP($B96,Store_Dim!$A$2:$A$21,Table3[Region])</f>
        <v>East</v>
      </c>
      <c r="R96" t="str" cm="1">
        <f t="array" ref="R96">_xlfn.XLOOKUP($B96,Store_Dim!$A$2:$A$21,Table3[Store_Type])</f>
        <v>Online</v>
      </c>
      <c r="S96">
        <f>VLOOKUP(Table7[[#This Row],[Customer ID]],Table6[[Customer_ID]:[Total_Amount]],8,FALSE)</f>
        <v>1592.4947999999999</v>
      </c>
    </row>
    <row r="97" spans="1:19" x14ac:dyDescent="0.3">
      <c r="A97" t="s">
        <v>339</v>
      </c>
      <c r="B97" t="str">
        <f>_xlfn.XLOOKUP(Table7[[#This Row],[Customer ID]],Table6[Customer_ID],Table6[Store_ID])</f>
        <v>STORE6</v>
      </c>
      <c r="C97" t="str">
        <f>_xlfn.XLOOKUP(Table7[[#This Row],[Customer ID]],Table6[Customer_ID],Table6[Product_ID])</f>
        <v>PROD65</v>
      </c>
      <c r="D97" t="str">
        <f>VLOOKUP(Table7[[#This Row],[Customer ID]],Table4[#All],2,FALSE)</f>
        <v>Samantha Walker</v>
      </c>
      <c r="E97">
        <f>VLOOKUP($A97,Table4[],3,FALSE)</f>
        <v>30</v>
      </c>
      <c r="F97" t="str">
        <f>VLOOKUP($A97,Table4[],4,FALSE)</f>
        <v>Female</v>
      </c>
      <c r="G97" t="str">
        <f>VLOOKUP($A97,Table4[],5,FALSE)</f>
        <v>Timothyburgh</v>
      </c>
      <c r="H97" t="str">
        <f>VLOOKUP($A97,Table4[],6,FALSE)</f>
        <v>Louisiana</v>
      </c>
      <c r="I97" t="str">
        <f>VLOOKUP($A97,Table4[],8,FALSE)</f>
        <v>Platinum</v>
      </c>
      <c r="J97" t="str">
        <f>VLOOKUP($C97,Table1[],2,FALSE)</f>
        <v>Adjustable Dumbbells 20kg</v>
      </c>
      <c r="K97" t="str">
        <f>VLOOKUP($C97,Table1[],3,FALSE)</f>
        <v>Sports</v>
      </c>
      <c r="L97" t="str">
        <f>VLOOKUP($C97,Table1[],4,FALSE)</f>
        <v>Fitness</v>
      </c>
      <c r="M97" t="str">
        <f>VLOOKUP($C97,Table1[],5,FALSE)</f>
        <v>Montgomery, Benton and Miller</v>
      </c>
      <c r="N97">
        <f>VLOOKUP($C97,Table1[],6,FALSE)</f>
        <v>240.63</v>
      </c>
      <c r="O97">
        <f>VLOOKUP($C97,Table1[],7,FALSE)</f>
        <v>423</v>
      </c>
      <c r="P97" t="str">
        <f>_xlfn.XLOOKUP($B97,Table3[Store_ID],Table3[Store_Name])</f>
        <v>Benson-Elliott</v>
      </c>
      <c r="Q97" t="str" cm="1">
        <f t="array" ref="Q97">_xlfn.XLOOKUP($B97,Store_Dim!$A$2:$A$21,Table3[Region])</f>
        <v>East</v>
      </c>
      <c r="R97" t="str" cm="1">
        <f t="array" ref="R97">_xlfn.XLOOKUP($B97,Store_Dim!$A$2:$A$21,Table3[Store_Type])</f>
        <v>Online</v>
      </c>
      <c r="S97">
        <f>VLOOKUP(Table7[[#This Row],[Customer ID]],Table6[[Customer_ID]:[Total_Amount]],8,FALSE)</f>
        <v>1447.2216000000001</v>
      </c>
    </row>
    <row r="98" spans="1:19" x14ac:dyDescent="0.3">
      <c r="A98" t="s">
        <v>342</v>
      </c>
      <c r="B98" t="str">
        <f>_xlfn.XLOOKUP(Table7[[#This Row],[Customer ID]],Table6[Customer_ID],Table6[Store_ID])</f>
        <v>STORE12</v>
      </c>
      <c r="C98" t="str">
        <f>_xlfn.XLOOKUP(Table7[[#This Row],[Customer ID]],Table6[Customer_ID],Table6[Product_ID])</f>
        <v>PROD80</v>
      </c>
      <c r="D98" t="str">
        <f>VLOOKUP(Table7[[#This Row],[Customer ID]],Table4[#All],2,FALSE)</f>
        <v>David Cobb</v>
      </c>
      <c r="E98">
        <f>VLOOKUP($A98,Table4[],3,FALSE)</f>
        <v>36</v>
      </c>
      <c r="F98" t="str">
        <f>VLOOKUP($A98,Table4[],4,FALSE)</f>
        <v>Male</v>
      </c>
      <c r="G98" t="str">
        <f>VLOOKUP($A98,Table4[],5,FALSE)</f>
        <v>Lake Thomas</v>
      </c>
      <c r="H98" t="str">
        <f>VLOOKUP($A98,Table4[],6,FALSE)</f>
        <v>South Dakota</v>
      </c>
      <c r="I98" t="str">
        <f>VLOOKUP($A98,Table4[],8,FALSE)</f>
        <v>Silver</v>
      </c>
      <c r="J98" t="str">
        <f>VLOOKUP($C98,Table1[],2,FALSE)</f>
        <v>Wall-Mounted Spice Rack</v>
      </c>
      <c r="K98" t="str">
        <f>VLOOKUP($C98,Table1[],3,FALSE)</f>
        <v>Home</v>
      </c>
      <c r="L98" t="str">
        <f>VLOOKUP($C98,Table1[],4,FALSE)</f>
        <v>Kitchen</v>
      </c>
      <c r="M98" t="str">
        <f>VLOOKUP($C98,Table1[],5,FALSE)</f>
        <v>Allison Ltd</v>
      </c>
      <c r="N98">
        <f>VLOOKUP($C98,Table1[],6,FALSE)</f>
        <v>143.43</v>
      </c>
      <c r="O98">
        <f>VLOOKUP($C98,Table1[],7,FALSE)</f>
        <v>58</v>
      </c>
      <c r="P98" t="str">
        <f>_xlfn.XLOOKUP($B98,Table3[Store_ID],Table3[Store_Name])</f>
        <v>Thomas, Bridges and Harris</v>
      </c>
      <c r="Q98" t="str" cm="1">
        <f t="array" ref="Q98">_xlfn.XLOOKUP($B98,Store_Dim!$A$2:$A$21,Table3[Region])</f>
        <v>North</v>
      </c>
      <c r="R98" t="str" cm="1">
        <f t="array" ref="R98">_xlfn.XLOOKUP($B98,Store_Dim!$A$2:$A$21,Table3[Store_Type])</f>
        <v>Online</v>
      </c>
      <c r="S98">
        <f>VLOOKUP(Table7[[#This Row],[Customer ID]],Table6[[Customer_ID]:[Total_Amount]],8,FALSE)</f>
        <v>717.25760000000002</v>
      </c>
    </row>
    <row r="99" spans="1:19" x14ac:dyDescent="0.3">
      <c r="A99" t="s">
        <v>345</v>
      </c>
      <c r="B99" t="str">
        <f>_xlfn.XLOOKUP(Table7[[#This Row],[Customer ID]],Table6[Customer_ID],Table6[Store_ID])</f>
        <v>STORE5</v>
      </c>
      <c r="C99" t="str">
        <f>_xlfn.XLOOKUP(Table7[[#This Row],[Customer ID]],Table6[Customer_ID],Table6[Product_ID])</f>
        <v>PROD62</v>
      </c>
      <c r="D99" t="str">
        <f>VLOOKUP(Table7[[#This Row],[Customer ID]],Table4[#All],2,FALSE)</f>
        <v>Brittney Morgan</v>
      </c>
      <c r="E99">
        <f>VLOOKUP($A99,Table4[],3,FALSE)</f>
        <v>24</v>
      </c>
      <c r="F99" t="str">
        <f>VLOOKUP($A99,Table4[],4,FALSE)</f>
        <v>Male</v>
      </c>
      <c r="G99" t="str">
        <f>VLOOKUP($A99,Table4[],5,FALSE)</f>
        <v>Lake Kaylahaven</v>
      </c>
      <c r="H99" t="str">
        <f>VLOOKUP($A99,Table4[],6,FALSE)</f>
        <v>Alaska</v>
      </c>
      <c r="I99" t="str">
        <f>VLOOKUP($A99,Table4[],8,FALSE)</f>
        <v>Gold</v>
      </c>
      <c r="J99" t="str">
        <f>VLOOKUP($C99,Table1[],2,FALSE)</f>
        <v>Laptop Cooling Pad</v>
      </c>
      <c r="K99" t="str">
        <f>VLOOKUP($C99,Table1[],3,FALSE)</f>
        <v>Electronics</v>
      </c>
      <c r="L99" t="str">
        <f>VLOOKUP($C99,Table1[],4,FALSE)</f>
        <v>Computer</v>
      </c>
      <c r="M99" t="str">
        <f>VLOOKUP($C99,Table1[],5,FALSE)</f>
        <v>Murray, Gould and Ware</v>
      </c>
      <c r="N99">
        <f>VLOOKUP($C99,Table1[],6,FALSE)</f>
        <v>86.42</v>
      </c>
      <c r="O99">
        <f>VLOOKUP($C99,Table1[],7,FALSE)</f>
        <v>222</v>
      </c>
      <c r="P99" t="str">
        <f>_xlfn.XLOOKUP($B99,Table3[Store_ID],Table3[Store_Name])</f>
        <v>Gray Ltd</v>
      </c>
      <c r="Q99" t="str" cm="1">
        <f t="array" ref="Q99">_xlfn.XLOOKUP($B99,Store_Dim!$A$2:$A$21,Table3[Region])</f>
        <v>North</v>
      </c>
      <c r="R99" t="str" cm="1">
        <f t="array" ref="R99">_xlfn.XLOOKUP($B99,Store_Dim!$A$2:$A$21,Table3[Store_Type])</f>
        <v>Outlet</v>
      </c>
      <c r="S99">
        <f>VLOOKUP(Table7[[#This Row],[Customer ID]],Table6[[Customer_ID]:[Total_Amount]],8,FALSE)</f>
        <v>2556.1972000000001</v>
      </c>
    </row>
    <row r="100" spans="1:19" x14ac:dyDescent="0.3">
      <c r="A100" t="s">
        <v>348</v>
      </c>
      <c r="B100" t="str">
        <f>_xlfn.XLOOKUP(Table7[[#This Row],[Customer ID]],Table6[Customer_ID],Table6[Store_ID])</f>
        <v>STORE14</v>
      </c>
      <c r="C100" t="str">
        <f>_xlfn.XLOOKUP(Table7[[#This Row],[Customer ID]],Table6[Customer_ID],Table6[Product_ID])</f>
        <v>PROD26</v>
      </c>
      <c r="D100" t="str">
        <f>VLOOKUP(Table7[[#This Row],[Customer ID]],Table4[#All],2,FALSE)</f>
        <v>Sheila Wilson</v>
      </c>
      <c r="E100">
        <f>VLOOKUP($A100,Table4[],3,FALSE)</f>
        <v>35</v>
      </c>
      <c r="F100" t="str">
        <f>VLOOKUP($A100,Table4[],4,FALSE)</f>
        <v>Male</v>
      </c>
      <c r="G100" t="str">
        <f>VLOOKUP($A100,Table4[],5,FALSE)</f>
        <v>South Dustin</v>
      </c>
      <c r="H100" t="str">
        <f>VLOOKUP($A100,Table4[],6,FALSE)</f>
        <v>Tennessee</v>
      </c>
      <c r="I100" t="str">
        <f>VLOOKUP($A100,Table4[],8,FALSE)</f>
        <v>Silver</v>
      </c>
      <c r="J100" t="str">
        <f>VLOOKUP($C100,Table1[],2,FALSE)</f>
        <v>Wireless Bluetooth Speaker</v>
      </c>
      <c r="K100" t="str">
        <f>VLOOKUP($C100,Table1[],3,FALSE)</f>
        <v>Electronics</v>
      </c>
      <c r="L100" t="str">
        <f>VLOOKUP($C100,Table1[],4,FALSE)</f>
        <v>Audio</v>
      </c>
      <c r="M100" t="str">
        <f>VLOOKUP($C100,Table1[],5,FALSE)</f>
        <v>Reed-Schmidt</v>
      </c>
      <c r="N100">
        <f>VLOOKUP($C100,Table1[],6,FALSE)</f>
        <v>322.41000000000003</v>
      </c>
      <c r="O100">
        <f>VLOOKUP($C100,Table1[],7,FALSE)</f>
        <v>213</v>
      </c>
      <c r="P100" t="str">
        <f>_xlfn.XLOOKUP($B100,Table3[Store_ID],Table3[Store_Name])</f>
        <v>Mcdonald Inc</v>
      </c>
      <c r="Q100" t="str" cm="1">
        <f t="array" ref="Q100">_xlfn.XLOOKUP($B100,Store_Dim!$A$2:$A$21,Table3[Region])</f>
        <v>South</v>
      </c>
      <c r="R100" t="str" cm="1">
        <f t="array" ref="R100">_xlfn.XLOOKUP($B100,Store_Dim!$A$2:$A$21,Table3[Store_Type])</f>
        <v>Outlet</v>
      </c>
      <c r="S100">
        <f>VLOOKUP(Table7[[#This Row],[Customer ID]],Table6[[Customer_ID]:[Total_Amount]],8,FALSE)</f>
        <v>2217.752</v>
      </c>
    </row>
    <row r="101" spans="1:19" x14ac:dyDescent="0.3">
      <c r="A101" t="s">
        <v>351</v>
      </c>
      <c r="B101" t="str">
        <f>_xlfn.XLOOKUP(Table7[[#This Row],[Customer ID]],Table6[Customer_ID],Table6[Store_ID])</f>
        <v>STORE16</v>
      </c>
      <c r="C101" t="str">
        <f>_xlfn.XLOOKUP(Table7[[#This Row],[Customer ID]],Table6[Customer_ID],Table6[Product_ID])</f>
        <v>PROD24</v>
      </c>
      <c r="D101" t="str">
        <f>VLOOKUP(Table7[[#This Row],[Customer ID]],Table4[#All],2,FALSE)</f>
        <v>Diane Watson</v>
      </c>
      <c r="E101">
        <f>VLOOKUP($A101,Table4[],3,FALSE)</f>
        <v>53</v>
      </c>
      <c r="F101" t="str">
        <f>VLOOKUP($A101,Table4[],4,FALSE)</f>
        <v>Female</v>
      </c>
      <c r="G101" t="str">
        <f>VLOOKUP($A101,Table4[],5,FALSE)</f>
        <v>North Codyport</v>
      </c>
      <c r="H101" t="str">
        <f>VLOOKUP($A101,Table4[],6,FALSE)</f>
        <v>Texas</v>
      </c>
      <c r="I101" t="str">
        <f>VLOOKUP($A101,Table4[],8,FALSE)</f>
        <v>Platinum</v>
      </c>
      <c r="J101" t="str">
        <f>VLOOKUP($C101,Table1[],2,FALSE)</f>
        <v>Foldable Camping Chair</v>
      </c>
      <c r="K101" t="str">
        <f>VLOOKUP($C101,Table1[],3,FALSE)</f>
        <v>Sports</v>
      </c>
      <c r="L101" t="str">
        <f>VLOOKUP($C101,Table1[],4,FALSE)</f>
        <v>Outdoor</v>
      </c>
      <c r="M101" t="str">
        <f>VLOOKUP($C101,Table1[],5,FALSE)</f>
        <v>Cook Ltd</v>
      </c>
      <c r="N101">
        <f>VLOOKUP($C101,Table1[],6,FALSE)</f>
        <v>166.06</v>
      </c>
      <c r="O101">
        <f>VLOOKUP($C101,Table1[],7,FALSE)</f>
        <v>340</v>
      </c>
      <c r="P101" t="str">
        <f>_xlfn.XLOOKUP($B101,Table3[Store_ID],Table3[Store_Name])</f>
        <v>Frederick-Wright</v>
      </c>
      <c r="Q101" t="str" cm="1">
        <f t="array" ref="Q101">_xlfn.XLOOKUP($B101,Store_Dim!$A$2:$A$21,Table3[Region])</f>
        <v>West</v>
      </c>
      <c r="R101" t="str" cm="1">
        <f t="array" ref="R101">_xlfn.XLOOKUP($B101,Store_Dim!$A$2:$A$21,Table3[Store_Type])</f>
        <v>Flagship</v>
      </c>
      <c r="S101">
        <f>VLOOKUP(Table7[[#This Row],[Customer ID]],Table6[[Customer_ID]:[Total_Amount]],8,FALSE)</f>
        <v>769.8975999999999</v>
      </c>
    </row>
    <row r="102" spans="1:19" x14ac:dyDescent="0.3">
      <c r="A102" t="s">
        <v>355</v>
      </c>
      <c r="B102" t="str">
        <f>_xlfn.XLOOKUP(Table7[[#This Row],[Customer ID]],Table6[Customer_ID],Table6[Store_ID])</f>
        <v>STORE12</v>
      </c>
      <c r="C102" t="str">
        <f>_xlfn.XLOOKUP(Table7[[#This Row],[Customer ID]],Table6[Customer_ID],Table6[Product_ID])</f>
        <v>PROD89</v>
      </c>
      <c r="D102" t="str">
        <f>VLOOKUP(Table7[[#This Row],[Customer ID]],Table4[#All],2,FALSE)</f>
        <v>Colleen Maynard</v>
      </c>
      <c r="E102">
        <f>VLOOKUP($A102,Table4[],3,FALSE)</f>
        <v>29</v>
      </c>
      <c r="F102" t="str">
        <f>VLOOKUP($A102,Table4[],4,FALSE)</f>
        <v>Male</v>
      </c>
      <c r="G102" t="str">
        <f>VLOOKUP($A102,Table4[],5,FALSE)</f>
        <v>Singletonmouth</v>
      </c>
      <c r="H102" t="str">
        <f>VLOOKUP($A102,Table4[],6,FALSE)</f>
        <v>Utah</v>
      </c>
      <c r="I102" t="str">
        <f>VLOOKUP($A102,Table4[],8,FALSE)</f>
        <v>Gold</v>
      </c>
      <c r="J102" t="str">
        <f>VLOOKUP($C102,Table1[],2,FALSE)</f>
        <v>Face Foundation Kit</v>
      </c>
      <c r="K102" t="str">
        <f>VLOOKUP($C102,Table1[],3,FALSE)</f>
        <v>Beauty</v>
      </c>
      <c r="L102" t="str">
        <f>VLOOKUP($C102,Table1[],4,FALSE)</f>
        <v>Makeup</v>
      </c>
      <c r="M102" t="str">
        <f>VLOOKUP($C102,Table1[],5,FALSE)</f>
        <v>Taylor-Elliott</v>
      </c>
      <c r="N102">
        <f>VLOOKUP($C102,Table1[],6,FALSE)</f>
        <v>183.04</v>
      </c>
      <c r="O102">
        <f>VLOOKUP($C102,Table1[],7,FALSE)</f>
        <v>457</v>
      </c>
      <c r="P102" t="str">
        <f>_xlfn.XLOOKUP($B102,Table3[Store_ID],Table3[Store_Name])</f>
        <v>Thomas, Bridges and Harris</v>
      </c>
      <c r="Q102" t="str" cm="1">
        <f t="array" ref="Q102">_xlfn.XLOOKUP($B102,Store_Dim!$A$2:$A$21,Table3[Region])</f>
        <v>North</v>
      </c>
      <c r="R102" t="str" cm="1">
        <f t="array" ref="R102">_xlfn.XLOOKUP($B102,Store_Dim!$A$2:$A$21,Table3[Store_Type])</f>
        <v>Online</v>
      </c>
      <c r="S102">
        <f>VLOOKUP(Table7[[#This Row],[Customer ID]],Table6[[Customer_ID]:[Total_Amount]],8,FALSE)</f>
        <v>1330.0704000000001</v>
      </c>
    </row>
    <row r="103" spans="1:19" x14ac:dyDescent="0.3">
      <c r="A103" t="s">
        <v>358</v>
      </c>
      <c r="B103" t="str">
        <f>_xlfn.XLOOKUP(Table7[[#This Row],[Customer ID]],Table6[Customer_ID],Table6[Store_ID])</f>
        <v>STORE11</v>
      </c>
      <c r="C103" t="str">
        <f>_xlfn.XLOOKUP(Table7[[#This Row],[Customer ID]],Table6[Customer_ID],Table6[Product_ID])</f>
        <v>PROD98</v>
      </c>
      <c r="D103" t="str">
        <f>VLOOKUP(Table7[[#This Row],[Customer ID]],Table4[#All],2,FALSE)</f>
        <v>Sarah Schneider</v>
      </c>
      <c r="E103">
        <f>VLOOKUP($A103,Table4[],3,FALSE)</f>
        <v>34</v>
      </c>
      <c r="F103" t="str">
        <f>VLOOKUP($A103,Table4[],4,FALSE)</f>
        <v>Female</v>
      </c>
      <c r="G103" t="str">
        <f>VLOOKUP($A103,Table4[],5,FALSE)</f>
        <v>Port Joshuachester</v>
      </c>
      <c r="H103" t="str">
        <f>VLOOKUP($A103,Table4[],6,FALSE)</f>
        <v>Pennsylvania</v>
      </c>
      <c r="I103" t="str">
        <f>VLOOKUP($A103,Table4[],8,FALSE)</f>
        <v>Bronze</v>
      </c>
      <c r="J103" t="str">
        <f>VLOOKUP($C103,Table1[],2,FALSE)</f>
        <v>Portable Bluetooth Speaker</v>
      </c>
      <c r="K103" t="str">
        <f>VLOOKUP($C103,Table1[],3,FALSE)</f>
        <v>Electronics</v>
      </c>
      <c r="L103" t="str">
        <f>VLOOKUP($C103,Table1[],4,FALSE)</f>
        <v>Audio</v>
      </c>
      <c r="M103" t="str">
        <f>VLOOKUP($C103,Table1[],5,FALSE)</f>
        <v>Flores-King</v>
      </c>
      <c r="N103">
        <f>VLOOKUP($C103,Table1[],6,FALSE)</f>
        <v>431.67</v>
      </c>
      <c r="O103">
        <f>VLOOKUP($C103,Table1[],7,FALSE)</f>
        <v>73</v>
      </c>
      <c r="P103" t="str">
        <f>_xlfn.XLOOKUP($B103,Table3[Store_ID],Table3[Store_Name])</f>
        <v>Aguirre-Keller</v>
      </c>
      <c r="Q103" t="str" cm="1">
        <f t="array" ref="Q103">_xlfn.XLOOKUP($B103,Store_Dim!$A$2:$A$21,Table3[Region])</f>
        <v>South</v>
      </c>
      <c r="R103" t="str" cm="1">
        <f t="array" ref="R103">_xlfn.XLOOKUP($B103,Store_Dim!$A$2:$A$21,Table3[Store_Type])</f>
        <v>Online</v>
      </c>
      <c r="S103">
        <f>VLOOKUP(Table7[[#This Row],[Customer ID]],Table6[[Customer_ID]:[Total_Amount]],8,FALSE)</f>
        <v>477.65519999999998</v>
      </c>
    </row>
    <row r="104" spans="1:19" x14ac:dyDescent="0.3">
      <c r="A104" t="s">
        <v>361</v>
      </c>
      <c r="B104" t="str">
        <f>_xlfn.XLOOKUP(Table7[[#This Row],[Customer ID]],Table6[Customer_ID],Table6[Store_ID])</f>
        <v>STORE19</v>
      </c>
      <c r="C104" t="str">
        <f>_xlfn.XLOOKUP(Table7[[#This Row],[Customer ID]],Table6[Customer_ID],Table6[Product_ID])</f>
        <v>PROD89</v>
      </c>
      <c r="D104" t="str">
        <f>VLOOKUP(Table7[[#This Row],[Customer ID]],Table4[#All],2,FALSE)</f>
        <v>Steven Stein</v>
      </c>
      <c r="E104">
        <f>VLOOKUP($A104,Table4[],3,FALSE)</f>
        <v>21</v>
      </c>
      <c r="F104" t="str">
        <f>VLOOKUP($A104,Table4[],4,FALSE)</f>
        <v>Male</v>
      </c>
      <c r="G104" t="str">
        <f>VLOOKUP($A104,Table4[],5,FALSE)</f>
        <v>West Lauren</v>
      </c>
      <c r="H104" t="str">
        <f>VLOOKUP($A104,Table4[],6,FALSE)</f>
        <v>Connecticut</v>
      </c>
      <c r="I104" t="str">
        <f>VLOOKUP($A104,Table4[],8,FALSE)</f>
        <v>Bronze</v>
      </c>
      <c r="J104" t="str">
        <f>VLOOKUP($C104,Table1[],2,FALSE)</f>
        <v>Face Foundation Kit</v>
      </c>
      <c r="K104" t="str">
        <f>VLOOKUP($C104,Table1[],3,FALSE)</f>
        <v>Beauty</v>
      </c>
      <c r="L104" t="str">
        <f>VLOOKUP($C104,Table1[],4,FALSE)</f>
        <v>Makeup</v>
      </c>
      <c r="M104" t="str">
        <f>VLOOKUP($C104,Table1[],5,FALSE)</f>
        <v>Taylor-Elliott</v>
      </c>
      <c r="N104">
        <f>VLOOKUP($C104,Table1[],6,FALSE)</f>
        <v>183.04</v>
      </c>
      <c r="O104">
        <f>VLOOKUP($C104,Table1[],7,FALSE)</f>
        <v>457</v>
      </c>
      <c r="P104" t="str">
        <f>_xlfn.XLOOKUP($B104,Table3[Store_ID],Table3[Store_Name])</f>
        <v>Mann-Austin</v>
      </c>
      <c r="Q104" t="str" cm="1">
        <f t="array" ref="Q104">_xlfn.XLOOKUP($B104,Store_Dim!$A$2:$A$21,Table3[Region])</f>
        <v>East</v>
      </c>
      <c r="R104" t="str" cm="1">
        <f t="array" ref="R104">_xlfn.XLOOKUP($B104,Store_Dim!$A$2:$A$21,Table3[Store_Type])</f>
        <v>Online</v>
      </c>
      <c r="S104">
        <f>VLOOKUP(Table7[[#This Row],[Customer ID]],Table6[[Customer_ID]:[Total_Amount]],8,FALSE)</f>
        <v>2176.2280000000001</v>
      </c>
    </row>
    <row r="105" spans="1:19" x14ac:dyDescent="0.3">
      <c r="A105" t="s">
        <v>364</v>
      </c>
      <c r="B105" t="str">
        <f>_xlfn.XLOOKUP(Table7[[#This Row],[Customer ID]],Table6[Customer_ID],Table6[Store_ID])</f>
        <v>STORE12</v>
      </c>
      <c r="C105" t="str">
        <f>_xlfn.XLOOKUP(Table7[[#This Row],[Customer ID]],Table6[Customer_ID],Table6[Product_ID])</f>
        <v>PROD25</v>
      </c>
      <c r="D105" t="str">
        <f>VLOOKUP(Table7[[#This Row],[Customer ID]],Table4[#All],2,FALSE)</f>
        <v>Christopher Lester</v>
      </c>
      <c r="E105">
        <f>VLOOKUP($A105,Table4[],3,FALSE)</f>
        <v>64</v>
      </c>
      <c r="F105" t="str">
        <f>VLOOKUP($A105,Table4[],4,FALSE)</f>
        <v>Male</v>
      </c>
      <c r="G105" t="str">
        <f>VLOOKUP($A105,Table4[],5,FALSE)</f>
        <v>South Jenniferville</v>
      </c>
      <c r="H105" t="str">
        <f>VLOOKUP($A105,Table4[],6,FALSE)</f>
        <v>Georgia</v>
      </c>
      <c r="I105" t="str">
        <f>VLOOKUP($A105,Table4[],8,FALSE)</f>
        <v>Silver</v>
      </c>
      <c r="J105" t="str">
        <f>VLOOKUP($C105,Table1[],2,FALSE)</f>
        <v>Women's Scarf Set</v>
      </c>
      <c r="K105" t="str">
        <f>VLOOKUP($C105,Table1[],3,FALSE)</f>
        <v>Clothing</v>
      </c>
      <c r="L105" t="str">
        <f>VLOOKUP($C105,Table1[],4,FALSE)</f>
        <v>Accessories</v>
      </c>
      <c r="M105" t="str">
        <f>VLOOKUP($C105,Table1[],5,FALSE)</f>
        <v>Brown and Sons</v>
      </c>
      <c r="N105">
        <f>VLOOKUP($C105,Table1[],6,FALSE)</f>
        <v>174.02</v>
      </c>
      <c r="O105">
        <f>VLOOKUP($C105,Table1[],7,FALSE)</f>
        <v>268</v>
      </c>
      <c r="P105" t="str">
        <f>_xlfn.XLOOKUP($B105,Table3[Store_ID],Table3[Store_Name])</f>
        <v>Thomas, Bridges and Harris</v>
      </c>
      <c r="Q105" t="str" cm="1">
        <f t="array" ref="Q105">_xlfn.XLOOKUP($B105,Store_Dim!$A$2:$A$21,Table3[Region])</f>
        <v>North</v>
      </c>
      <c r="R105" t="str" cm="1">
        <f t="array" ref="R105">_xlfn.XLOOKUP($B105,Store_Dim!$A$2:$A$21,Table3[Store_Type])</f>
        <v>Online</v>
      </c>
      <c r="S105">
        <f>VLOOKUP(Table7[[#This Row],[Customer ID]],Table6[[Customer_ID]:[Total_Amount]],8,FALSE)</f>
        <v>612.16679999999997</v>
      </c>
    </row>
    <row r="106" spans="1:19" x14ac:dyDescent="0.3">
      <c r="A106" t="s">
        <v>367</v>
      </c>
      <c r="B106" t="str">
        <f>_xlfn.XLOOKUP(Table7[[#This Row],[Customer ID]],Table6[Customer_ID],Table6[Store_ID])</f>
        <v>STORE11</v>
      </c>
      <c r="C106" t="str">
        <f>_xlfn.XLOOKUP(Table7[[#This Row],[Customer ID]],Table6[Customer_ID],Table6[Product_ID])</f>
        <v>PROD39</v>
      </c>
      <c r="D106" t="str">
        <f>VLOOKUP(Table7[[#This Row],[Customer ID]],Table4[#All],2,FALSE)</f>
        <v>Lance Baker</v>
      </c>
      <c r="E106">
        <f>VLOOKUP($A106,Table4[],3,FALSE)</f>
        <v>50</v>
      </c>
      <c r="F106" t="str">
        <f>VLOOKUP($A106,Table4[],4,FALSE)</f>
        <v>Female</v>
      </c>
      <c r="G106" t="str">
        <f>VLOOKUP($A106,Table4[],5,FALSE)</f>
        <v>Port Victoria</v>
      </c>
      <c r="H106" t="str">
        <f>VLOOKUP($A106,Table4[],6,FALSE)</f>
        <v>Florida</v>
      </c>
      <c r="I106" t="str">
        <f>VLOOKUP($A106,Table4[],8,FALSE)</f>
        <v>Gold</v>
      </c>
      <c r="J106" t="str">
        <f>VLOOKUP($C106,Table1[],2,FALSE)</f>
        <v>Portable Power Bank</v>
      </c>
      <c r="K106" t="str">
        <f>VLOOKUP($C106,Table1[],3,FALSE)</f>
        <v>Electronics</v>
      </c>
      <c r="L106" t="str">
        <f>VLOOKUP($C106,Table1[],4,FALSE)</f>
        <v>Mobile</v>
      </c>
      <c r="M106" t="str">
        <f>VLOOKUP($C106,Table1[],5,FALSE)</f>
        <v>Cummings and Sons</v>
      </c>
      <c r="N106">
        <f>VLOOKUP($C106,Table1[],6,FALSE)</f>
        <v>326.06</v>
      </c>
      <c r="O106">
        <f>VLOOKUP($C106,Table1[],7,FALSE)</f>
        <v>301</v>
      </c>
      <c r="P106" t="str">
        <f>_xlfn.XLOOKUP($B106,Table3[Store_ID],Table3[Store_Name])</f>
        <v>Aguirre-Keller</v>
      </c>
      <c r="Q106" t="str" cm="1">
        <f t="array" ref="Q106">_xlfn.XLOOKUP($B106,Store_Dim!$A$2:$A$21,Table3[Region])</f>
        <v>South</v>
      </c>
      <c r="R106" t="str" cm="1">
        <f t="array" ref="R106">_xlfn.XLOOKUP($B106,Store_Dim!$A$2:$A$21,Table3[Store_Type])</f>
        <v>Online</v>
      </c>
      <c r="S106">
        <f>VLOOKUP(Table7[[#This Row],[Customer ID]],Table6[[Customer_ID]:[Total_Amount]],8,FALSE)</f>
        <v>115.5</v>
      </c>
    </row>
    <row r="107" spans="1:19" x14ac:dyDescent="0.3">
      <c r="A107" t="s">
        <v>370</v>
      </c>
      <c r="B107" t="str">
        <f>_xlfn.XLOOKUP(Table7[[#This Row],[Customer ID]],Table6[Customer_ID],Table6[Store_ID])</f>
        <v>STORE16</v>
      </c>
      <c r="C107" t="str">
        <f>_xlfn.XLOOKUP(Table7[[#This Row],[Customer ID]],Table6[Customer_ID],Table6[Product_ID])</f>
        <v>PROD65</v>
      </c>
      <c r="D107" t="str">
        <f>VLOOKUP(Table7[[#This Row],[Customer ID]],Table4[#All],2,FALSE)</f>
        <v>Howard Summers</v>
      </c>
      <c r="E107">
        <f>VLOOKUP($A107,Table4[],3,FALSE)</f>
        <v>53</v>
      </c>
      <c r="F107" t="str">
        <f>VLOOKUP($A107,Table4[],4,FALSE)</f>
        <v>Female</v>
      </c>
      <c r="G107" t="str">
        <f>VLOOKUP($A107,Table4[],5,FALSE)</f>
        <v>East Linda</v>
      </c>
      <c r="H107" t="str">
        <f>VLOOKUP($A107,Table4[],6,FALSE)</f>
        <v>Rhode Island</v>
      </c>
      <c r="I107" t="str">
        <f>VLOOKUP($A107,Table4[],8,FALSE)</f>
        <v>Bronze</v>
      </c>
      <c r="J107" t="str">
        <f>VLOOKUP($C107,Table1[],2,FALSE)</f>
        <v>Adjustable Dumbbells 20kg</v>
      </c>
      <c r="K107" t="str">
        <f>VLOOKUP($C107,Table1[],3,FALSE)</f>
        <v>Sports</v>
      </c>
      <c r="L107" t="str">
        <f>VLOOKUP($C107,Table1[],4,FALSE)</f>
        <v>Fitness</v>
      </c>
      <c r="M107" t="str">
        <f>VLOOKUP($C107,Table1[],5,FALSE)</f>
        <v>Montgomery, Benton and Miller</v>
      </c>
      <c r="N107">
        <f>VLOOKUP($C107,Table1[],6,FALSE)</f>
        <v>240.63</v>
      </c>
      <c r="O107">
        <f>VLOOKUP($C107,Table1[],7,FALSE)</f>
        <v>423</v>
      </c>
      <c r="P107" t="str">
        <f>_xlfn.XLOOKUP($B107,Table3[Store_ID],Table3[Store_Name])</f>
        <v>Frederick-Wright</v>
      </c>
      <c r="Q107" t="str" cm="1">
        <f t="array" ref="Q107">_xlfn.XLOOKUP($B107,Store_Dim!$A$2:$A$21,Table3[Region])</f>
        <v>West</v>
      </c>
      <c r="R107" t="str" cm="1">
        <f t="array" ref="R107">_xlfn.XLOOKUP($B107,Store_Dim!$A$2:$A$21,Table3[Store_Type])</f>
        <v>Flagship</v>
      </c>
      <c r="S107">
        <f>VLOOKUP(Table7[[#This Row],[Customer ID]],Table6[[Customer_ID]:[Total_Amount]],8,FALSE)</f>
        <v>1631.2854</v>
      </c>
    </row>
    <row r="108" spans="1:19" x14ac:dyDescent="0.3">
      <c r="A108" t="s">
        <v>373</v>
      </c>
      <c r="B108" t="str">
        <f>_xlfn.XLOOKUP(Table7[[#This Row],[Customer ID]],Table6[Customer_ID],Table6[Store_ID])</f>
        <v>STORE3</v>
      </c>
      <c r="C108" t="str">
        <f>_xlfn.XLOOKUP(Table7[[#This Row],[Customer ID]],Table6[Customer_ID],Table6[Product_ID])</f>
        <v>PROD75</v>
      </c>
      <c r="D108" t="str">
        <f>VLOOKUP(Table7[[#This Row],[Customer ID]],Table4[#All],2,FALSE)</f>
        <v>Erica Carney</v>
      </c>
      <c r="E108">
        <f>VLOOKUP($A108,Table4[],3,FALSE)</f>
        <v>62</v>
      </c>
      <c r="F108" t="str">
        <f>VLOOKUP($A108,Table4[],4,FALSE)</f>
        <v>Female</v>
      </c>
      <c r="G108" t="str">
        <f>VLOOKUP($A108,Table4[],5,FALSE)</f>
        <v>North Justin</v>
      </c>
      <c r="H108" t="str">
        <f>VLOOKUP($A108,Table4[],6,FALSE)</f>
        <v>North Dakota</v>
      </c>
      <c r="I108" t="str">
        <f>VLOOKUP($A108,Table4[],8,FALSE)</f>
        <v>Platinum</v>
      </c>
      <c r="J108" t="str">
        <f>VLOOKUP($C108,Table1[],2,FALSE)</f>
        <v>Women's Ankle Boots</v>
      </c>
      <c r="K108" t="str">
        <f>VLOOKUP($C108,Table1[],3,FALSE)</f>
        <v>Clothing</v>
      </c>
      <c r="L108" t="str">
        <f>VLOOKUP($C108,Table1[],4,FALSE)</f>
        <v>Footwear</v>
      </c>
      <c r="M108" t="str">
        <f>VLOOKUP($C108,Table1[],5,FALSE)</f>
        <v>Poole PLC</v>
      </c>
      <c r="N108">
        <f>VLOOKUP($C108,Table1[],6,FALSE)</f>
        <v>158.13999999999999</v>
      </c>
      <c r="O108">
        <f>VLOOKUP($C108,Table1[],7,FALSE)</f>
        <v>82</v>
      </c>
      <c r="P108" t="str">
        <f>_xlfn.XLOOKUP($B108,Table3[Store_ID],Table3[Store_Name])</f>
        <v>Johnson-Wright</v>
      </c>
      <c r="Q108" t="str" cm="1">
        <f t="array" ref="Q108">_xlfn.XLOOKUP($B108,Store_Dim!$A$2:$A$21,Table3[Region])</f>
        <v>North</v>
      </c>
      <c r="R108" t="str" cm="1">
        <f t="array" ref="R108">_xlfn.XLOOKUP($B108,Store_Dim!$A$2:$A$21,Table3[Store_Type])</f>
        <v>Outlet</v>
      </c>
      <c r="S108">
        <f>VLOOKUP(Table7[[#This Row],[Customer ID]],Table6[[Customer_ID]:[Total_Amount]],8,FALSE)</f>
        <v>1630.0416</v>
      </c>
    </row>
    <row r="109" spans="1:19" x14ac:dyDescent="0.3">
      <c r="A109" t="s">
        <v>376</v>
      </c>
      <c r="B109" t="str">
        <f>_xlfn.XLOOKUP(Table7[[#This Row],[Customer ID]],Table6[Customer_ID],Table6[Store_ID])</f>
        <v>STORE9</v>
      </c>
      <c r="C109" t="str">
        <f>_xlfn.XLOOKUP(Table7[[#This Row],[Customer ID]],Table6[Customer_ID],Table6[Product_ID])</f>
        <v>PROD30</v>
      </c>
      <c r="D109" t="str">
        <f>VLOOKUP(Table7[[#This Row],[Customer ID]],Table4[#All],2,FALSE)</f>
        <v>Travis Holland</v>
      </c>
      <c r="E109">
        <f>VLOOKUP($A109,Table4[],3,FALSE)</f>
        <v>38</v>
      </c>
      <c r="F109" t="str">
        <f>VLOOKUP($A109,Table4[],4,FALSE)</f>
        <v>Male</v>
      </c>
      <c r="G109" t="str">
        <f>VLOOKUP($A109,Table4[],5,FALSE)</f>
        <v>Webstermouth</v>
      </c>
      <c r="H109" t="str">
        <f>VLOOKUP($A109,Table4[],6,FALSE)</f>
        <v>New Hampshire</v>
      </c>
      <c r="I109" t="str">
        <f>VLOOKUP($A109,Table4[],8,FALSE)</f>
        <v>Bronze</v>
      </c>
      <c r="J109" t="str">
        <f>VLOOKUP($C109,Table1[],2,FALSE)</f>
        <v>Stainless Steel Cutlery Set</v>
      </c>
      <c r="K109" t="str">
        <f>VLOOKUP($C109,Table1[],3,FALSE)</f>
        <v>Home</v>
      </c>
      <c r="L109" t="str">
        <f>VLOOKUP($C109,Table1[],4,FALSE)</f>
        <v>Kitchen</v>
      </c>
      <c r="M109" t="str">
        <f>VLOOKUP($C109,Table1[],5,FALSE)</f>
        <v>Stevens, Fernandez and Martin</v>
      </c>
      <c r="N109">
        <f>VLOOKUP($C109,Table1[],6,FALSE)</f>
        <v>19.52</v>
      </c>
      <c r="O109">
        <f>VLOOKUP($C109,Table1[],7,FALSE)</f>
        <v>57</v>
      </c>
      <c r="P109" t="str">
        <f>_xlfn.XLOOKUP($B109,Table3[Store_ID],Table3[Store_Name])</f>
        <v>Moore, Padilla and Butler</v>
      </c>
      <c r="Q109" t="str" cm="1">
        <f t="array" ref="Q109">_xlfn.XLOOKUP($B109,Store_Dim!$A$2:$A$21,Table3[Region])</f>
        <v>South</v>
      </c>
      <c r="R109" t="str" cm="1">
        <f t="array" ref="R109">_xlfn.XLOOKUP($B109,Store_Dim!$A$2:$A$21,Table3[Store_Type])</f>
        <v>Flagship</v>
      </c>
      <c r="S109">
        <f>VLOOKUP(Table7[[#This Row],[Customer ID]],Table6[[Customer_ID]:[Total_Amount]],8,FALSE)</f>
        <v>798.55200000000013</v>
      </c>
    </row>
    <row r="110" spans="1:19" x14ac:dyDescent="0.3">
      <c r="A110" t="s">
        <v>379</v>
      </c>
      <c r="B110" t="str">
        <f>_xlfn.XLOOKUP(Table7[[#This Row],[Customer ID]],Table6[Customer_ID],Table6[Store_ID])</f>
        <v>STORE11</v>
      </c>
      <c r="C110" t="str">
        <f>_xlfn.XLOOKUP(Table7[[#This Row],[Customer ID]],Table6[Customer_ID],Table6[Product_ID])</f>
        <v>PROD34</v>
      </c>
      <c r="D110" t="str">
        <f>VLOOKUP(Table7[[#This Row],[Customer ID]],Table4[#All],2,FALSE)</f>
        <v>Amy Walker</v>
      </c>
      <c r="E110">
        <f>VLOOKUP($A110,Table4[],3,FALSE)</f>
        <v>27</v>
      </c>
      <c r="F110" t="str">
        <f>VLOOKUP($A110,Table4[],4,FALSE)</f>
        <v>Male</v>
      </c>
      <c r="G110" t="str">
        <f>VLOOKUP($A110,Table4[],5,FALSE)</f>
        <v>Smithland</v>
      </c>
      <c r="H110" t="str">
        <f>VLOOKUP($A110,Table4[],6,FALSE)</f>
        <v>West Virginia</v>
      </c>
      <c r="I110" t="str">
        <f>VLOOKUP($A110,Table4[],8,FALSE)</f>
        <v>Silver</v>
      </c>
      <c r="J110" t="str">
        <f>VLOOKUP($C110,Table1[],2,FALSE)</f>
        <v>Gaming Mechanical Keyboard</v>
      </c>
      <c r="K110" t="str">
        <f>VLOOKUP($C110,Table1[],3,FALSE)</f>
        <v>Electronics</v>
      </c>
      <c r="L110" t="str">
        <f>VLOOKUP($C110,Table1[],4,FALSE)</f>
        <v>Computer</v>
      </c>
      <c r="M110" t="str">
        <f>VLOOKUP($C110,Table1[],5,FALSE)</f>
        <v>Lucero LLC</v>
      </c>
      <c r="N110">
        <f>VLOOKUP($C110,Table1[],6,FALSE)</f>
        <v>419.28</v>
      </c>
      <c r="O110">
        <f>VLOOKUP($C110,Table1[],7,FALSE)</f>
        <v>86</v>
      </c>
      <c r="P110" t="str">
        <f>_xlfn.XLOOKUP($B110,Table3[Store_ID],Table3[Store_Name])</f>
        <v>Aguirre-Keller</v>
      </c>
      <c r="Q110" t="str" cm="1">
        <f t="array" ref="Q110">_xlfn.XLOOKUP($B110,Store_Dim!$A$2:$A$21,Table3[Region])</f>
        <v>South</v>
      </c>
      <c r="R110" t="str" cm="1">
        <f t="array" ref="R110">_xlfn.XLOOKUP($B110,Store_Dim!$A$2:$A$21,Table3[Store_Type])</f>
        <v>Online</v>
      </c>
      <c r="S110">
        <f>VLOOKUP(Table7[[#This Row],[Customer ID]],Table6[[Customer_ID]:[Total_Amount]],8,FALSE)</f>
        <v>621.27</v>
      </c>
    </row>
    <row r="111" spans="1:19" x14ac:dyDescent="0.3">
      <c r="A111" t="s">
        <v>382</v>
      </c>
      <c r="B111" t="str">
        <f>_xlfn.XLOOKUP(Table7[[#This Row],[Customer ID]],Table6[Customer_ID],Table6[Store_ID])</f>
        <v>STORE17</v>
      </c>
      <c r="C111" t="str">
        <f>_xlfn.XLOOKUP(Table7[[#This Row],[Customer ID]],Table6[Customer_ID],Table6[Product_ID])</f>
        <v>PROD8</v>
      </c>
      <c r="D111" t="str">
        <f>VLOOKUP(Table7[[#This Row],[Customer ID]],Table4[#All],2,FALSE)</f>
        <v>Ashley Griffin</v>
      </c>
      <c r="E111">
        <f>VLOOKUP($A111,Table4[],3,FALSE)</f>
        <v>40</v>
      </c>
      <c r="F111" t="str">
        <f>VLOOKUP($A111,Table4[],4,FALSE)</f>
        <v>Female</v>
      </c>
      <c r="G111" t="str">
        <f>VLOOKUP($A111,Table4[],5,FALSE)</f>
        <v>New Dawnton</v>
      </c>
      <c r="H111" t="str">
        <f>VLOOKUP($A111,Table4[],6,FALSE)</f>
        <v>Maryland</v>
      </c>
      <c r="I111" t="str">
        <f>VLOOKUP($A111,Table4[],8,FALSE)</f>
        <v>Gold</v>
      </c>
      <c r="J111" t="str">
        <f>VLOOKUP($C111,Table1[],2,FALSE)</f>
        <v>Wireless Bluetooth Earbuds</v>
      </c>
      <c r="K111" t="str">
        <f>VLOOKUP($C111,Table1[],3,FALSE)</f>
        <v>Electronics</v>
      </c>
      <c r="L111" t="str">
        <f>VLOOKUP($C111,Table1[],4,FALSE)</f>
        <v>Audio</v>
      </c>
      <c r="M111" t="str">
        <f>VLOOKUP($C111,Table1[],5,FALSE)</f>
        <v>Perez-Johnston</v>
      </c>
      <c r="N111">
        <f>VLOOKUP($C111,Table1[],6,FALSE)</f>
        <v>439.07</v>
      </c>
      <c r="O111">
        <f>VLOOKUP($C111,Table1[],7,FALSE)</f>
        <v>142</v>
      </c>
      <c r="P111" t="str">
        <f>_xlfn.XLOOKUP($B111,Table3[Store_ID],Table3[Store_Name])</f>
        <v>Holloway Ltd</v>
      </c>
      <c r="Q111" t="str" cm="1">
        <f t="array" ref="Q111">_xlfn.XLOOKUP($B111,Store_Dim!$A$2:$A$21,Table3[Region])</f>
        <v>North</v>
      </c>
      <c r="R111" t="str" cm="1">
        <f t="array" ref="R111">_xlfn.XLOOKUP($B111,Store_Dim!$A$2:$A$21,Table3[Store_Type])</f>
        <v>Flagship</v>
      </c>
      <c r="S111">
        <f>VLOOKUP(Table7[[#This Row],[Customer ID]],Table6[[Customer_ID]:[Total_Amount]],8,FALSE)</f>
        <v>480.75359999999989</v>
      </c>
    </row>
    <row r="112" spans="1:19" x14ac:dyDescent="0.3">
      <c r="A112" t="s">
        <v>385</v>
      </c>
      <c r="B112" t="str">
        <f>_xlfn.XLOOKUP(Table7[[#This Row],[Customer ID]],Table6[Customer_ID],Table6[Store_ID])</f>
        <v>STORE5</v>
      </c>
      <c r="C112" t="str">
        <f>_xlfn.XLOOKUP(Table7[[#This Row],[Customer ID]],Table6[Customer_ID],Table6[Product_ID])</f>
        <v>PROD17</v>
      </c>
      <c r="D112" t="str">
        <f>VLOOKUP(Table7[[#This Row],[Customer ID]],Table4[#All],2,FALSE)</f>
        <v>Julie Farmer</v>
      </c>
      <c r="E112">
        <f>VLOOKUP($A112,Table4[],3,FALSE)</f>
        <v>18</v>
      </c>
      <c r="F112" t="str">
        <f>VLOOKUP($A112,Table4[],4,FALSE)</f>
        <v>Female</v>
      </c>
      <c r="G112" t="str">
        <f>VLOOKUP($A112,Table4[],5,FALSE)</f>
        <v>Rodriguezmouth</v>
      </c>
      <c r="H112" t="str">
        <f>VLOOKUP($A112,Table4[],6,FALSE)</f>
        <v>Arizona</v>
      </c>
      <c r="I112" t="str">
        <f>VLOOKUP($A112,Table4[],8,FALSE)</f>
        <v>Platinum</v>
      </c>
      <c r="J112" t="str">
        <f>VLOOKUP($C112,Table1[],2,FALSE)</f>
        <v>Soccer Training Cone Set</v>
      </c>
      <c r="K112" t="str">
        <f>VLOOKUP($C112,Table1[],3,FALSE)</f>
        <v>Sports</v>
      </c>
      <c r="L112" t="str">
        <f>VLOOKUP($C112,Table1[],4,FALSE)</f>
        <v>Accessories</v>
      </c>
      <c r="M112" t="str">
        <f>VLOOKUP($C112,Table1[],5,FALSE)</f>
        <v>Ford, Murphy and Wilson</v>
      </c>
      <c r="N112">
        <f>VLOOKUP($C112,Table1[],6,FALSE)</f>
        <v>144.53</v>
      </c>
      <c r="O112">
        <f>VLOOKUP($C112,Table1[],7,FALSE)</f>
        <v>367</v>
      </c>
      <c r="P112" t="str">
        <f>_xlfn.XLOOKUP($B112,Table3[Store_ID],Table3[Store_Name])</f>
        <v>Gray Ltd</v>
      </c>
      <c r="Q112" t="str" cm="1">
        <f t="array" ref="Q112">_xlfn.XLOOKUP($B112,Store_Dim!$A$2:$A$21,Table3[Region])</f>
        <v>North</v>
      </c>
      <c r="R112" t="str" cm="1">
        <f t="array" ref="R112">_xlfn.XLOOKUP($B112,Store_Dim!$A$2:$A$21,Table3[Store_Type])</f>
        <v>Outlet</v>
      </c>
      <c r="S112">
        <f>VLOOKUP(Table7[[#This Row],[Customer ID]],Table6[[Customer_ID]:[Total_Amount]],8,FALSE)</f>
        <v>2319.4512</v>
      </c>
    </row>
    <row r="113" spans="1:19" x14ac:dyDescent="0.3">
      <c r="A113" t="s">
        <v>388</v>
      </c>
      <c r="B113" t="str">
        <f>_xlfn.XLOOKUP(Table7[[#This Row],[Customer ID]],Table6[Customer_ID],Table6[Store_ID])</f>
        <v>STORE0</v>
      </c>
      <c r="C113" t="str">
        <f>_xlfn.XLOOKUP(Table7[[#This Row],[Customer ID]],Table6[Customer_ID],Table6[Product_ID])</f>
        <v>PROD40</v>
      </c>
      <c r="D113" t="str">
        <f>VLOOKUP(Table7[[#This Row],[Customer ID]],Table4[#All],2,FALSE)</f>
        <v>David Cole</v>
      </c>
      <c r="E113">
        <f>VLOOKUP($A113,Table4[],3,FALSE)</f>
        <v>27</v>
      </c>
      <c r="F113" t="str">
        <f>VLOOKUP($A113,Table4[],4,FALSE)</f>
        <v>Female</v>
      </c>
      <c r="G113" t="str">
        <f>VLOOKUP($A113,Table4[],5,FALSE)</f>
        <v>Lake Michael</v>
      </c>
      <c r="H113" t="str">
        <f>VLOOKUP($A113,Table4[],6,FALSE)</f>
        <v>Michigan</v>
      </c>
      <c r="I113" t="str">
        <f>VLOOKUP($A113,Table4[],8,FALSE)</f>
        <v>Silver</v>
      </c>
      <c r="J113" t="str">
        <f>VLOOKUP($C113,Table1[],2,FALSE)</f>
        <v>Noise-Canceling Headphones</v>
      </c>
      <c r="K113" t="str">
        <f>VLOOKUP($C113,Table1[],3,FALSE)</f>
        <v>Electronics</v>
      </c>
      <c r="L113" t="str">
        <f>VLOOKUP($C113,Table1[],4,FALSE)</f>
        <v>Audio</v>
      </c>
      <c r="M113" t="str">
        <f>VLOOKUP($C113,Table1[],5,FALSE)</f>
        <v>Taylor-Hart</v>
      </c>
      <c r="N113">
        <f>VLOOKUP($C113,Table1[],6,FALSE)</f>
        <v>38.520000000000003</v>
      </c>
      <c r="O113">
        <f>VLOOKUP($C113,Table1[],7,FALSE)</f>
        <v>378</v>
      </c>
      <c r="P113" t="str">
        <f>_xlfn.XLOOKUP($B113,Table3[Store_ID],Table3[Store_Name])</f>
        <v>Rivera-Warner</v>
      </c>
      <c r="Q113" t="str" cm="1">
        <f t="array" ref="Q113">_xlfn.XLOOKUP($B113,Store_Dim!$A$2:$A$21,Table3[Region])</f>
        <v>East</v>
      </c>
      <c r="R113" t="str" cm="1">
        <f t="array" ref="R113">_xlfn.XLOOKUP($B113,Store_Dim!$A$2:$A$21,Table3[Store_Type])</f>
        <v>Flagship</v>
      </c>
      <c r="S113">
        <f>VLOOKUP(Table7[[#This Row],[Customer ID]],Table6[[Customer_ID]:[Total_Amount]],8,FALSE)</f>
        <v>64.878399999999999</v>
      </c>
    </row>
    <row r="114" spans="1:19" x14ac:dyDescent="0.3">
      <c r="A114" t="s">
        <v>391</v>
      </c>
      <c r="B114" t="str">
        <f>_xlfn.XLOOKUP(Table7[[#This Row],[Customer ID]],Table6[Customer_ID],Table6[Store_ID])</f>
        <v>STORE0</v>
      </c>
      <c r="C114" t="str">
        <f>_xlfn.XLOOKUP(Table7[[#This Row],[Customer ID]],Table6[Customer_ID],Table6[Product_ID])</f>
        <v>PROD47</v>
      </c>
      <c r="D114" t="str">
        <f>VLOOKUP(Table7[[#This Row],[Customer ID]],Table4[#All],2,FALSE)</f>
        <v>Edward Hall</v>
      </c>
      <c r="E114">
        <f>VLOOKUP($A114,Table4[],3,FALSE)</f>
        <v>51</v>
      </c>
      <c r="F114" t="str">
        <f>VLOOKUP($A114,Table4[],4,FALSE)</f>
        <v>Male</v>
      </c>
      <c r="G114" t="str">
        <f>VLOOKUP($A114,Table4[],5,FALSE)</f>
        <v>New William</v>
      </c>
      <c r="H114" t="str">
        <f>VLOOKUP($A114,Table4[],6,FALSE)</f>
        <v>New Mexico</v>
      </c>
      <c r="I114" t="str">
        <f>VLOOKUP($A114,Table4[],8,FALSE)</f>
        <v>Gold</v>
      </c>
      <c r="J114" t="str">
        <f>VLOOKUP($C114,Table1[],2,FALSE)</f>
        <v>Makeup Brush Set</v>
      </c>
      <c r="K114" t="str">
        <f>VLOOKUP($C114,Table1[],3,FALSE)</f>
        <v>Beauty</v>
      </c>
      <c r="L114" t="str">
        <f>VLOOKUP($C114,Table1[],4,FALSE)</f>
        <v>Makeup</v>
      </c>
      <c r="M114" t="str">
        <f>VLOOKUP($C114,Table1[],5,FALSE)</f>
        <v>Cook Inc</v>
      </c>
      <c r="N114">
        <f>VLOOKUP($C114,Table1[],6,FALSE)</f>
        <v>241.07</v>
      </c>
      <c r="O114">
        <f>VLOOKUP($C114,Table1[],7,FALSE)</f>
        <v>431</v>
      </c>
      <c r="P114" t="str">
        <f>_xlfn.XLOOKUP($B114,Table3[Store_ID],Table3[Store_Name])</f>
        <v>Rivera-Warner</v>
      </c>
      <c r="Q114" t="str" cm="1">
        <f t="array" ref="Q114">_xlfn.XLOOKUP($B114,Store_Dim!$A$2:$A$21,Table3[Region])</f>
        <v>East</v>
      </c>
      <c r="R114" t="str" cm="1">
        <f t="array" ref="R114">_xlfn.XLOOKUP($B114,Store_Dim!$A$2:$A$21,Table3[Store_Type])</f>
        <v>Flagship</v>
      </c>
      <c r="S114">
        <f>VLOOKUP(Table7[[#This Row],[Customer ID]],Table6[[Customer_ID]:[Total_Amount]],8,FALSE)</f>
        <v>372.923</v>
      </c>
    </row>
    <row r="115" spans="1:19" x14ac:dyDescent="0.3">
      <c r="A115" t="s">
        <v>394</v>
      </c>
      <c r="B115" t="str">
        <f>_xlfn.XLOOKUP(Table7[[#This Row],[Customer ID]],Table6[Customer_ID],Table6[Store_ID])</f>
        <v>STORE2</v>
      </c>
      <c r="C115" t="str">
        <f>_xlfn.XLOOKUP(Table7[[#This Row],[Customer ID]],Table6[Customer_ID],Table6[Product_ID])</f>
        <v>PROD59</v>
      </c>
      <c r="D115" t="str">
        <f>VLOOKUP(Table7[[#This Row],[Customer ID]],Table4[#All],2,FALSE)</f>
        <v>Ryan Hernandez</v>
      </c>
      <c r="E115">
        <f>VLOOKUP($A115,Table4[],3,FALSE)</f>
        <v>30</v>
      </c>
      <c r="F115" t="str">
        <f>VLOOKUP($A115,Table4[],4,FALSE)</f>
        <v>Male</v>
      </c>
      <c r="G115" t="str">
        <f>VLOOKUP($A115,Table4[],5,FALSE)</f>
        <v>East Donna</v>
      </c>
      <c r="H115" t="str">
        <f>VLOOKUP($A115,Table4[],6,FALSE)</f>
        <v>Nevada</v>
      </c>
      <c r="I115" t="str">
        <f>VLOOKUP($A115,Table4[],8,FALSE)</f>
        <v>Bronze</v>
      </c>
      <c r="J115" t="str">
        <f>VLOOKUP($C115,Table1[],2,FALSE)</f>
        <v>Men's Hair Styling Gel</v>
      </c>
      <c r="K115" t="str">
        <f>VLOOKUP($C115,Table1[],3,FALSE)</f>
        <v>Beauty</v>
      </c>
      <c r="L115" t="str">
        <f>VLOOKUP($C115,Table1[],4,FALSE)</f>
        <v>Haircare</v>
      </c>
      <c r="M115" t="str">
        <f>VLOOKUP($C115,Table1[],5,FALSE)</f>
        <v>Cline-Mccarthy</v>
      </c>
      <c r="N115">
        <f>VLOOKUP($C115,Table1[],6,FALSE)</f>
        <v>17.309999999999999</v>
      </c>
      <c r="O115">
        <f>VLOOKUP($C115,Table1[],7,FALSE)</f>
        <v>399</v>
      </c>
      <c r="P115" t="str">
        <f>_xlfn.XLOOKUP($B115,Table3[Store_ID],Table3[Store_Name])</f>
        <v>Black-Horn</v>
      </c>
      <c r="Q115" t="str" cm="1">
        <f t="array" ref="Q115">_xlfn.XLOOKUP($B115,Store_Dim!$A$2:$A$21,Table3[Region])</f>
        <v>South</v>
      </c>
      <c r="R115" t="str" cm="1">
        <f t="array" ref="R115">_xlfn.XLOOKUP($B115,Store_Dim!$A$2:$A$21,Table3[Store_Type])</f>
        <v>Outlet</v>
      </c>
      <c r="S115">
        <f>VLOOKUP(Table7[[#This Row],[Customer ID]],Table6[[Customer_ID]:[Total_Amount]],8,FALSE)</f>
        <v>129.4</v>
      </c>
    </row>
    <row r="116" spans="1:19" x14ac:dyDescent="0.3">
      <c r="A116" t="s">
        <v>397</v>
      </c>
      <c r="B116" t="str">
        <f>_xlfn.XLOOKUP(Table7[[#This Row],[Customer ID]],Table6[Customer_ID],Table6[Store_ID])</f>
        <v>STORE2</v>
      </c>
      <c r="C116" t="str">
        <f>_xlfn.XLOOKUP(Table7[[#This Row],[Customer ID]],Table6[Customer_ID],Table6[Product_ID])</f>
        <v>PROD21</v>
      </c>
      <c r="D116" t="str">
        <f>VLOOKUP(Table7[[#This Row],[Customer ID]],Table4[#All],2,FALSE)</f>
        <v>Tyler Conrad</v>
      </c>
      <c r="E116">
        <f>VLOOKUP($A116,Table4[],3,FALSE)</f>
        <v>53</v>
      </c>
      <c r="F116" t="str">
        <f>VLOOKUP($A116,Table4[],4,FALSE)</f>
        <v>Female</v>
      </c>
      <c r="G116" t="str">
        <f>VLOOKUP($A116,Table4[],5,FALSE)</f>
        <v>North Curtischester</v>
      </c>
      <c r="H116" t="str">
        <f>VLOOKUP($A116,Table4[],6,FALSE)</f>
        <v>North Dakota</v>
      </c>
      <c r="I116" t="str">
        <f>VLOOKUP($A116,Table4[],8,FALSE)</f>
        <v>Platinum</v>
      </c>
      <c r="J116" t="str">
        <f>VLOOKUP($C116,Table1[],2,FALSE)</f>
        <v>Multi-Purpose Storage Box</v>
      </c>
      <c r="K116" t="str">
        <f>VLOOKUP($C116,Table1[],3,FALSE)</f>
        <v>Home</v>
      </c>
      <c r="L116" t="str">
        <f>VLOOKUP($C116,Table1[],4,FALSE)</f>
        <v>Storage</v>
      </c>
      <c r="M116" t="str">
        <f>VLOOKUP($C116,Table1[],5,FALSE)</f>
        <v>Gardner-Montes</v>
      </c>
      <c r="N116">
        <f>VLOOKUP($C116,Table1[],6,FALSE)</f>
        <v>123.46</v>
      </c>
      <c r="O116">
        <f>VLOOKUP($C116,Table1[],7,FALSE)</f>
        <v>76</v>
      </c>
      <c r="P116" t="str">
        <f>_xlfn.XLOOKUP($B116,Table3[Store_ID],Table3[Store_Name])</f>
        <v>Black-Horn</v>
      </c>
      <c r="Q116" t="str" cm="1">
        <f t="array" ref="Q116">_xlfn.XLOOKUP($B116,Store_Dim!$A$2:$A$21,Table3[Region])</f>
        <v>South</v>
      </c>
      <c r="R116" t="str" cm="1">
        <f t="array" ref="R116">_xlfn.XLOOKUP($B116,Store_Dim!$A$2:$A$21,Table3[Store_Type])</f>
        <v>Outlet</v>
      </c>
      <c r="S116">
        <f>VLOOKUP(Table7[[#This Row],[Customer ID]],Table6[[Customer_ID]:[Total_Amount]],8,FALSE)</f>
        <v>289.99450000000002</v>
      </c>
    </row>
    <row r="117" spans="1:19" x14ac:dyDescent="0.3">
      <c r="A117" t="s">
        <v>400</v>
      </c>
      <c r="B117" t="str">
        <f>_xlfn.XLOOKUP(Table7[[#This Row],[Customer ID]],Table6[Customer_ID],Table6[Store_ID])</f>
        <v>STORE7</v>
      </c>
      <c r="C117" t="str">
        <f>_xlfn.XLOOKUP(Table7[[#This Row],[Customer ID]],Table6[Customer_ID],Table6[Product_ID])</f>
        <v>PROD15</v>
      </c>
      <c r="D117" t="str">
        <f>VLOOKUP(Table7[[#This Row],[Customer ID]],Table4[#All],2,FALSE)</f>
        <v>Anthony Phillips</v>
      </c>
      <c r="E117">
        <f>VLOOKUP($A117,Table4[],3,FALSE)</f>
        <v>18</v>
      </c>
      <c r="F117" t="str">
        <f>VLOOKUP($A117,Table4[],4,FALSE)</f>
        <v>Female</v>
      </c>
      <c r="G117" t="str">
        <f>VLOOKUP($A117,Table4[],5,FALSE)</f>
        <v>North Davidport</v>
      </c>
      <c r="H117" t="str">
        <f>VLOOKUP($A117,Table4[],6,FALSE)</f>
        <v>Rhode Island</v>
      </c>
      <c r="I117" t="str">
        <f>VLOOKUP($A117,Table4[],8,FALSE)</f>
        <v>Platinum</v>
      </c>
      <c r="J117" t="str">
        <f>VLOOKUP($C117,Table1[],2,FALSE)</f>
        <v>4K Home Projector</v>
      </c>
      <c r="K117" t="str">
        <f>VLOOKUP($C117,Table1[],3,FALSE)</f>
        <v>Electronics</v>
      </c>
      <c r="L117" t="str">
        <f>VLOOKUP($C117,Table1[],4,FALSE)</f>
        <v>Appliances</v>
      </c>
      <c r="M117" t="str">
        <f>VLOOKUP($C117,Table1[],5,FALSE)</f>
        <v>Thomas LLC</v>
      </c>
      <c r="N117">
        <f>VLOOKUP($C117,Table1[],6,FALSE)</f>
        <v>465.34</v>
      </c>
      <c r="O117">
        <f>VLOOKUP($C117,Table1[],7,FALSE)</f>
        <v>301</v>
      </c>
      <c r="P117" t="str">
        <f>_xlfn.XLOOKUP($B117,Table3[Store_ID],Table3[Store_Name])</f>
        <v>Martinez-Mullins</v>
      </c>
      <c r="Q117" t="str" cm="1">
        <f t="array" ref="Q117">_xlfn.XLOOKUP($B117,Store_Dim!$A$2:$A$21,Table3[Region])</f>
        <v>South</v>
      </c>
      <c r="R117" t="str" cm="1">
        <f t="array" ref="R117">_xlfn.XLOOKUP($B117,Store_Dim!$A$2:$A$21,Table3[Store_Type])</f>
        <v>Online</v>
      </c>
      <c r="S117">
        <f>VLOOKUP(Table7[[#This Row],[Customer ID]],Table6[[Customer_ID]:[Total_Amount]],8,FALSE)</f>
        <v>357.23430000000002</v>
      </c>
    </row>
    <row r="118" spans="1:19" x14ac:dyDescent="0.3">
      <c r="A118" t="s">
        <v>403</v>
      </c>
      <c r="B118" t="str">
        <f>_xlfn.XLOOKUP(Table7[[#This Row],[Customer ID]],Table6[Customer_ID],Table6[Store_ID])</f>
        <v>STORE7</v>
      </c>
      <c r="C118" t="str">
        <f>_xlfn.XLOOKUP(Table7[[#This Row],[Customer ID]],Table6[Customer_ID],Table6[Product_ID])</f>
        <v>PROD97</v>
      </c>
      <c r="D118" t="str">
        <f>VLOOKUP(Table7[[#This Row],[Customer ID]],Table4[#All],2,FALSE)</f>
        <v>Colleen Mccarthy</v>
      </c>
      <c r="E118">
        <f>VLOOKUP($A118,Table4[],3,FALSE)</f>
        <v>21</v>
      </c>
      <c r="F118" t="str">
        <f>VLOOKUP($A118,Table4[],4,FALSE)</f>
        <v>Female</v>
      </c>
      <c r="G118" t="str">
        <f>VLOOKUP($A118,Table4[],5,FALSE)</f>
        <v>North Katherine</v>
      </c>
      <c r="H118" t="str">
        <f>VLOOKUP($A118,Table4[],6,FALSE)</f>
        <v>Washington</v>
      </c>
      <c r="I118" t="str">
        <f>VLOOKUP($A118,Table4[],8,FALSE)</f>
        <v>Platinum</v>
      </c>
      <c r="J118" t="str">
        <f>VLOOKUP($C118,Table1[],2,FALSE)</f>
        <v>Cricket Bat</v>
      </c>
      <c r="K118" t="str">
        <f>VLOOKUP($C118,Table1[],3,FALSE)</f>
        <v>Sports</v>
      </c>
      <c r="L118" t="str">
        <f>VLOOKUP($C118,Table1[],4,FALSE)</f>
        <v>Team Sports</v>
      </c>
      <c r="M118" t="str">
        <f>VLOOKUP($C118,Table1[],5,FALSE)</f>
        <v>Khan LLC</v>
      </c>
      <c r="N118">
        <f>VLOOKUP($C118,Table1[],6,FALSE)</f>
        <v>245.98</v>
      </c>
      <c r="O118">
        <f>VLOOKUP($C118,Table1[],7,FALSE)</f>
        <v>471</v>
      </c>
      <c r="P118" t="str">
        <f>_xlfn.XLOOKUP($B118,Table3[Store_ID],Table3[Store_Name])</f>
        <v>Martinez-Mullins</v>
      </c>
      <c r="Q118" t="str" cm="1">
        <f t="array" ref="Q118">_xlfn.XLOOKUP($B118,Store_Dim!$A$2:$A$21,Table3[Region])</f>
        <v>South</v>
      </c>
      <c r="R118" t="str" cm="1">
        <f t="array" ref="R118">_xlfn.XLOOKUP($B118,Store_Dim!$A$2:$A$21,Table3[Store_Type])</f>
        <v>Online</v>
      </c>
      <c r="S118">
        <f>VLOOKUP(Table7[[#This Row],[Customer ID]],Table6[[Customer_ID]:[Total_Amount]],8,FALSE)</f>
        <v>1172.0625</v>
      </c>
    </row>
    <row r="119" spans="1:19" x14ac:dyDescent="0.3">
      <c r="A119" t="s">
        <v>406</v>
      </c>
      <c r="B119" t="str">
        <f>_xlfn.XLOOKUP(Table7[[#This Row],[Customer ID]],Table6[Customer_ID],Table6[Store_ID])</f>
        <v>STORE7</v>
      </c>
      <c r="C119" t="str">
        <f>_xlfn.XLOOKUP(Table7[[#This Row],[Customer ID]],Table6[Customer_ID],Table6[Product_ID])</f>
        <v>PROD83</v>
      </c>
      <c r="D119" t="str">
        <f>VLOOKUP(Table7[[#This Row],[Customer ID]],Table4[#All],2,FALSE)</f>
        <v>Earl Allen</v>
      </c>
      <c r="E119">
        <f>VLOOKUP($A119,Table4[],3,FALSE)</f>
        <v>36</v>
      </c>
      <c r="F119" t="str">
        <f>VLOOKUP($A119,Table4[],4,FALSE)</f>
        <v>Male</v>
      </c>
      <c r="G119" t="str">
        <f>VLOOKUP($A119,Table4[],5,FALSE)</f>
        <v>New Jenniferburgh</v>
      </c>
      <c r="H119" t="str">
        <f>VLOOKUP($A119,Table4[],6,FALSE)</f>
        <v>Nebraska</v>
      </c>
      <c r="I119" t="str">
        <f>VLOOKUP($A119,Table4[],8,FALSE)</f>
        <v>Platinum</v>
      </c>
      <c r="J119" t="str">
        <f>VLOOKUP($C119,Table1[],2,FALSE)</f>
        <v>Hydrating Face Cleanser</v>
      </c>
      <c r="K119" t="str">
        <f>VLOOKUP($C119,Table1[],3,FALSE)</f>
        <v>Beauty</v>
      </c>
      <c r="L119" t="str">
        <f>VLOOKUP($C119,Table1[],4,FALSE)</f>
        <v>Skincare</v>
      </c>
      <c r="M119" t="str">
        <f>VLOOKUP($C119,Table1[],5,FALSE)</f>
        <v>Butler Group</v>
      </c>
      <c r="N119">
        <f>VLOOKUP($C119,Table1[],6,FALSE)</f>
        <v>305.49</v>
      </c>
      <c r="O119">
        <f>VLOOKUP($C119,Table1[],7,FALSE)</f>
        <v>159</v>
      </c>
      <c r="P119" t="str">
        <f>_xlfn.XLOOKUP($B119,Table3[Store_ID],Table3[Store_Name])</f>
        <v>Martinez-Mullins</v>
      </c>
      <c r="Q119" t="str" cm="1">
        <f t="array" ref="Q119">_xlfn.XLOOKUP($B119,Store_Dim!$A$2:$A$21,Table3[Region])</f>
        <v>South</v>
      </c>
      <c r="R119" t="str" cm="1">
        <f t="array" ref="R119">_xlfn.XLOOKUP($B119,Store_Dim!$A$2:$A$21,Table3[Store_Type])</f>
        <v>Online</v>
      </c>
      <c r="S119">
        <f>VLOOKUP(Table7[[#This Row],[Customer ID]],Table6[[Customer_ID]:[Total_Amount]],8,FALSE)</f>
        <v>692.27</v>
      </c>
    </row>
    <row r="120" spans="1:19" x14ac:dyDescent="0.3">
      <c r="A120" t="s">
        <v>409</v>
      </c>
      <c r="B120" t="str">
        <f>_xlfn.XLOOKUP(Table7[[#This Row],[Customer ID]],Table6[Customer_ID],Table6[Store_ID])</f>
        <v>STORE3</v>
      </c>
      <c r="C120" t="str">
        <f>_xlfn.XLOOKUP(Table7[[#This Row],[Customer ID]],Table6[Customer_ID],Table6[Product_ID])</f>
        <v>PROD90</v>
      </c>
      <c r="D120" t="str">
        <f>VLOOKUP(Table7[[#This Row],[Customer ID]],Table4[#All],2,FALSE)</f>
        <v>Michael Jones</v>
      </c>
      <c r="E120">
        <f>VLOOKUP($A120,Table4[],3,FALSE)</f>
        <v>40</v>
      </c>
      <c r="F120" t="str">
        <f>VLOOKUP($A120,Table4[],4,FALSE)</f>
        <v>Male</v>
      </c>
      <c r="G120" t="str">
        <f>VLOOKUP($A120,Table4[],5,FALSE)</f>
        <v>North Edwardton</v>
      </c>
      <c r="H120" t="str">
        <f>VLOOKUP($A120,Table4[],6,FALSE)</f>
        <v>Tennessee</v>
      </c>
      <c r="I120" t="str">
        <f>VLOOKUP($A120,Table4[],8,FALSE)</f>
        <v>Bronze</v>
      </c>
      <c r="J120" t="str">
        <f>VLOOKUP($C120,Table1[],2,FALSE)</f>
        <v>Gaming Mouse Pad XL</v>
      </c>
      <c r="K120" t="str">
        <f>VLOOKUP($C120,Table1[],3,FALSE)</f>
        <v>Electronics</v>
      </c>
      <c r="L120" t="str">
        <f>VLOOKUP($C120,Table1[],4,FALSE)</f>
        <v>Accessories</v>
      </c>
      <c r="M120" t="str">
        <f>VLOOKUP($C120,Table1[],5,FALSE)</f>
        <v>Sharp, Taylor and Rodriguez</v>
      </c>
      <c r="N120">
        <f>VLOOKUP($C120,Table1[],6,FALSE)</f>
        <v>340.14</v>
      </c>
      <c r="O120">
        <f>VLOOKUP($C120,Table1[],7,FALSE)</f>
        <v>361</v>
      </c>
      <c r="P120" t="str">
        <f>_xlfn.XLOOKUP($B120,Table3[Store_ID],Table3[Store_Name])</f>
        <v>Johnson-Wright</v>
      </c>
      <c r="Q120" t="str" cm="1">
        <f t="array" ref="Q120">_xlfn.XLOOKUP($B120,Store_Dim!$A$2:$A$21,Table3[Region])</f>
        <v>North</v>
      </c>
      <c r="R120" t="str" cm="1">
        <f t="array" ref="R120">_xlfn.XLOOKUP($B120,Store_Dim!$A$2:$A$21,Table3[Store_Type])</f>
        <v>Outlet</v>
      </c>
      <c r="S120">
        <f>VLOOKUP(Table7[[#This Row],[Customer ID]],Table6[[Customer_ID]:[Total_Amount]],8,FALSE)</f>
        <v>1674.5057999999999</v>
      </c>
    </row>
    <row r="121" spans="1:19" x14ac:dyDescent="0.3">
      <c r="A121" t="s">
        <v>412</v>
      </c>
      <c r="B121" t="str">
        <f>_xlfn.XLOOKUP(Table7[[#This Row],[Customer ID]],Table6[Customer_ID],Table6[Store_ID])</f>
        <v>STORE4</v>
      </c>
      <c r="C121" t="str">
        <f>_xlfn.XLOOKUP(Table7[[#This Row],[Customer ID]],Table6[Customer_ID],Table6[Product_ID])</f>
        <v>PROD73</v>
      </c>
      <c r="D121" t="str">
        <f>VLOOKUP(Table7[[#This Row],[Customer ID]],Table4[#All],2,FALSE)</f>
        <v>Jacob Hopkins</v>
      </c>
      <c r="E121">
        <f>VLOOKUP($A121,Table4[],3,FALSE)</f>
        <v>44</v>
      </c>
      <c r="F121" t="str">
        <f>VLOOKUP($A121,Table4[],4,FALSE)</f>
        <v>Female</v>
      </c>
      <c r="G121" t="str">
        <f>VLOOKUP($A121,Table4[],5,FALSE)</f>
        <v>lake tylerfort</v>
      </c>
      <c r="H121" t="str">
        <f>VLOOKUP($A121,Table4[],6,FALSE)</f>
        <v>Pennsylvania</v>
      </c>
      <c r="I121" t="str">
        <f>VLOOKUP($A121,Table4[],8,FALSE)</f>
        <v>Platinum</v>
      </c>
      <c r="J121" t="str">
        <f>VLOOKUP($C121,Table1[],2,FALSE)</f>
        <v>Shin Guards – Adult</v>
      </c>
      <c r="K121" t="str">
        <f>VLOOKUP($C121,Table1[],3,FALSE)</f>
        <v>Sports</v>
      </c>
      <c r="L121" t="str">
        <f>VLOOKUP($C121,Table1[],4,FALSE)</f>
        <v>Team Sports</v>
      </c>
      <c r="M121" t="str">
        <f>VLOOKUP($C121,Table1[],5,FALSE)</f>
        <v>French Ltd</v>
      </c>
      <c r="N121">
        <f>VLOOKUP($C121,Table1[],6,FALSE)</f>
        <v>107.06</v>
      </c>
      <c r="O121">
        <f>VLOOKUP($C121,Table1[],7,FALSE)</f>
        <v>359</v>
      </c>
      <c r="P121" t="str">
        <f>_xlfn.XLOOKUP($B121,Table3[Store_ID],Table3[Store_Name])</f>
        <v>Alexander Group</v>
      </c>
      <c r="Q121" t="str" cm="1">
        <f t="array" ref="Q121">_xlfn.XLOOKUP($B121,Store_Dim!$A$2:$A$21,Table3[Region])</f>
        <v>South</v>
      </c>
      <c r="R121" t="str" cm="1">
        <f t="array" ref="R121">_xlfn.XLOOKUP($B121,Store_Dim!$A$2:$A$21,Table3[Store_Type])</f>
        <v>Online</v>
      </c>
      <c r="S121">
        <f>VLOOKUP(Table7[[#This Row],[Customer ID]],Table6[[Customer_ID]:[Total_Amount]],8,FALSE)</f>
        <v>2634.0079999999998</v>
      </c>
    </row>
    <row r="122" spans="1:19" x14ac:dyDescent="0.3">
      <c r="A122" t="s">
        <v>414</v>
      </c>
      <c r="B122" t="str">
        <f>_xlfn.XLOOKUP(Table7[[#This Row],[Customer ID]],Table6[Customer_ID],Table6[Store_ID])</f>
        <v>STORE15</v>
      </c>
      <c r="C122" t="str">
        <f>_xlfn.XLOOKUP(Table7[[#This Row],[Customer ID]],Table6[Customer_ID],Table6[Product_ID])</f>
        <v>PROD33</v>
      </c>
      <c r="D122" t="str">
        <f>VLOOKUP(Table7[[#This Row],[Customer ID]],Table4[#All],2,FALSE)</f>
        <v>Joel Robinson</v>
      </c>
      <c r="E122">
        <f>VLOOKUP($A122,Table4[],3,FALSE)</f>
        <v>62</v>
      </c>
      <c r="F122" t="str">
        <f>VLOOKUP($A122,Table4[],4,FALSE)</f>
        <v>Male</v>
      </c>
      <c r="G122" t="str">
        <f>VLOOKUP($A122,Table4[],5,FALSE)</f>
        <v>Lake Danielport</v>
      </c>
      <c r="H122" t="str">
        <f>VLOOKUP($A122,Table4[],6,FALSE)</f>
        <v>Hawaii</v>
      </c>
      <c r="I122" t="str">
        <f>VLOOKUP($A122,Table4[],8,FALSE)</f>
        <v>Platinum</v>
      </c>
      <c r="J122" t="str">
        <f>VLOOKUP($C122,Table1[],2,FALSE)</f>
        <v>Modern Wall Clock</v>
      </c>
      <c r="K122" t="str">
        <f>VLOOKUP($C122,Table1[],3,FALSE)</f>
        <v>Home</v>
      </c>
      <c r="L122" t="str">
        <f>VLOOKUP($C122,Table1[],4,FALSE)</f>
        <v>Decor</v>
      </c>
      <c r="M122" t="str">
        <f>VLOOKUP($C122,Table1[],5,FALSE)</f>
        <v>Weiss-Watson</v>
      </c>
      <c r="N122">
        <f>VLOOKUP($C122,Table1[],6,FALSE)</f>
        <v>179.77</v>
      </c>
      <c r="O122">
        <f>VLOOKUP($C122,Table1[],7,FALSE)</f>
        <v>305</v>
      </c>
      <c r="P122" t="str">
        <f>_xlfn.XLOOKUP($B122,Table3[Store_ID],Table3[Store_Name])</f>
        <v>Shelton PLC</v>
      </c>
      <c r="Q122" t="str" cm="1">
        <f t="array" ref="Q122">_xlfn.XLOOKUP($B122,Store_Dim!$A$2:$A$21,Table3[Region])</f>
        <v>North</v>
      </c>
      <c r="R122" t="str" cm="1">
        <f t="array" ref="R122">_xlfn.XLOOKUP($B122,Store_Dim!$A$2:$A$21,Table3[Store_Type])</f>
        <v>Flagship</v>
      </c>
      <c r="S122">
        <f>VLOOKUP(Table7[[#This Row],[Customer ID]],Table6[[Customer_ID]:[Total_Amount]],8,FALSE)</f>
        <v>1200.9059999999999</v>
      </c>
    </row>
    <row r="123" spans="1:19" x14ac:dyDescent="0.3">
      <c r="A123" t="s">
        <v>417</v>
      </c>
      <c r="B123" t="str">
        <f>_xlfn.XLOOKUP(Table7[[#This Row],[Customer ID]],Table6[Customer_ID],Table6[Store_ID])</f>
        <v>STORE1</v>
      </c>
      <c r="C123" t="str">
        <f>_xlfn.XLOOKUP(Table7[[#This Row],[Customer ID]],Table6[Customer_ID],Table6[Product_ID])</f>
        <v>PROD94</v>
      </c>
      <c r="D123" t="str">
        <f>VLOOKUP(Table7[[#This Row],[Customer ID]],Table4[#All],2,FALSE)</f>
        <v>Michael Chang</v>
      </c>
      <c r="E123">
        <f>VLOOKUP($A123,Table4[],3,FALSE)</f>
        <v>50</v>
      </c>
      <c r="F123" t="str">
        <f>VLOOKUP($A123,Table4[],4,FALSE)</f>
        <v>Male</v>
      </c>
      <c r="G123" t="str">
        <f>VLOOKUP($A123,Table4[],5,FALSE)</f>
        <v>Kathrynport</v>
      </c>
      <c r="H123" t="str">
        <f>VLOOKUP($A123,Table4[],6,FALSE)</f>
        <v>North Carolina</v>
      </c>
      <c r="I123" t="str">
        <f>VLOOKUP($A123,Table4[],8,FALSE)</f>
        <v>Platinum</v>
      </c>
      <c r="J123" t="str">
        <f>VLOOKUP($C123,Table1[],2,FALSE)</f>
        <v>Vitamin E Body Lotion</v>
      </c>
      <c r="K123" t="str">
        <f>VLOOKUP($C123,Table1[],3,FALSE)</f>
        <v>Beauty</v>
      </c>
      <c r="L123" t="str">
        <f>VLOOKUP($C123,Table1[],4,FALSE)</f>
        <v>Skincare</v>
      </c>
      <c r="M123" t="str">
        <f>VLOOKUP($C123,Table1[],5,FALSE)</f>
        <v>Hoffman-Williams</v>
      </c>
      <c r="N123">
        <f>VLOOKUP($C123,Table1[],6,FALSE)</f>
        <v>358.47</v>
      </c>
      <c r="O123">
        <f>VLOOKUP($C123,Table1[],7,FALSE)</f>
        <v>213</v>
      </c>
      <c r="P123" t="str">
        <f>_xlfn.XLOOKUP($B123,Table3[Store_ID],Table3[Store_Name])</f>
        <v>Martinez, Adkins and Johnson</v>
      </c>
      <c r="Q123" t="str" cm="1">
        <f t="array" ref="Q123">_xlfn.XLOOKUP($B123,Store_Dim!$A$2:$A$21,Table3[Region])</f>
        <v>North</v>
      </c>
      <c r="R123" t="str" cm="1">
        <f t="array" ref="R123">_xlfn.XLOOKUP($B123,Store_Dim!$A$2:$A$21,Table3[Store_Type])</f>
        <v>Flagship</v>
      </c>
      <c r="S123">
        <f>VLOOKUP(Table7[[#This Row],[Customer ID]],Table6[[Customer_ID]:[Total_Amount]],8,FALSE)</f>
        <v>119.7855</v>
      </c>
    </row>
    <row r="124" spans="1:19" x14ac:dyDescent="0.3">
      <c r="A124" t="s">
        <v>420</v>
      </c>
      <c r="B124" t="str">
        <f>_xlfn.XLOOKUP(Table7[[#This Row],[Customer ID]],Table6[Customer_ID],Table6[Store_ID])</f>
        <v>STORE15</v>
      </c>
      <c r="C124" t="str">
        <f>_xlfn.XLOOKUP(Table7[[#This Row],[Customer ID]],Table6[Customer_ID],Table6[Product_ID])</f>
        <v>PROD12</v>
      </c>
      <c r="D124" t="str">
        <f>VLOOKUP(Table7[[#This Row],[Customer ID]],Table4[#All],2,FALSE)</f>
        <v>Erin Hopkins</v>
      </c>
      <c r="E124">
        <f>VLOOKUP($A124,Table4[],3,FALSE)</f>
        <v>40</v>
      </c>
      <c r="F124" t="str">
        <f>VLOOKUP($A124,Table4[],4,FALSE)</f>
        <v>Male</v>
      </c>
      <c r="G124" t="str">
        <f>VLOOKUP($A124,Table4[],5,FALSE)</f>
        <v>North Sabrina</v>
      </c>
      <c r="H124" t="str">
        <f>VLOOKUP($A124,Table4[],6,FALSE)</f>
        <v>Iowa</v>
      </c>
      <c r="I124" t="str">
        <f>VLOOKUP($A124,Table4[],8,FALSE)</f>
        <v>Silver</v>
      </c>
      <c r="J124" t="str">
        <f>VLOOKUP($C124,Table1[],2,FALSE)</f>
        <v>Hair Strengthening Shampoo</v>
      </c>
      <c r="K124" t="str">
        <f>VLOOKUP($C124,Table1[],3,FALSE)</f>
        <v>Beauty</v>
      </c>
      <c r="L124" t="str">
        <f>VLOOKUP($C124,Table1[],4,FALSE)</f>
        <v>Haircare</v>
      </c>
      <c r="M124" t="str">
        <f>VLOOKUP($C124,Table1[],5,FALSE)</f>
        <v>Rice LLC</v>
      </c>
      <c r="N124">
        <f>VLOOKUP($C124,Table1[],6,FALSE)</f>
        <v>115.82</v>
      </c>
      <c r="O124">
        <f>VLOOKUP($C124,Table1[],7,FALSE)</f>
        <v>460</v>
      </c>
      <c r="P124" t="str">
        <f>_xlfn.XLOOKUP($B124,Table3[Store_ID],Table3[Store_Name])</f>
        <v>Shelton PLC</v>
      </c>
      <c r="Q124" t="str" cm="1">
        <f t="array" ref="Q124">_xlfn.XLOOKUP($B124,Store_Dim!$A$2:$A$21,Table3[Region])</f>
        <v>North</v>
      </c>
      <c r="R124" t="str" cm="1">
        <f t="array" ref="R124">_xlfn.XLOOKUP($B124,Store_Dim!$A$2:$A$21,Table3[Store_Type])</f>
        <v>Flagship</v>
      </c>
      <c r="S124">
        <f>VLOOKUP(Table7[[#This Row],[Customer ID]],Table6[[Customer_ID]:[Total_Amount]],8,FALSE)</f>
        <v>900.75200000000007</v>
      </c>
    </row>
    <row r="125" spans="1:19" x14ac:dyDescent="0.3">
      <c r="A125" t="s">
        <v>423</v>
      </c>
      <c r="B125" t="str">
        <f>_xlfn.XLOOKUP(Table7[[#This Row],[Customer ID]],Table6[Customer_ID],Table6[Store_ID])</f>
        <v>STORE2</v>
      </c>
      <c r="C125" t="str">
        <f>_xlfn.XLOOKUP(Table7[[#This Row],[Customer ID]],Table6[Customer_ID],Table6[Product_ID])</f>
        <v>PROD22</v>
      </c>
      <c r="D125" t="str">
        <f>VLOOKUP(Table7[[#This Row],[Customer ID]],Table4[#All],2,FALSE)</f>
        <v>Donald Lee</v>
      </c>
      <c r="E125">
        <f>VLOOKUP($A125,Table4[],3,FALSE)</f>
        <v>26</v>
      </c>
      <c r="F125" t="str">
        <f>VLOOKUP($A125,Table4[],4,FALSE)</f>
        <v>Male</v>
      </c>
      <c r="G125" t="str">
        <f>VLOOKUP($A125,Table4[],5,FALSE)</f>
        <v>Wongberg</v>
      </c>
      <c r="H125" t="str">
        <f>VLOOKUP($A125,Table4[],6,FALSE)</f>
        <v>Illinois</v>
      </c>
      <c r="I125" t="str">
        <f>VLOOKUP($A125,Table4[],8,FALSE)</f>
        <v>Bronze</v>
      </c>
      <c r="J125" t="str">
        <f>VLOOKUP($C125,Table1[],2,FALSE)</f>
        <v>Carbon Fiber Tennis Racket</v>
      </c>
      <c r="K125" t="str">
        <f>VLOOKUP($C125,Table1[],3,FALSE)</f>
        <v>Sports</v>
      </c>
      <c r="L125" t="str">
        <f>VLOOKUP($C125,Table1[],4,FALSE)</f>
        <v>Equipment</v>
      </c>
      <c r="M125" t="str">
        <f>VLOOKUP($C125,Table1[],5,FALSE)</f>
        <v>Flores, Pineda and Rodriguez</v>
      </c>
      <c r="N125">
        <f>VLOOKUP($C125,Table1[],6,FALSE)</f>
        <v>484.62</v>
      </c>
      <c r="O125">
        <f>VLOOKUP($C125,Table1[],7,FALSE)</f>
        <v>432</v>
      </c>
      <c r="P125" t="str">
        <f>_xlfn.XLOOKUP($B125,Table3[Store_ID],Table3[Store_Name])</f>
        <v>Black-Horn</v>
      </c>
      <c r="Q125" t="str" cm="1">
        <f t="array" ref="Q125">_xlfn.XLOOKUP($B125,Store_Dim!$A$2:$A$21,Table3[Region])</f>
        <v>South</v>
      </c>
      <c r="R125" t="str" cm="1">
        <f t="array" ref="R125">_xlfn.XLOOKUP($B125,Store_Dim!$A$2:$A$21,Table3[Store_Type])</f>
        <v>Outlet</v>
      </c>
      <c r="S125">
        <f>VLOOKUP(Table7[[#This Row],[Customer ID]],Table6[[Customer_ID]:[Total_Amount]],8,FALSE)</f>
        <v>695.95499999999993</v>
      </c>
    </row>
    <row r="126" spans="1:19" x14ac:dyDescent="0.3">
      <c r="A126" t="s">
        <v>426</v>
      </c>
      <c r="B126" t="str">
        <f>_xlfn.XLOOKUP(Table7[[#This Row],[Customer ID]],Table6[Customer_ID],Table6[Store_ID])</f>
        <v>STORE18</v>
      </c>
      <c r="C126" t="str">
        <f>_xlfn.XLOOKUP(Table7[[#This Row],[Customer ID]],Table6[Customer_ID],Table6[Product_ID])</f>
        <v>PROD7</v>
      </c>
      <c r="D126" t="str">
        <f>VLOOKUP(Table7[[#This Row],[Customer ID]],Table4[#All],2,FALSE)</f>
        <v>Keith Miller</v>
      </c>
      <c r="E126">
        <f>VLOOKUP($A126,Table4[],3,FALSE)</f>
        <v>64</v>
      </c>
      <c r="F126" t="str">
        <f>VLOOKUP($A126,Table4[],4,FALSE)</f>
        <v>Female</v>
      </c>
      <c r="G126" t="str">
        <f>VLOOKUP($A126,Table4[],5,FALSE)</f>
        <v>West Jameston</v>
      </c>
      <c r="H126" t="str">
        <f>VLOOKUP($A126,Table4[],6,FALSE)</f>
        <v>Maine</v>
      </c>
      <c r="I126" t="str">
        <f>VLOOKUP($A126,Table4[],8,FALSE)</f>
        <v>Platinum</v>
      </c>
      <c r="J126" t="str">
        <f>VLOOKUP($C126,Table1[],2,FALSE)</f>
        <v>LED Table Lamp</v>
      </c>
      <c r="K126" t="str">
        <f>VLOOKUP($C126,Table1[],3,FALSE)</f>
        <v>Home</v>
      </c>
      <c r="L126" t="str">
        <f>VLOOKUP($C126,Table1[],4,FALSE)</f>
        <v>Lighting</v>
      </c>
      <c r="M126" t="str">
        <f>VLOOKUP($C126,Table1[],5,FALSE)</f>
        <v>Harrell LLC</v>
      </c>
      <c r="N126">
        <f>VLOOKUP($C126,Table1[],6,FALSE)</f>
        <v>218.86</v>
      </c>
      <c r="O126">
        <f>VLOOKUP($C126,Table1[],7,FALSE)</f>
        <v>170</v>
      </c>
      <c r="P126" t="str">
        <f>_xlfn.XLOOKUP($B126,Table3[Store_ID],Table3[Store_Name])</f>
        <v>Guerrero-Schmitt</v>
      </c>
      <c r="Q126" t="str" cm="1">
        <f t="array" ref="Q126">_xlfn.XLOOKUP($B126,Store_Dim!$A$2:$A$21,Table3[Region])</f>
        <v>East</v>
      </c>
      <c r="R126" t="str" cm="1">
        <f t="array" ref="R126">_xlfn.XLOOKUP($B126,Store_Dim!$A$2:$A$21,Table3[Store_Type])</f>
        <v>Flagship</v>
      </c>
      <c r="S126">
        <f>VLOOKUP(Table7[[#This Row],[Customer ID]],Table6[[Customer_ID]:[Total_Amount]],8,FALSE)</f>
        <v>685.34879999999998</v>
      </c>
    </row>
    <row r="127" spans="1:19" x14ac:dyDescent="0.3">
      <c r="A127" t="s">
        <v>430</v>
      </c>
      <c r="B127" t="str">
        <f>_xlfn.XLOOKUP(Table7[[#This Row],[Customer ID]],Table6[Customer_ID],Table6[Store_ID])</f>
        <v>STORE12</v>
      </c>
      <c r="C127" t="str">
        <f>_xlfn.XLOOKUP(Table7[[#This Row],[Customer ID]],Table6[Customer_ID],Table6[Product_ID])</f>
        <v>PROD89</v>
      </c>
      <c r="D127" t="str">
        <f>VLOOKUP(Table7[[#This Row],[Customer ID]],Table4[#All],2,FALSE)</f>
        <v>James Wolfe</v>
      </c>
      <c r="E127">
        <f>VLOOKUP($A127,Table4[],3,FALSE)</f>
        <v>62</v>
      </c>
      <c r="F127" t="str">
        <f>VLOOKUP($A127,Table4[],4,FALSE)</f>
        <v>Female</v>
      </c>
      <c r="G127" t="str">
        <f>VLOOKUP($A127,Table4[],5,FALSE)</f>
        <v>Benjaminton</v>
      </c>
      <c r="H127" t="str">
        <f>VLOOKUP($A127,Table4[],6,FALSE)</f>
        <v>Arizona</v>
      </c>
      <c r="I127" t="str">
        <f>VLOOKUP($A127,Table4[],8,FALSE)</f>
        <v>Gold</v>
      </c>
      <c r="J127" t="str">
        <f>VLOOKUP($C127,Table1[],2,FALSE)</f>
        <v>Face Foundation Kit</v>
      </c>
      <c r="K127" t="str">
        <f>VLOOKUP($C127,Table1[],3,FALSE)</f>
        <v>Beauty</v>
      </c>
      <c r="L127" t="str">
        <f>VLOOKUP($C127,Table1[],4,FALSE)</f>
        <v>Makeup</v>
      </c>
      <c r="M127" t="str">
        <f>VLOOKUP($C127,Table1[],5,FALSE)</f>
        <v>Taylor-Elliott</v>
      </c>
      <c r="N127">
        <f>VLOOKUP($C127,Table1[],6,FALSE)</f>
        <v>183.04</v>
      </c>
      <c r="O127">
        <f>VLOOKUP($C127,Table1[],7,FALSE)</f>
        <v>457</v>
      </c>
      <c r="P127" t="str">
        <f>_xlfn.XLOOKUP($B127,Table3[Store_ID],Table3[Store_Name])</f>
        <v>Thomas, Bridges and Harris</v>
      </c>
      <c r="Q127" t="str" cm="1">
        <f t="array" ref="Q127">_xlfn.XLOOKUP($B127,Store_Dim!$A$2:$A$21,Table3[Region])</f>
        <v>North</v>
      </c>
      <c r="R127" t="str" cm="1">
        <f t="array" ref="R127">_xlfn.XLOOKUP($B127,Store_Dim!$A$2:$A$21,Table3[Store_Type])</f>
        <v>Online</v>
      </c>
      <c r="S127">
        <f>VLOOKUP(Table7[[#This Row],[Customer ID]],Table6[[Customer_ID]:[Total_Amount]],8,FALSE)</f>
        <v>230.60300000000001</v>
      </c>
    </row>
    <row r="128" spans="1:19" x14ac:dyDescent="0.3">
      <c r="A128" t="s">
        <v>433</v>
      </c>
      <c r="B128" t="str">
        <f>_xlfn.XLOOKUP(Table7[[#This Row],[Customer ID]],Table6[Customer_ID],Table6[Store_ID])</f>
        <v>STORE0</v>
      </c>
      <c r="C128" t="str">
        <f>_xlfn.XLOOKUP(Table7[[#This Row],[Customer ID]],Table6[Customer_ID],Table6[Product_ID])</f>
        <v>PROD55</v>
      </c>
      <c r="D128" t="str">
        <f>VLOOKUP(Table7[[#This Row],[Customer ID]],Table4[#All],2,FALSE)</f>
        <v>John Mcknight</v>
      </c>
      <c r="E128">
        <f>VLOOKUP($A128,Table4[],3,FALSE)</f>
        <v>39</v>
      </c>
      <c r="F128" t="str">
        <f>VLOOKUP($A128,Table4[],4,FALSE)</f>
        <v>Male</v>
      </c>
      <c r="G128" t="str">
        <f>VLOOKUP($A128,Table4[],5,FALSE)</f>
        <v>South Nathan</v>
      </c>
      <c r="H128" t="str">
        <f>VLOOKUP($A128,Table4[],6,FALSE)</f>
        <v>Vermont</v>
      </c>
      <c r="I128" t="str">
        <f>VLOOKUP($A128,Table4[],8,FALSE)</f>
        <v>Platinum</v>
      </c>
      <c r="J128" t="str">
        <f>VLOOKUP($C128,Table1[],2,FALSE)</f>
        <v>Ceramic Plant Pot</v>
      </c>
      <c r="K128" t="str">
        <f>VLOOKUP($C128,Table1[],3,FALSE)</f>
        <v>Home</v>
      </c>
      <c r="L128" t="str">
        <f>VLOOKUP($C128,Table1[],4,FALSE)</f>
        <v>Decor</v>
      </c>
      <c r="M128" t="str">
        <f>VLOOKUP($C128,Table1[],5,FALSE)</f>
        <v>Hatfield, Baird and Torres</v>
      </c>
      <c r="N128">
        <f>VLOOKUP($C128,Table1[],6,FALSE)</f>
        <v>81.75</v>
      </c>
      <c r="O128">
        <f>VLOOKUP($C128,Table1[],7,FALSE)</f>
        <v>331</v>
      </c>
      <c r="P128" t="str">
        <f>_xlfn.XLOOKUP($B128,Table3[Store_ID],Table3[Store_Name])</f>
        <v>Rivera-Warner</v>
      </c>
      <c r="Q128" t="str" cm="1">
        <f t="array" ref="Q128">_xlfn.XLOOKUP($B128,Store_Dim!$A$2:$A$21,Table3[Region])</f>
        <v>East</v>
      </c>
      <c r="R128" t="str" cm="1">
        <f t="array" ref="R128">_xlfn.XLOOKUP($B128,Store_Dim!$A$2:$A$21,Table3[Store_Type])</f>
        <v>Flagship</v>
      </c>
      <c r="S128">
        <f>VLOOKUP(Table7[[#This Row],[Customer ID]],Table6[[Customer_ID]:[Total_Amount]],8,FALSE)</f>
        <v>1640.0519999999999</v>
      </c>
    </row>
    <row r="129" spans="1:19" x14ac:dyDescent="0.3">
      <c r="A129" t="s">
        <v>436</v>
      </c>
      <c r="B129" t="str">
        <f>_xlfn.XLOOKUP(Table7[[#This Row],[Customer ID]],Table6[Customer_ID],Table6[Store_ID])</f>
        <v>STORE15</v>
      </c>
      <c r="C129" t="str">
        <f>_xlfn.XLOOKUP(Table7[[#This Row],[Customer ID]],Table6[Customer_ID],Table6[Product_ID])</f>
        <v>PROD25</v>
      </c>
      <c r="D129" t="str">
        <f>VLOOKUP(Table7[[#This Row],[Customer ID]],Table4[#All],2,FALSE)</f>
        <v>Susan Mcdonald</v>
      </c>
      <c r="E129">
        <f>VLOOKUP($A129,Table4[],3,FALSE)</f>
        <v>45</v>
      </c>
      <c r="F129" t="str">
        <f>VLOOKUP($A129,Table4[],4,FALSE)</f>
        <v>Male</v>
      </c>
      <c r="G129" t="str">
        <f>VLOOKUP($A129,Table4[],5,FALSE)</f>
        <v>East Ellen</v>
      </c>
      <c r="H129" t="str">
        <f>VLOOKUP($A129,Table4[],6,FALSE)</f>
        <v>Arkansas</v>
      </c>
      <c r="I129" t="str">
        <f>VLOOKUP($A129,Table4[],8,FALSE)</f>
        <v>Silver</v>
      </c>
      <c r="J129" t="str">
        <f>VLOOKUP($C129,Table1[],2,FALSE)</f>
        <v>Women's Scarf Set</v>
      </c>
      <c r="K129" t="str">
        <f>VLOOKUP($C129,Table1[],3,FALSE)</f>
        <v>Clothing</v>
      </c>
      <c r="L129" t="str">
        <f>VLOOKUP($C129,Table1[],4,FALSE)</f>
        <v>Accessories</v>
      </c>
      <c r="M129" t="str">
        <f>VLOOKUP($C129,Table1[],5,FALSE)</f>
        <v>Brown and Sons</v>
      </c>
      <c r="N129">
        <f>VLOOKUP($C129,Table1[],6,FALSE)</f>
        <v>174.02</v>
      </c>
      <c r="O129">
        <f>VLOOKUP($C129,Table1[],7,FALSE)</f>
        <v>268</v>
      </c>
      <c r="P129" t="str">
        <f>_xlfn.XLOOKUP($B129,Table3[Store_ID],Table3[Store_Name])</f>
        <v>Shelton PLC</v>
      </c>
      <c r="Q129" t="str" cm="1">
        <f t="array" ref="Q129">_xlfn.XLOOKUP($B129,Store_Dim!$A$2:$A$21,Table3[Region])</f>
        <v>North</v>
      </c>
      <c r="R129" t="str" cm="1">
        <f t="array" ref="R129">_xlfn.XLOOKUP($B129,Store_Dim!$A$2:$A$21,Table3[Store_Type])</f>
        <v>Flagship</v>
      </c>
      <c r="S129">
        <f>VLOOKUP(Table7[[#This Row],[Customer ID]],Table6[[Customer_ID]:[Total_Amount]],8,FALSE)</f>
        <v>617.29200000000003</v>
      </c>
    </row>
    <row r="130" spans="1:19" x14ac:dyDescent="0.3">
      <c r="A130" t="s">
        <v>439</v>
      </c>
      <c r="B130" t="str">
        <f>_xlfn.XLOOKUP(Table7[[#This Row],[Customer ID]],Table6[Customer_ID],Table6[Store_ID])</f>
        <v>STORE11</v>
      </c>
      <c r="C130" t="str">
        <f>_xlfn.XLOOKUP(Table7[[#This Row],[Customer ID]],Table6[Customer_ID],Table6[Product_ID])</f>
        <v>PROD91</v>
      </c>
      <c r="D130" t="str">
        <f>VLOOKUP(Table7[[#This Row],[Customer ID]],Table4[#All],2,FALSE)</f>
        <v>Jessica Mitchell</v>
      </c>
      <c r="E130">
        <f>VLOOKUP($A130,Table4[],3,FALSE)</f>
        <v>43</v>
      </c>
      <c r="F130" t="str">
        <f>VLOOKUP($A130,Table4[],4,FALSE)</f>
        <v>Female</v>
      </c>
      <c r="G130" t="str">
        <f>VLOOKUP($A130,Table4[],5,FALSE)</f>
        <v>Matthewbury</v>
      </c>
      <c r="H130" t="str">
        <f>VLOOKUP($A130,Table4[],6,FALSE)</f>
        <v>South Dakota</v>
      </c>
      <c r="I130" t="str">
        <f>VLOOKUP($A130,Table4[],8,FALSE)</f>
        <v>Silver</v>
      </c>
      <c r="J130" t="str">
        <f>VLOOKUP($C130,Table1[],2,FALSE)</f>
        <v>Women's High Heels</v>
      </c>
      <c r="K130" t="str">
        <f>VLOOKUP($C130,Table1[],3,FALSE)</f>
        <v>Clothing</v>
      </c>
      <c r="L130" t="str">
        <f>VLOOKUP($C130,Table1[],4,FALSE)</f>
        <v>Footwear</v>
      </c>
      <c r="M130" t="str">
        <f>VLOOKUP($C130,Table1[],5,FALSE)</f>
        <v>Smith-Charles</v>
      </c>
      <c r="N130">
        <f>VLOOKUP($C130,Table1[],6,FALSE)</f>
        <v>438.25</v>
      </c>
      <c r="O130">
        <f>VLOOKUP($C130,Table1[],7,FALSE)</f>
        <v>496</v>
      </c>
      <c r="P130" t="str">
        <f>_xlfn.XLOOKUP($B130,Table3[Store_ID],Table3[Store_Name])</f>
        <v>Aguirre-Keller</v>
      </c>
      <c r="Q130" t="str" cm="1">
        <f t="array" ref="Q130">_xlfn.XLOOKUP($B130,Store_Dim!$A$2:$A$21,Table3[Region])</f>
        <v>South</v>
      </c>
      <c r="R130" t="str" cm="1">
        <f t="array" ref="R130">_xlfn.XLOOKUP($B130,Store_Dim!$A$2:$A$21,Table3[Store_Type])</f>
        <v>Online</v>
      </c>
      <c r="S130">
        <f>VLOOKUP(Table7[[#This Row],[Customer ID]],Table6[[Customer_ID]:[Total_Amount]],8,FALSE)</f>
        <v>615.47840000000008</v>
      </c>
    </row>
    <row r="131" spans="1:19" x14ac:dyDescent="0.3">
      <c r="A131" t="s">
        <v>442</v>
      </c>
      <c r="B131" t="str">
        <f>_xlfn.XLOOKUP(Table7[[#This Row],[Customer ID]],Table6[Customer_ID],Table6[Store_ID])</f>
        <v>STORE11</v>
      </c>
      <c r="C131" t="str">
        <f>_xlfn.XLOOKUP(Table7[[#This Row],[Customer ID]],Table6[Customer_ID],Table6[Product_ID])</f>
        <v>PROD41</v>
      </c>
      <c r="D131" t="str">
        <f>VLOOKUP(Table7[[#This Row],[Customer ID]],Table4[#All],2,FALSE)</f>
        <v>Jamie Reyes</v>
      </c>
      <c r="E131">
        <f>VLOOKUP($A131,Table4[],3,FALSE)</f>
        <v>29</v>
      </c>
      <c r="F131" t="str">
        <f>VLOOKUP($A131,Table4[],4,FALSE)</f>
        <v>Male</v>
      </c>
      <c r="G131" t="str">
        <f>VLOOKUP($A131,Table4[],5,FALSE)</f>
        <v xml:space="preserve">   jonesbury </v>
      </c>
      <c r="H131" t="str">
        <f>VLOOKUP($A131,Table4[],6,FALSE)</f>
        <v>Connecticut</v>
      </c>
      <c r="I131" t="str">
        <f>VLOOKUP($A131,Table4[],8,FALSE)</f>
        <v>Platinum</v>
      </c>
      <c r="J131" t="str">
        <f>VLOOKUP($C131,Table1[],2,FALSE)</f>
        <v>Yoga Exercise Mat</v>
      </c>
      <c r="K131" t="str">
        <f>VLOOKUP($C131,Table1[],3,FALSE)</f>
        <v>Sports</v>
      </c>
      <c r="L131" t="str">
        <f>VLOOKUP($C131,Table1[],4,FALSE)</f>
        <v>Fitness</v>
      </c>
      <c r="M131" t="str">
        <f>VLOOKUP($C131,Table1[],5,FALSE)</f>
        <v>Carroll, Long and Mendoza</v>
      </c>
      <c r="N131">
        <f>VLOOKUP($C131,Table1[],6,FALSE)</f>
        <v>313.26</v>
      </c>
      <c r="O131">
        <f>VLOOKUP($C131,Table1[],7,FALSE)</f>
        <v>369</v>
      </c>
      <c r="P131" t="str">
        <f>_xlfn.XLOOKUP($B131,Table3[Store_ID],Table3[Store_Name])</f>
        <v>Aguirre-Keller</v>
      </c>
      <c r="Q131" t="str" cm="1">
        <f t="array" ref="Q131">_xlfn.XLOOKUP($B131,Store_Dim!$A$2:$A$21,Table3[Region])</f>
        <v>South</v>
      </c>
      <c r="R131" t="str" cm="1">
        <f t="array" ref="R131">_xlfn.XLOOKUP($B131,Store_Dim!$A$2:$A$21,Table3[Store_Type])</f>
        <v>Online</v>
      </c>
      <c r="S131">
        <f>VLOOKUP(Table7[[#This Row],[Customer ID]],Table6[[Customer_ID]:[Total_Amount]],8,FALSE)</f>
        <v>84.348600000000005</v>
      </c>
    </row>
    <row r="132" spans="1:19" x14ac:dyDescent="0.3">
      <c r="A132" t="s">
        <v>444</v>
      </c>
      <c r="B132" t="str">
        <f>_xlfn.XLOOKUP(Table7[[#This Row],[Customer ID]],Table6[Customer_ID],Table6[Store_ID])</f>
        <v>STORE7</v>
      </c>
      <c r="C132" t="str">
        <f>_xlfn.XLOOKUP(Table7[[#This Row],[Customer ID]],Table6[Customer_ID],Table6[Product_ID])</f>
        <v>PROD56</v>
      </c>
      <c r="D132" t="str">
        <f>VLOOKUP(Table7[[#This Row],[Customer ID]],Table4[#All],2,FALSE)</f>
        <v>Joseph Richards</v>
      </c>
      <c r="E132">
        <f>VLOOKUP($A132,Table4[],3,FALSE)</f>
        <v>34</v>
      </c>
      <c r="F132" t="str">
        <f>VLOOKUP($A132,Table4[],4,FALSE)</f>
        <v>Female</v>
      </c>
      <c r="G132" t="str">
        <f>VLOOKUP($A132,Table4[],5,FALSE)</f>
        <v>Wigginsville</v>
      </c>
      <c r="H132" t="str">
        <f>VLOOKUP($A132,Table4[],6,FALSE)</f>
        <v>Alabama</v>
      </c>
      <c r="I132" t="str">
        <f>VLOOKUP($A132,Table4[],8,FALSE)</f>
        <v>Bronze</v>
      </c>
      <c r="J132" t="str">
        <f>VLOOKUP($C132,Table1[],2,FALSE)</f>
        <v>Premium Blanket Throw</v>
      </c>
      <c r="K132" t="str">
        <f>VLOOKUP($C132,Table1[],3,FALSE)</f>
        <v>Home</v>
      </c>
      <c r="L132" t="str">
        <f>VLOOKUP($C132,Table1[],4,FALSE)</f>
        <v>Decor</v>
      </c>
      <c r="M132" t="str">
        <f>VLOOKUP($C132,Table1[],5,FALSE)</f>
        <v>Hernandez, Kennedy and Porter</v>
      </c>
      <c r="N132">
        <f>VLOOKUP($C132,Table1[],6,FALSE)</f>
        <v>461.47</v>
      </c>
      <c r="O132">
        <f>VLOOKUP($C132,Table1[],7,FALSE)</f>
        <v>190</v>
      </c>
      <c r="P132" t="str">
        <f>_xlfn.XLOOKUP($B132,Table3[Store_ID],Table3[Store_Name])</f>
        <v>Martinez-Mullins</v>
      </c>
      <c r="Q132" t="str" cm="1">
        <f t="array" ref="Q132">_xlfn.XLOOKUP($B132,Store_Dim!$A$2:$A$21,Table3[Region])</f>
        <v>South</v>
      </c>
      <c r="R132" t="str" cm="1">
        <f t="array" ref="R132">_xlfn.XLOOKUP($B132,Store_Dim!$A$2:$A$21,Table3[Store_Type])</f>
        <v>Online</v>
      </c>
      <c r="S132">
        <f>VLOOKUP(Table7[[#This Row],[Customer ID]],Table6[[Customer_ID]:[Total_Amount]],8,FALSE)</f>
        <v>1581.2496000000001</v>
      </c>
    </row>
    <row r="133" spans="1:19" x14ac:dyDescent="0.3">
      <c r="A133" t="s">
        <v>447</v>
      </c>
      <c r="B133" t="str">
        <f>_xlfn.XLOOKUP(Table7[[#This Row],[Customer ID]],Table6[Customer_ID],Table6[Store_ID])</f>
        <v>STORE0</v>
      </c>
      <c r="C133" t="str">
        <f>_xlfn.XLOOKUP(Table7[[#This Row],[Customer ID]],Table6[Customer_ID],Table6[Product_ID])</f>
        <v>PROD47</v>
      </c>
      <c r="D133" t="str">
        <f>VLOOKUP(Table7[[#This Row],[Customer ID]],Table4[#All],2,FALSE)</f>
        <v>Miguel Reynolds</v>
      </c>
      <c r="E133">
        <f>VLOOKUP($A133,Table4[],3,FALSE)</f>
        <v>57</v>
      </c>
      <c r="F133" t="str">
        <f>VLOOKUP($A133,Table4[],4,FALSE)</f>
        <v>Female</v>
      </c>
      <c r="G133" t="str">
        <f>VLOOKUP($A133,Table4[],5,FALSE)</f>
        <v>Taylorberg</v>
      </c>
      <c r="H133" t="str">
        <f>VLOOKUP($A133,Table4[],6,FALSE)</f>
        <v>Ohio</v>
      </c>
      <c r="I133" t="str">
        <f>VLOOKUP($A133,Table4[],8,FALSE)</f>
        <v>Gold</v>
      </c>
      <c r="J133" t="str">
        <f>VLOOKUP($C133,Table1[],2,FALSE)</f>
        <v>Makeup Brush Set</v>
      </c>
      <c r="K133" t="str">
        <f>VLOOKUP($C133,Table1[],3,FALSE)</f>
        <v>Beauty</v>
      </c>
      <c r="L133" t="str">
        <f>VLOOKUP($C133,Table1[],4,FALSE)</f>
        <v>Makeup</v>
      </c>
      <c r="M133" t="str">
        <f>VLOOKUP($C133,Table1[],5,FALSE)</f>
        <v>Cook Inc</v>
      </c>
      <c r="N133">
        <f>VLOOKUP($C133,Table1[],6,FALSE)</f>
        <v>241.07</v>
      </c>
      <c r="O133">
        <f>VLOOKUP($C133,Table1[],7,FALSE)</f>
        <v>431</v>
      </c>
      <c r="P133" t="str">
        <f>_xlfn.XLOOKUP($B133,Table3[Store_ID],Table3[Store_Name])</f>
        <v>Rivera-Warner</v>
      </c>
      <c r="Q133" t="str" cm="1">
        <f t="array" ref="Q133">_xlfn.XLOOKUP($B133,Store_Dim!$A$2:$A$21,Table3[Region])</f>
        <v>East</v>
      </c>
      <c r="R133" t="str" cm="1">
        <f t="array" ref="R133">_xlfn.XLOOKUP($B133,Store_Dim!$A$2:$A$21,Table3[Store_Type])</f>
        <v>Flagship</v>
      </c>
      <c r="S133">
        <f>VLOOKUP(Table7[[#This Row],[Customer ID]],Table6[[Customer_ID]:[Total_Amount]],8,FALSE)</f>
        <v>313.99</v>
      </c>
    </row>
    <row r="134" spans="1:19" x14ac:dyDescent="0.3">
      <c r="A134" t="s">
        <v>450</v>
      </c>
      <c r="B134" t="str">
        <f>_xlfn.XLOOKUP(Table7[[#This Row],[Customer ID]],Table6[Customer_ID],Table6[Store_ID])</f>
        <v>STORE4</v>
      </c>
      <c r="C134" t="str">
        <f>_xlfn.XLOOKUP(Table7[[#This Row],[Customer ID]],Table6[Customer_ID],Table6[Product_ID])</f>
        <v>PROD36</v>
      </c>
      <c r="D134" t="str">
        <f>VLOOKUP(Table7[[#This Row],[Customer ID]],Table4[#All],2,FALSE)</f>
        <v>Hayley Pope</v>
      </c>
      <c r="E134">
        <f>VLOOKUP($A134,Table4[],3,FALSE)</f>
        <v>62</v>
      </c>
      <c r="F134" t="str">
        <f>VLOOKUP($A134,Table4[],4,FALSE)</f>
        <v>Female</v>
      </c>
      <c r="G134" t="str">
        <f>VLOOKUP($A134,Table4[],5,FALSE)</f>
        <v>West Stephenville</v>
      </c>
      <c r="H134" t="str">
        <f>VLOOKUP($A134,Table4[],6,FALSE)</f>
        <v>Florida</v>
      </c>
      <c r="I134" t="str">
        <f>VLOOKUP($A134,Table4[],8,FALSE)</f>
        <v>Bronze</v>
      </c>
      <c r="J134" t="str">
        <f>VLOOKUP($C134,Table1[],2,FALSE)</f>
        <v>Women's Summer Dress</v>
      </c>
      <c r="K134" t="str">
        <f>VLOOKUP($C134,Table1[],3,FALSE)</f>
        <v>Clothing</v>
      </c>
      <c r="L134" t="str">
        <f>VLOOKUP($C134,Table1[],4,FALSE)</f>
        <v>Tops</v>
      </c>
      <c r="M134" t="str">
        <f>VLOOKUP($C134,Table1[],5,FALSE)</f>
        <v>Smith-Mills</v>
      </c>
      <c r="N134">
        <f>VLOOKUP($C134,Table1[],6,FALSE)</f>
        <v>223.43</v>
      </c>
      <c r="O134">
        <f>VLOOKUP($C134,Table1[],7,FALSE)</f>
        <v>154</v>
      </c>
      <c r="P134" t="str">
        <f>_xlfn.XLOOKUP($B134,Table3[Store_ID],Table3[Store_Name])</f>
        <v>Alexander Group</v>
      </c>
      <c r="Q134" t="str" cm="1">
        <f t="array" ref="Q134">_xlfn.XLOOKUP($B134,Store_Dim!$A$2:$A$21,Table3[Region])</f>
        <v>South</v>
      </c>
      <c r="R134" t="str" cm="1">
        <f t="array" ref="R134">_xlfn.XLOOKUP($B134,Store_Dim!$A$2:$A$21,Table3[Store_Type])</f>
        <v>Online</v>
      </c>
      <c r="S134">
        <f>VLOOKUP(Table7[[#This Row],[Customer ID]],Table6[[Customer_ID]:[Total_Amount]],8,FALSE)</f>
        <v>1174.2947999999999</v>
      </c>
    </row>
    <row r="135" spans="1:19" x14ac:dyDescent="0.3">
      <c r="A135" t="s">
        <v>453</v>
      </c>
      <c r="B135" t="str">
        <f>_xlfn.XLOOKUP(Table7[[#This Row],[Customer ID]],Table6[Customer_ID],Table6[Store_ID])</f>
        <v>STORE8</v>
      </c>
      <c r="C135" t="str">
        <f>_xlfn.XLOOKUP(Table7[[#This Row],[Customer ID]],Table6[Customer_ID],Table6[Product_ID])</f>
        <v>PROD70</v>
      </c>
      <c r="D135" t="str">
        <f>VLOOKUP(Table7[[#This Row],[Customer ID]],Table4[#All],2,FALSE)</f>
        <v>Morgan Bowen</v>
      </c>
      <c r="E135">
        <f>VLOOKUP($A135,Table4[],3,FALSE)</f>
        <v>54</v>
      </c>
      <c r="F135" t="str">
        <f>VLOOKUP($A135,Table4[],4,FALSE)</f>
        <v>Male</v>
      </c>
      <c r="G135" t="str">
        <f>VLOOKUP($A135,Table4[],5,FALSE)</f>
        <v>Parksfort</v>
      </c>
      <c r="H135" t="str">
        <f>VLOOKUP($A135,Table4[],6,FALSE)</f>
        <v>Washington</v>
      </c>
      <c r="I135" t="str">
        <f>VLOOKUP($A135,Table4[],8,FALSE)</f>
        <v>Gold</v>
      </c>
      <c r="J135" t="str">
        <f>VLOOKUP($C135,Table1[],2,FALSE)</f>
        <v>Kitchen Storage Rack</v>
      </c>
      <c r="K135" t="str">
        <f>VLOOKUP($C135,Table1[],3,FALSE)</f>
        <v>Home</v>
      </c>
      <c r="L135" t="str">
        <f>VLOOKUP($C135,Table1[],4,FALSE)</f>
        <v>Storage</v>
      </c>
      <c r="M135" t="str">
        <f>VLOOKUP($C135,Table1[],5,FALSE)</f>
        <v>Duran Group</v>
      </c>
      <c r="N135">
        <f>VLOOKUP($C135,Table1[],6,FALSE)</f>
        <v>138.05000000000001</v>
      </c>
      <c r="O135">
        <f>VLOOKUP($C135,Table1[],7,FALSE)</f>
        <v>89</v>
      </c>
      <c r="P135" t="str">
        <f>_xlfn.XLOOKUP($B135,Table3[Store_ID],Table3[Store_Name])</f>
        <v>Bean, Jones and Park</v>
      </c>
      <c r="Q135" t="str" cm="1">
        <f t="array" ref="Q135">_xlfn.XLOOKUP($B135,Store_Dim!$A$2:$A$21,Table3[Region])</f>
        <v>West</v>
      </c>
      <c r="R135" t="str" cm="1">
        <f t="array" ref="R135">_xlfn.XLOOKUP($B135,Store_Dim!$A$2:$A$21,Table3[Store_Type])</f>
        <v>Online</v>
      </c>
      <c r="S135">
        <f>VLOOKUP(Table7[[#This Row],[Customer ID]],Table6[[Customer_ID]:[Total_Amount]],8,FALSE)</f>
        <v>197.68199999999999</v>
      </c>
    </row>
    <row r="136" spans="1:19" x14ac:dyDescent="0.3">
      <c r="A136" t="s">
        <v>456</v>
      </c>
      <c r="B136" t="str">
        <f>_xlfn.XLOOKUP(Table7[[#This Row],[Customer ID]],Table6[Customer_ID],Table6[Store_ID])</f>
        <v>STORE11</v>
      </c>
      <c r="C136" t="str">
        <f>_xlfn.XLOOKUP(Table7[[#This Row],[Customer ID]],Table6[Customer_ID],Table6[Product_ID])</f>
        <v>PROD44</v>
      </c>
      <c r="D136" t="str">
        <f>VLOOKUP(Table7[[#This Row],[Customer ID]],Table4[#All],2,FALSE)</f>
        <v>Matthew Hanna</v>
      </c>
      <c r="E136">
        <f>VLOOKUP($A136,Table4[],3,FALSE)</f>
        <v>33</v>
      </c>
      <c r="F136" t="str">
        <f>VLOOKUP($A136,Table4[],4,FALSE)</f>
        <v>Female</v>
      </c>
      <c r="G136" t="str">
        <f>VLOOKUP($A136,Table4[],5,FALSE)</f>
        <v>Gonzalezbury</v>
      </c>
      <c r="H136" t="str">
        <f>VLOOKUP($A136,Table4[],6,FALSE)</f>
        <v>Michigan</v>
      </c>
      <c r="I136" t="str">
        <f>VLOOKUP($A136,Table4[],8,FALSE)</f>
        <v>Platinum</v>
      </c>
      <c r="J136" t="str">
        <f>VLOOKUP($C136,Table1[],2,FALSE)</f>
        <v>Adjustable Jump Rope</v>
      </c>
      <c r="K136" t="str">
        <f>VLOOKUP($C136,Table1[],3,FALSE)</f>
        <v>Sports</v>
      </c>
      <c r="L136" t="str">
        <f>VLOOKUP($C136,Table1[],4,FALSE)</f>
        <v>Fitness</v>
      </c>
      <c r="M136" t="str">
        <f>VLOOKUP($C136,Table1[],5,FALSE)</f>
        <v>Cox Inc</v>
      </c>
      <c r="N136">
        <f>VLOOKUP($C136,Table1[],6,FALSE)</f>
        <v>167.12</v>
      </c>
      <c r="O136">
        <f>VLOOKUP($C136,Table1[],7,FALSE)</f>
        <v>316</v>
      </c>
      <c r="P136" t="str">
        <f>_xlfn.XLOOKUP($B136,Table3[Store_ID],Table3[Store_Name])</f>
        <v>Aguirre-Keller</v>
      </c>
      <c r="Q136" t="str" cm="1">
        <f t="array" ref="Q136">_xlfn.XLOOKUP($B136,Store_Dim!$A$2:$A$21,Table3[Region])</f>
        <v>South</v>
      </c>
      <c r="R136" t="str" cm="1">
        <f t="array" ref="R136">_xlfn.XLOOKUP($B136,Store_Dim!$A$2:$A$21,Table3[Store_Type])</f>
        <v>Online</v>
      </c>
      <c r="S136">
        <f>VLOOKUP(Table7[[#This Row],[Customer ID]],Table6[[Customer_ID]:[Total_Amount]],8,FALSE)</f>
        <v>525.00279999999998</v>
      </c>
    </row>
    <row r="137" spans="1:19" x14ac:dyDescent="0.3">
      <c r="A137" t="s">
        <v>459</v>
      </c>
      <c r="B137" t="str">
        <f>_xlfn.XLOOKUP(Table7[[#This Row],[Customer ID]],Table6[Customer_ID],Table6[Store_ID])</f>
        <v>STORE17</v>
      </c>
      <c r="C137" t="str">
        <f>_xlfn.XLOOKUP(Table7[[#This Row],[Customer ID]],Table6[Customer_ID],Table6[Product_ID])</f>
        <v>PROD35</v>
      </c>
      <c r="D137" t="str">
        <f>VLOOKUP(Table7[[#This Row],[Customer ID]],Table4[#All],2,FALSE)</f>
        <v>Patrick Coleman</v>
      </c>
      <c r="E137">
        <f>VLOOKUP($A137,Table4[],3,FALSE)</f>
        <v>29</v>
      </c>
      <c r="F137" t="str">
        <f>VLOOKUP($A137,Table4[],4,FALSE)</f>
        <v>Male</v>
      </c>
      <c r="G137" t="str">
        <f>VLOOKUP($A137,Table4[],5,FALSE)</f>
        <v>New Jeffrey</v>
      </c>
      <c r="H137" t="str">
        <f>VLOOKUP($A137,Table4[],6,FALSE)</f>
        <v>Nebraska</v>
      </c>
      <c r="I137" t="str">
        <f>VLOOKUP($A137,Table4[],8,FALSE)</f>
        <v>Silver</v>
      </c>
      <c r="J137" t="str">
        <f>VLOOKUP($C137,Table1[],2,FALSE)</f>
        <v>Bedroom Table Lamp</v>
      </c>
      <c r="K137" t="str">
        <f>VLOOKUP($C137,Table1[],3,FALSE)</f>
        <v>Home</v>
      </c>
      <c r="L137" t="str">
        <f>VLOOKUP($C137,Table1[],4,FALSE)</f>
        <v>Lighting</v>
      </c>
      <c r="M137" t="str">
        <f>VLOOKUP($C137,Table1[],5,FALSE)</f>
        <v>Jones LLC</v>
      </c>
      <c r="N137">
        <f>VLOOKUP($C137,Table1[],6,FALSE)</f>
        <v>382.22</v>
      </c>
      <c r="O137">
        <f>VLOOKUP($C137,Table1[],7,FALSE)</f>
        <v>329</v>
      </c>
      <c r="P137" t="str">
        <f>_xlfn.XLOOKUP($B137,Table3[Store_ID],Table3[Store_Name])</f>
        <v>Holloway Ltd</v>
      </c>
      <c r="Q137" t="str" cm="1">
        <f t="array" ref="Q137">_xlfn.XLOOKUP($B137,Store_Dim!$A$2:$A$21,Table3[Region])</f>
        <v>North</v>
      </c>
      <c r="R137" t="str" cm="1">
        <f t="array" ref="R137">_xlfn.XLOOKUP($B137,Store_Dim!$A$2:$A$21,Table3[Store_Type])</f>
        <v>Flagship</v>
      </c>
      <c r="S137">
        <f>VLOOKUP(Table7[[#This Row],[Customer ID]],Table6[[Customer_ID]:[Total_Amount]],8,FALSE)</f>
        <v>180.5814</v>
      </c>
    </row>
    <row r="138" spans="1:19" x14ac:dyDescent="0.3">
      <c r="A138" t="s">
        <v>462</v>
      </c>
      <c r="B138" t="str">
        <f>_xlfn.XLOOKUP(Table7[[#This Row],[Customer ID]],Table6[Customer_ID],Table6[Store_ID])</f>
        <v>STORE5</v>
      </c>
      <c r="C138" t="str">
        <f>_xlfn.XLOOKUP(Table7[[#This Row],[Customer ID]],Table6[Customer_ID],Table6[Product_ID])</f>
        <v>PROD26</v>
      </c>
      <c r="D138" t="str">
        <f>VLOOKUP(Table7[[#This Row],[Customer ID]],Table4[#All],2,FALSE)</f>
        <v>Rick Dominguez</v>
      </c>
      <c r="E138">
        <f>VLOOKUP($A138,Table4[],3,FALSE)</f>
        <v>55</v>
      </c>
      <c r="F138" t="str">
        <f>VLOOKUP($A138,Table4[],4,FALSE)</f>
        <v>Female</v>
      </c>
      <c r="G138" t="str">
        <f>VLOOKUP($A138,Table4[],5,FALSE)</f>
        <v>North Johnbury</v>
      </c>
      <c r="H138" t="str">
        <f>VLOOKUP($A138,Table4[],6,FALSE)</f>
        <v>Ohio</v>
      </c>
      <c r="I138" t="str">
        <f>VLOOKUP($A138,Table4[],8,FALSE)</f>
        <v>Platinum</v>
      </c>
      <c r="J138" t="str">
        <f>VLOOKUP($C138,Table1[],2,FALSE)</f>
        <v>Wireless Bluetooth Speaker</v>
      </c>
      <c r="K138" t="str">
        <f>VLOOKUP($C138,Table1[],3,FALSE)</f>
        <v>Electronics</v>
      </c>
      <c r="L138" t="str">
        <f>VLOOKUP($C138,Table1[],4,FALSE)</f>
        <v>Audio</v>
      </c>
      <c r="M138" t="str">
        <f>VLOOKUP($C138,Table1[],5,FALSE)</f>
        <v>Reed-Schmidt</v>
      </c>
      <c r="N138">
        <f>VLOOKUP($C138,Table1[],6,FALSE)</f>
        <v>322.41000000000003</v>
      </c>
      <c r="O138">
        <f>VLOOKUP($C138,Table1[],7,FALSE)</f>
        <v>213</v>
      </c>
      <c r="P138" t="str">
        <f>_xlfn.XLOOKUP($B138,Table3[Store_ID],Table3[Store_Name])</f>
        <v>Gray Ltd</v>
      </c>
      <c r="Q138" t="str" cm="1">
        <f t="array" ref="Q138">_xlfn.XLOOKUP($B138,Store_Dim!$A$2:$A$21,Table3[Region])</f>
        <v>North</v>
      </c>
      <c r="R138" t="str" cm="1">
        <f t="array" ref="R138">_xlfn.XLOOKUP($B138,Store_Dim!$A$2:$A$21,Table3[Store_Type])</f>
        <v>Outlet</v>
      </c>
      <c r="S138">
        <f>VLOOKUP(Table7[[#This Row],[Customer ID]],Table6[[Customer_ID]:[Total_Amount]],8,FALSE)</f>
        <v>981.9864</v>
      </c>
    </row>
    <row r="139" spans="1:19" x14ac:dyDescent="0.3">
      <c r="A139" t="s">
        <v>465</v>
      </c>
      <c r="B139" t="str">
        <f>_xlfn.XLOOKUP(Table7[[#This Row],[Customer ID]],Table6[Customer_ID],Table6[Store_ID])</f>
        <v>STORE18</v>
      </c>
      <c r="C139" t="str">
        <f>_xlfn.XLOOKUP(Table7[[#This Row],[Customer ID]],Table6[Customer_ID],Table6[Product_ID])</f>
        <v>PROD46</v>
      </c>
      <c r="D139" t="str">
        <f>VLOOKUP(Table7[[#This Row],[Customer ID]],Table4[#All],2,FALSE)</f>
        <v>Sean Roth</v>
      </c>
      <c r="E139">
        <f>VLOOKUP($A139,Table4[],3,FALSE)</f>
        <v>43</v>
      </c>
      <c r="F139" t="str">
        <f>VLOOKUP($A139,Table4[],4,FALSE)</f>
        <v>Male</v>
      </c>
      <c r="G139" t="str">
        <f>VLOOKUP($A139,Table4[],5,FALSE)</f>
        <v>Lake Michael</v>
      </c>
      <c r="H139" t="str">
        <f>VLOOKUP($A139,Table4[],6,FALSE)</f>
        <v>Virginia</v>
      </c>
      <c r="I139" t="str">
        <f>VLOOKUP($A139,Table4[],8,FALSE)</f>
        <v>Gold</v>
      </c>
      <c r="J139" t="str">
        <f>VLOOKUP($C139,Table1[],2,FALSE)</f>
        <v>Men's Winter Jacket</v>
      </c>
      <c r="K139" t="str">
        <f>VLOOKUP($C139,Table1[],3,FALSE)</f>
        <v>Clothing</v>
      </c>
      <c r="L139" t="str">
        <f>VLOOKUP($C139,Table1[],4,FALSE)</f>
        <v>Outerwear</v>
      </c>
      <c r="M139" t="str">
        <f>VLOOKUP($C139,Table1[],5,FALSE)</f>
        <v>Kelly, Smith and Perez</v>
      </c>
      <c r="N139">
        <f>VLOOKUP($C139,Table1[],6,FALSE)</f>
        <v>167.34</v>
      </c>
      <c r="O139">
        <f>VLOOKUP($C139,Table1[],7,FALSE)</f>
        <v>296</v>
      </c>
      <c r="P139" t="str">
        <f>_xlfn.XLOOKUP($B139,Table3[Store_ID],Table3[Store_Name])</f>
        <v>Guerrero-Schmitt</v>
      </c>
      <c r="Q139" t="str" cm="1">
        <f t="array" ref="Q139">_xlfn.XLOOKUP($B139,Store_Dim!$A$2:$A$21,Table3[Region])</f>
        <v>East</v>
      </c>
      <c r="R139" t="str" cm="1">
        <f t="array" ref="R139">_xlfn.XLOOKUP($B139,Store_Dim!$A$2:$A$21,Table3[Store_Type])</f>
        <v>Flagship</v>
      </c>
      <c r="S139">
        <f>VLOOKUP(Table7[[#This Row],[Customer ID]],Table6[[Customer_ID]:[Total_Amount]],8,FALSE)</f>
        <v>780.75299999999993</v>
      </c>
    </row>
    <row r="140" spans="1:19" x14ac:dyDescent="0.3">
      <c r="A140" t="s">
        <v>467</v>
      </c>
      <c r="B140" t="str">
        <f>_xlfn.XLOOKUP(Table7[[#This Row],[Customer ID]],Table6[Customer_ID],Table6[Store_ID])</f>
        <v>STORE18</v>
      </c>
      <c r="C140" t="str">
        <f>_xlfn.XLOOKUP(Table7[[#This Row],[Customer ID]],Table6[Customer_ID],Table6[Product_ID])</f>
        <v>PROD15</v>
      </c>
      <c r="D140" t="str">
        <f>VLOOKUP(Table7[[#This Row],[Customer ID]],Table4[#All],2,FALSE)</f>
        <v>Brian Holder</v>
      </c>
      <c r="E140">
        <f>VLOOKUP($A140,Table4[],3,FALSE)</f>
        <v>32</v>
      </c>
      <c r="F140" t="str">
        <f>VLOOKUP($A140,Table4[],4,FALSE)</f>
        <v>Male</v>
      </c>
      <c r="G140" t="str">
        <f>VLOOKUP($A140,Table4[],5,FALSE)</f>
        <v>Port Travis</v>
      </c>
      <c r="H140" t="str">
        <f>VLOOKUP($A140,Table4[],6,FALSE)</f>
        <v>Utah</v>
      </c>
      <c r="I140" t="str">
        <f>VLOOKUP($A140,Table4[],8,FALSE)</f>
        <v>Bronze</v>
      </c>
      <c r="J140" t="str">
        <f>VLOOKUP($C140,Table1[],2,FALSE)</f>
        <v>4K Home Projector</v>
      </c>
      <c r="K140" t="str">
        <f>VLOOKUP($C140,Table1[],3,FALSE)</f>
        <v>Electronics</v>
      </c>
      <c r="L140" t="str">
        <f>VLOOKUP($C140,Table1[],4,FALSE)</f>
        <v>Appliances</v>
      </c>
      <c r="M140" t="str">
        <f>VLOOKUP($C140,Table1[],5,FALSE)</f>
        <v>Thomas LLC</v>
      </c>
      <c r="N140">
        <f>VLOOKUP($C140,Table1[],6,FALSE)</f>
        <v>465.34</v>
      </c>
      <c r="O140">
        <f>VLOOKUP($C140,Table1[],7,FALSE)</f>
        <v>301</v>
      </c>
      <c r="P140" t="str">
        <f>_xlfn.XLOOKUP($B140,Table3[Store_ID],Table3[Store_Name])</f>
        <v>Guerrero-Schmitt</v>
      </c>
      <c r="Q140" t="str" cm="1">
        <f t="array" ref="Q140">_xlfn.XLOOKUP($B140,Store_Dim!$A$2:$A$21,Table3[Region])</f>
        <v>East</v>
      </c>
      <c r="R140" t="str" cm="1">
        <f t="array" ref="R140">_xlfn.XLOOKUP($B140,Store_Dim!$A$2:$A$21,Table3[Store_Type])</f>
        <v>Flagship</v>
      </c>
      <c r="S140">
        <f>VLOOKUP(Table7[[#This Row],[Customer ID]],Table6[[Customer_ID]:[Total_Amount]],8,FALSE)</f>
        <v>1043.8271999999999</v>
      </c>
    </row>
    <row r="141" spans="1:19" x14ac:dyDescent="0.3">
      <c r="A141" t="s">
        <v>470</v>
      </c>
      <c r="B141" t="str">
        <f>_xlfn.XLOOKUP(Table7[[#This Row],[Customer ID]],Table6[Customer_ID],Table6[Store_ID])</f>
        <v>STORE1</v>
      </c>
      <c r="C141" t="str">
        <f>_xlfn.XLOOKUP(Table7[[#This Row],[Customer ID]],Table6[Customer_ID],Table6[Product_ID])</f>
        <v>PROD35</v>
      </c>
      <c r="D141" t="str">
        <f>VLOOKUP(Table7[[#This Row],[Customer ID]],Table4[#All],2,FALSE)</f>
        <v>Patty Francis</v>
      </c>
      <c r="E141">
        <f>VLOOKUP($A141,Table4[],3,FALSE)</f>
        <v>63</v>
      </c>
      <c r="F141" t="str">
        <f>VLOOKUP($A141,Table4[],4,FALSE)</f>
        <v>Female</v>
      </c>
      <c r="G141" t="str">
        <f>VLOOKUP($A141,Table4[],5,FALSE)</f>
        <v>South Brooke</v>
      </c>
      <c r="H141" t="str">
        <f>VLOOKUP($A141,Table4[],6,FALSE)</f>
        <v>Pennsylvania</v>
      </c>
      <c r="I141" t="str">
        <f>VLOOKUP($A141,Table4[],8,FALSE)</f>
        <v>Gold</v>
      </c>
      <c r="J141" t="str">
        <f>VLOOKUP($C141,Table1[],2,FALSE)</f>
        <v>Bedroom Table Lamp</v>
      </c>
      <c r="K141" t="str">
        <f>VLOOKUP($C141,Table1[],3,FALSE)</f>
        <v>Home</v>
      </c>
      <c r="L141" t="str">
        <f>VLOOKUP($C141,Table1[],4,FALSE)</f>
        <v>Lighting</v>
      </c>
      <c r="M141" t="str">
        <f>VLOOKUP($C141,Table1[],5,FALSE)</f>
        <v>Jones LLC</v>
      </c>
      <c r="N141">
        <f>VLOOKUP($C141,Table1[],6,FALSE)</f>
        <v>382.22</v>
      </c>
      <c r="O141">
        <f>VLOOKUP($C141,Table1[],7,FALSE)</f>
        <v>329</v>
      </c>
      <c r="P141" t="str">
        <f>_xlfn.XLOOKUP($B141,Table3[Store_ID],Table3[Store_Name])</f>
        <v>Martinez, Adkins and Johnson</v>
      </c>
      <c r="Q141" t="str" cm="1">
        <f t="array" ref="Q141">_xlfn.XLOOKUP($B141,Store_Dim!$A$2:$A$21,Table3[Region])</f>
        <v>North</v>
      </c>
      <c r="R141" t="str" cm="1">
        <f t="array" ref="R141">_xlfn.XLOOKUP($B141,Store_Dim!$A$2:$A$21,Table3[Store_Type])</f>
        <v>Flagship</v>
      </c>
      <c r="S141">
        <f>VLOOKUP(Table7[[#This Row],[Customer ID]],Table6[[Customer_ID]:[Total_Amount]],8,FALSE)</f>
        <v>267.20600000000002</v>
      </c>
    </row>
    <row r="142" spans="1:19" x14ac:dyDescent="0.3">
      <c r="A142" t="s">
        <v>473</v>
      </c>
      <c r="B142" t="str">
        <f>_xlfn.XLOOKUP(Table7[[#This Row],[Customer ID]],Table6[Customer_ID],Table6[Store_ID])</f>
        <v>STORE6</v>
      </c>
      <c r="C142" t="str">
        <f>_xlfn.XLOOKUP(Table7[[#This Row],[Customer ID]],Table6[Customer_ID],Table6[Product_ID])</f>
        <v>PROD21</v>
      </c>
      <c r="D142" t="str">
        <f>VLOOKUP(Table7[[#This Row],[Customer ID]],Table4[#All],2,FALSE)</f>
        <v>Cristian Wright</v>
      </c>
      <c r="E142">
        <f>VLOOKUP($A142,Table4[],3,FALSE)</f>
        <v>30</v>
      </c>
      <c r="F142" t="str">
        <f>VLOOKUP($A142,Table4[],4,FALSE)</f>
        <v>Male</v>
      </c>
      <c r="G142" t="str">
        <f>VLOOKUP($A142,Table4[],5,FALSE)</f>
        <v>Port Denise</v>
      </c>
      <c r="H142" t="str">
        <f>VLOOKUP($A142,Table4[],6,FALSE)</f>
        <v>California</v>
      </c>
      <c r="I142" t="str">
        <f>VLOOKUP($A142,Table4[],8,FALSE)</f>
        <v>Bronze</v>
      </c>
      <c r="J142" t="str">
        <f>VLOOKUP($C142,Table1[],2,FALSE)</f>
        <v>Multi-Purpose Storage Box</v>
      </c>
      <c r="K142" t="str">
        <f>VLOOKUP($C142,Table1[],3,FALSE)</f>
        <v>Home</v>
      </c>
      <c r="L142" t="str">
        <f>VLOOKUP($C142,Table1[],4,FALSE)</f>
        <v>Storage</v>
      </c>
      <c r="M142" t="str">
        <f>VLOOKUP($C142,Table1[],5,FALSE)</f>
        <v>Gardner-Montes</v>
      </c>
      <c r="N142">
        <f>VLOOKUP($C142,Table1[],6,FALSE)</f>
        <v>123.46</v>
      </c>
      <c r="O142">
        <f>VLOOKUP($C142,Table1[],7,FALSE)</f>
        <v>76</v>
      </c>
      <c r="P142" t="str">
        <f>_xlfn.XLOOKUP($B142,Table3[Store_ID],Table3[Store_Name])</f>
        <v>Benson-Elliott</v>
      </c>
      <c r="Q142" t="str" cm="1">
        <f t="array" ref="Q142">_xlfn.XLOOKUP($B142,Store_Dim!$A$2:$A$21,Table3[Region])</f>
        <v>East</v>
      </c>
      <c r="R142" t="str" cm="1">
        <f t="array" ref="R142">_xlfn.XLOOKUP($B142,Store_Dim!$A$2:$A$21,Table3[Store_Type])</f>
        <v>Online</v>
      </c>
      <c r="S142">
        <f>VLOOKUP(Table7[[#This Row],[Customer ID]],Table6[[Customer_ID]:[Total_Amount]],8,FALSE)</f>
        <v>388.5</v>
      </c>
    </row>
    <row r="143" spans="1:19" x14ac:dyDescent="0.3">
      <c r="A143" t="s">
        <v>476</v>
      </c>
      <c r="B143" t="str">
        <f>_xlfn.XLOOKUP(Table7[[#This Row],[Customer ID]],Table6[Customer_ID],Table6[Store_ID])</f>
        <v>STORE7</v>
      </c>
      <c r="C143" t="str">
        <f>_xlfn.XLOOKUP(Table7[[#This Row],[Customer ID]],Table6[Customer_ID],Table6[Product_ID])</f>
        <v>PROD69</v>
      </c>
      <c r="D143" t="str">
        <f>VLOOKUP(Table7[[#This Row],[Customer ID]],Table4[#All],2,FALSE)</f>
        <v>Maria Ramirez</v>
      </c>
      <c r="E143">
        <f>VLOOKUP($A143,Table4[],3,FALSE)</f>
        <v>37</v>
      </c>
      <c r="F143" t="str">
        <f>VLOOKUP($A143,Table4[],4,FALSE)</f>
        <v>Male</v>
      </c>
      <c r="G143" t="str">
        <f>VLOOKUP($A143,Table4[],5,FALSE)</f>
        <v>West Brandon</v>
      </c>
      <c r="H143" t="str">
        <f>VLOOKUP($A143,Table4[],6,FALSE)</f>
        <v>Montana</v>
      </c>
      <c r="I143" t="str">
        <f>VLOOKUP($A143,Table4[],8,FALSE)</f>
        <v>Bronze</v>
      </c>
      <c r="J143" t="str">
        <f>VLOOKUP($C143,Table1[],2,FALSE)</f>
        <v>Men's Sports Shorts</v>
      </c>
      <c r="K143" t="str">
        <f>VLOOKUP($C143,Table1[],3,FALSE)</f>
        <v>Clothing</v>
      </c>
      <c r="L143" t="str">
        <f>VLOOKUP($C143,Table1[],4,FALSE)</f>
        <v>Bottoms</v>
      </c>
      <c r="M143" t="str">
        <f>VLOOKUP($C143,Table1[],5,FALSE)</f>
        <v>Fitzpatrick Ltd</v>
      </c>
      <c r="N143">
        <f>VLOOKUP($C143,Table1[],6,FALSE)</f>
        <v>218.22</v>
      </c>
      <c r="O143">
        <f>VLOOKUP($C143,Table1[],7,FALSE)</f>
        <v>224</v>
      </c>
      <c r="P143" t="str">
        <f>_xlfn.XLOOKUP($B143,Table3[Store_ID],Table3[Store_Name])</f>
        <v>Martinez-Mullins</v>
      </c>
      <c r="Q143" t="str" cm="1">
        <f t="array" ref="Q143">_xlfn.XLOOKUP($B143,Store_Dim!$A$2:$A$21,Table3[Region])</f>
        <v>South</v>
      </c>
      <c r="R143" t="str" cm="1">
        <f t="array" ref="R143">_xlfn.XLOOKUP($B143,Store_Dim!$A$2:$A$21,Table3[Store_Type])</f>
        <v>Online</v>
      </c>
      <c r="S143">
        <f>VLOOKUP(Table7[[#This Row],[Customer ID]],Table6[[Customer_ID]:[Total_Amount]],8,FALSE)</f>
        <v>169.9854</v>
      </c>
    </row>
    <row r="144" spans="1:19" x14ac:dyDescent="0.3">
      <c r="A144" t="s">
        <v>479</v>
      </c>
      <c r="B144" t="str">
        <f>_xlfn.XLOOKUP(Table7[[#This Row],[Customer ID]],Table6[Customer_ID],Table6[Store_ID])</f>
        <v>STORE1</v>
      </c>
      <c r="C144" t="str">
        <f>_xlfn.XLOOKUP(Table7[[#This Row],[Customer ID]],Table6[Customer_ID],Table6[Product_ID])</f>
        <v>PROD17</v>
      </c>
      <c r="D144" t="str">
        <f>VLOOKUP(Table7[[#This Row],[Customer ID]],Table4[#All],2,FALSE)</f>
        <v>Carlos Skinner</v>
      </c>
      <c r="E144">
        <f>VLOOKUP($A144,Table4[],3,FALSE)</f>
        <v>46</v>
      </c>
      <c r="F144" t="str">
        <f>VLOOKUP($A144,Table4[],4,FALSE)</f>
        <v>Male</v>
      </c>
      <c r="G144" t="str">
        <f>VLOOKUP($A144,Table4[],5,FALSE)</f>
        <v>Dwaynemouth</v>
      </c>
      <c r="H144" t="str">
        <f>VLOOKUP($A144,Table4[],6,FALSE)</f>
        <v>Alabama</v>
      </c>
      <c r="I144" t="str">
        <f>VLOOKUP($A144,Table4[],8,FALSE)</f>
        <v>Bronze</v>
      </c>
      <c r="J144" t="str">
        <f>VLOOKUP($C144,Table1[],2,FALSE)</f>
        <v>Soccer Training Cone Set</v>
      </c>
      <c r="K144" t="str">
        <f>VLOOKUP($C144,Table1[],3,FALSE)</f>
        <v>Sports</v>
      </c>
      <c r="L144" t="str">
        <f>VLOOKUP($C144,Table1[],4,FALSE)</f>
        <v>Accessories</v>
      </c>
      <c r="M144" t="str">
        <f>VLOOKUP($C144,Table1[],5,FALSE)</f>
        <v>Ford, Murphy and Wilson</v>
      </c>
      <c r="N144">
        <f>VLOOKUP($C144,Table1[],6,FALSE)</f>
        <v>144.53</v>
      </c>
      <c r="O144">
        <f>VLOOKUP($C144,Table1[],7,FALSE)</f>
        <v>367</v>
      </c>
      <c r="P144" t="str">
        <f>_xlfn.XLOOKUP($B144,Table3[Store_ID],Table3[Store_Name])</f>
        <v>Martinez, Adkins and Johnson</v>
      </c>
      <c r="Q144" t="str" cm="1">
        <f t="array" ref="Q144">_xlfn.XLOOKUP($B144,Store_Dim!$A$2:$A$21,Table3[Region])</f>
        <v>North</v>
      </c>
      <c r="R144" t="str" cm="1">
        <f t="array" ref="R144">_xlfn.XLOOKUP($B144,Store_Dim!$A$2:$A$21,Table3[Store_Type])</f>
        <v>Flagship</v>
      </c>
      <c r="S144">
        <f>VLOOKUP(Table7[[#This Row],[Customer ID]],Table6[[Customer_ID]:[Total_Amount]],8,FALSE)</f>
        <v>705.78959999999995</v>
      </c>
    </row>
    <row r="145" spans="1:19" x14ac:dyDescent="0.3">
      <c r="A145" t="s">
        <v>482</v>
      </c>
      <c r="B145" t="str">
        <f>_xlfn.XLOOKUP(Table7[[#This Row],[Customer ID]],Table6[Customer_ID],Table6[Store_ID])</f>
        <v>STORE17</v>
      </c>
      <c r="C145" t="str">
        <f>_xlfn.XLOOKUP(Table7[[#This Row],[Customer ID]],Table6[Customer_ID],Table6[Product_ID])</f>
        <v>PROD72</v>
      </c>
      <c r="D145" t="str">
        <f>VLOOKUP(Table7[[#This Row],[Customer ID]],Table4[#All],2,FALSE)</f>
        <v>Justin Cross</v>
      </c>
      <c r="E145">
        <f>VLOOKUP($A145,Table4[],3,FALSE)</f>
        <v>62</v>
      </c>
      <c r="F145" t="str">
        <f>VLOOKUP($A145,Table4[],4,FALSE)</f>
        <v>Female</v>
      </c>
      <c r="G145" t="str">
        <f>VLOOKUP($A145,Table4[],5,FALSE)</f>
        <v>North Anthonychester</v>
      </c>
      <c r="H145" t="str">
        <f>VLOOKUP($A145,Table4[],6,FALSE)</f>
        <v>Nevada</v>
      </c>
      <c r="I145" t="str">
        <f>VLOOKUP($A145,Table4[],8,FALSE)</f>
        <v>Bronze</v>
      </c>
      <c r="J145" t="str">
        <f>VLOOKUP($C145,Table1[],2,FALSE)</f>
        <v>Professional Jump Rope</v>
      </c>
      <c r="K145" t="str">
        <f>VLOOKUP($C145,Table1[],3,FALSE)</f>
        <v>Sports</v>
      </c>
      <c r="L145" t="str">
        <f>VLOOKUP($C145,Table1[],4,FALSE)</f>
        <v>Fitness</v>
      </c>
      <c r="M145" t="str">
        <f>VLOOKUP($C145,Table1[],5,FALSE)</f>
        <v>Davis PLC</v>
      </c>
      <c r="N145">
        <f>VLOOKUP($C145,Table1[],6,FALSE)</f>
        <v>477.61</v>
      </c>
      <c r="O145">
        <f>VLOOKUP($C145,Table1[],7,FALSE)</f>
        <v>300</v>
      </c>
      <c r="P145" t="str">
        <f>_xlfn.XLOOKUP($B145,Table3[Store_ID],Table3[Store_Name])</f>
        <v>Holloway Ltd</v>
      </c>
      <c r="Q145" t="str" cm="1">
        <f t="array" ref="Q145">_xlfn.XLOOKUP($B145,Store_Dim!$A$2:$A$21,Table3[Region])</f>
        <v>North</v>
      </c>
      <c r="R145" t="str" cm="1">
        <f t="array" ref="R145">_xlfn.XLOOKUP($B145,Store_Dim!$A$2:$A$21,Table3[Store_Type])</f>
        <v>Flagship</v>
      </c>
      <c r="S145">
        <f>VLOOKUP(Table7[[#This Row],[Customer ID]],Table6[[Customer_ID]:[Total_Amount]],8,FALSE)</f>
        <v>2159.4276</v>
      </c>
    </row>
    <row r="146" spans="1:19" x14ac:dyDescent="0.3">
      <c r="A146" t="s">
        <v>485</v>
      </c>
      <c r="B146" t="str">
        <f>_xlfn.XLOOKUP(Table7[[#This Row],[Customer ID]],Table6[Customer_ID],Table6[Store_ID])</f>
        <v>STORE5</v>
      </c>
      <c r="C146" t="str">
        <f>_xlfn.XLOOKUP(Table7[[#This Row],[Customer ID]],Table6[Customer_ID],Table6[Product_ID])</f>
        <v>PROD69</v>
      </c>
      <c r="D146" t="str">
        <f>VLOOKUP(Table7[[#This Row],[Customer ID]],Table4[#All],2,FALSE)</f>
        <v>Cameron Simpson</v>
      </c>
      <c r="E146">
        <f>VLOOKUP($A146,Table4[],3,FALSE)</f>
        <v>46</v>
      </c>
      <c r="F146" t="str">
        <f>VLOOKUP($A146,Table4[],4,FALSE)</f>
        <v>Male</v>
      </c>
      <c r="G146" t="str">
        <f>VLOOKUP($A146,Table4[],5,FALSE)</f>
        <v>Michaelfort</v>
      </c>
      <c r="H146" t="str">
        <f>VLOOKUP($A146,Table4[],6,FALSE)</f>
        <v>Indiana</v>
      </c>
      <c r="I146" t="str">
        <f>VLOOKUP($A146,Table4[],8,FALSE)</f>
        <v>Platinum</v>
      </c>
      <c r="J146" t="str">
        <f>VLOOKUP($C146,Table1[],2,FALSE)</f>
        <v>Men's Sports Shorts</v>
      </c>
      <c r="K146" t="str">
        <f>VLOOKUP($C146,Table1[],3,FALSE)</f>
        <v>Clothing</v>
      </c>
      <c r="L146" t="str">
        <f>VLOOKUP($C146,Table1[],4,FALSE)</f>
        <v>Bottoms</v>
      </c>
      <c r="M146" t="str">
        <f>VLOOKUP($C146,Table1[],5,FALSE)</f>
        <v>Fitzpatrick Ltd</v>
      </c>
      <c r="N146">
        <f>VLOOKUP($C146,Table1[],6,FALSE)</f>
        <v>218.22</v>
      </c>
      <c r="O146">
        <f>VLOOKUP($C146,Table1[],7,FALSE)</f>
        <v>224</v>
      </c>
      <c r="P146" t="str">
        <f>_xlfn.XLOOKUP($B146,Table3[Store_ID],Table3[Store_Name])</f>
        <v>Gray Ltd</v>
      </c>
      <c r="Q146" t="str" cm="1">
        <f t="array" ref="Q146">_xlfn.XLOOKUP($B146,Store_Dim!$A$2:$A$21,Table3[Region])</f>
        <v>North</v>
      </c>
      <c r="R146" t="str" cm="1">
        <f t="array" ref="R146">_xlfn.XLOOKUP($B146,Store_Dim!$A$2:$A$21,Table3[Store_Type])</f>
        <v>Outlet</v>
      </c>
      <c r="S146">
        <f>VLOOKUP(Table7[[#This Row],[Customer ID]],Table6[[Customer_ID]:[Total_Amount]],8,FALSE)</f>
        <v>570.87099999999998</v>
      </c>
    </row>
    <row r="147" spans="1:19" x14ac:dyDescent="0.3">
      <c r="A147" t="s">
        <v>488</v>
      </c>
      <c r="B147" t="str">
        <f>_xlfn.XLOOKUP(Table7[[#This Row],[Customer ID]],Table6[Customer_ID],Table6[Store_ID])</f>
        <v>STORE12</v>
      </c>
      <c r="C147" t="str">
        <f>_xlfn.XLOOKUP(Table7[[#This Row],[Customer ID]],Table6[Customer_ID],Table6[Product_ID])</f>
        <v>PROD25</v>
      </c>
      <c r="D147" t="str">
        <f>VLOOKUP(Table7[[#This Row],[Customer ID]],Table4[#All],2,FALSE)</f>
        <v>Edward Rivera</v>
      </c>
      <c r="E147">
        <f>VLOOKUP($A147,Table4[],3,FALSE)</f>
        <v>32</v>
      </c>
      <c r="F147" t="str">
        <f>VLOOKUP($A147,Table4[],4,FALSE)</f>
        <v>Female</v>
      </c>
      <c r="G147" t="str">
        <f>VLOOKUP($A147,Table4[],5,FALSE)</f>
        <v>Chungmouth</v>
      </c>
      <c r="H147" t="str">
        <f>VLOOKUP($A147,Table4[],6,FALSE)</f>
        <v>South Carolina</v>
      </c>
      <c r="I147" t="str">
        <f>VLOOKUP($A147,Table4[],8,FALSE)</f>
        <v>Gold</v>
      </c>
      <c r="J147" t="str">
        <f>VLOOKUP($C147,Table1[],2,FALSE)</f>
        <v>Women's Scarf Set</v>
      </c>
      <c r="K147" t="str">
        <f>VLOOKUP($C147,Table1[],3,FALSE)</f>
        <v>Clothing</v>
      </c>
      <c r="L147" t="str">
        <f>VLOOKUP($C147,Table1[],4,FALSE)</f>
        <v>Accessories</v>
      </c>
      <c r="M147" t="str">
        <f>VLOOKUP($C147,Table1[],5,FALSE)</f>
        <v>Brown and Sons</v>
      </c>
      <c r="N147">
        <f>VLOOKUP($C147,Table1[],6,FALSE)</f>
        <v>174.02</v>
      </c>
      <c r="O147">
        <f>VLOOKUP($C147,Table1[],7,FALSE)</f>
        <v>268</v>
      </c>
      <c r="P147" t="str">
        <f>_xlfn.XLOOKUP($B147,Table3[Store_ID],Table3[Store_Name])</f>
        <v>Thomas, Bridges and Harris</v>
      </c>
      <c r="Q147" t="str" cm="1">
        <f t="array" ref="Q147">_xlfn.XLOOKUP($B147,Store_Dim!$A$2:$A$21,Table3[Region])</f>
        <v>North</v>
      </c>
      <c r="R147" t="str" cm="1">
        <f t="array" ref="R147">_xlfn.XLOOKUP($B147,Store_Dim!$A$2:$A$21,Table3[Store_Type])</f>
        <v>Online</v>
      </c>
      <c r="S147">
        <f>VLOOKUP(Table7[[#This Row],[Customer ID]],Table6[[Customer_ID]:[Total_Amount]],8,FALSE)</f>
        <v>933.61599999999999</v>
      </c>
    </row>
    <row r="148" spans="1:19" x14ac:dyDescent="0.3">
      <c r="A148" t="s">
        <v>491</v>
      </c>
      <c r="B148" t="str">
        <f>_xlfn.XLOOKUP(Table7[[#This Row],[Customer ID]],Table6[Customer_ID],Table6[Store_ID])</f>
        <v>STORE7</v>
      </c>
      <c r="C148" t="str">
        <f>_xlfn.XLOOKUP(Table7[[#This Row],[Customer ID]],Table6[Customer_ID],Table6[Product_ID])</f>
        <v>PROD52</v>
      </c>
      <c r="D148" t="str">
        <f>VLOOKUP(Table7[[#This Row],[Customer ID]],Table4[#All],2,FALSE)</f>
        <v>Rhonda Young</v>
      </c>
      <c r="E148">
        <f>VLOOKUP($A148,Table4[],3,FALSE)</f>
        <v>49</v>
      </c>
      <c r="F148" t="str">
        <f>VLOOKUP($A148,Table4[],4,FALSE)</f>
        <v>Female</v>
      </c>
      <c r="G148" t="str">
        <f>VLOOKUP($A148,Table4[],5,FALSE)</f>
        <v>Lake Nathanfort</v>
      </c>
      <c r="H148" t="str">
        <f>VLOOKUP($A148,Table4[],6,FALSE)</f>
        <v>Alaska</v>
      </c>
      <c r="I148" t="str">
        <f>VLOOKUP($A148,Table4[],8,FALSE)</f>
        <v>Platinum</v>
      </c>
      <c r="J148" t="str">
        <f>VLOOKUP($C148,Table1[],2,FALSE)</f>
        <v>Rugby Ball</v>
      </c>
      <c r="K148" t="str">
        <f>VLOOKUP($C148,Table1[],3,FALSE)</f>
        <v>Sports</v>
      </c>
      <c r="L148" t="str">
        <f>VLOOKUP($C148,Table1[],4,FALSE)</f>
        <v>Team Sports</v>
      </c>
      <c r="M148" t="str">
        <f>VLOOKUP($C148,Table1[],5,FALSE)</f>
        <v>Harris Inc</v>
      </c>
      <c r="N148">
        <f>VLOOKUP($C148,Table1[],6,FALSE)</f>
        <v>212.26</v>
      </c>
      <c r="O148">
        <f>VLOOKUP($C148,Table1[],7,FALSE)</f>
        <v>82</v>
      </c>
      <c r="P148" t="str">
        <f>_xlfn.XLOOKUP($B148,Table3[Store_ID],Table3[Store_Name])</f>
        <v>Martinez-Mullins</v>
      </c>
      <c r="Q148" t="str" cm="1">
        <f t="array" ref="Q148">_xlfn.XLOOKUP($B148,Store_Dim!$A$2:$A$21,Table3[Region])</f>
        <v>South</v>
      </c>
      <c r="R148" t="str" cm="1">
        <f t="array" ref="R148">_xlfn.XLOOKUP($B148,Store_Dim!$A$2:$A$21,Table3[Store_Type])</f>
        <v>Online</v>
      </c>
      <c r="S148">
        <f>VLOOKUP(Table7[[#This Row],[Customer ID]],Table6[[Customer_ID]:[Total_Amount]],8,FALSE)</f>
        <v>2965.1507999999999</v>
      </c>
    </row>
    <row r="149" spans="1:19" x14ac:dyDescent="0.3">
      <c r="A149" t="s">
        <v>494</v>
      </c>
      <c r="B149" t="str">
        <f>_xlfn.XLOOKUP(Table7[[#This Row],[Customer ID]],Table6[Customer_ID],Table6[Store_ID])</f>
        <v>STORE2</v>
      </c>
      <c r="C149" t="str">
        <f>_xlfn.XLOOKUP(Table7[[#This Row],[Customer ID]],Table6[Customer_ID],Table6[Product_ID])</f>
        <v>PROD13</v>
      </c>
      <c r="D149" t="str">
        <f>VLOOKUP(Table7[[#This Row],[Customer ID]],Table4[#All],2,FALSE)</f>
        <v>Theresa Campbell</v>
      </c>
      <c r="E149">
        <f>VLOOKUP($A149,Table4[],3,FALSE)</f>
        <v>42</v>
      </c>
      <c r="F149" t="str">
        <f>VLOOKUP($A149,Table4[],4,FALSE)</f>
        <v>Female</v>
      </c>
      <c r="G149" t="str">
        <f>VLOOKUP($A149,Table4[],5,FALSE)</f>
        <v>New Brian</v>
      </c>
      <c r="H149" t="str">
        <f>VLOOKUP($A149,Table4[],6,FALSE)</f>
        <v>Wisconsin</v>
      </c>
      <c r="I149" t="str">
        <f>VLOOKUP($A149,Table4[],8,FALSE)</f>
        <v>Bronze</v>
      </c>
      <c r="J149" t="str">
        <f>VLOOKUP($C149,Table1[],2,FALSE)</f>
        <v>USB-C Fast Charger</v>
      </c>
      <c r="K149" t="str">
        <f>VLOOKUP($C149,Table1[],3,FALSE)</f>
        <v>Electronics</v>
      </c>
      <c r="L149" t="str">
        <f>VLOOKUP($C149,Table1[],4,FALSE)</f>
        <v>Accessories</v>
      </c>
      <c r="M149" t="str">
        <f>VLOOKUP($C149,Table1[],5,FALSE)</f>
        <v>Dawson-Perkins</v>
      </c>
      <c r="N149">
        <f>VLOOKUP($C149,Table1[],6,FALSE)</f>
        <v>242.23</v>
      </c>
      <c r="O149">
        <f>VLOOKUP($C149,Table1[],7,FALSE)</f>
        <v>453</v>
      </c>
      <c r="P149" t="str">
        <f>_xlfn.XLOOKUP($B149,Table3[Store_ID],Table3[Store_Name])</f>
        <v>Black-Horn</v>
      </c>
      <c r="Q149" t="str" cm="1">
        <f t="array" ref="Q149">_xlfn.XLOOKUP($B149,Store_Dim!$A$2:$A$21,Table3[Region])</f>
        <v>South</v>
      </c>
      <c r="R149" t="str" cm="1">
        <f t="array" ref="R149">_xlfn.XLOOKUP($B149,Store_Dim!$A$2:$A$21,Table3[Store_Type])</f>
        <v>Outlet</v>
      </c>
      <c r="S149">
        <f>VLOOKUP(Table7[[#This Row],[Customer ID]],Table6[[Customer_ID]:[Total_Amount]],8,FALSE)</f>
        <v>132.09379999999999</v>
      </c>
    </row>
    <row r="150" spans="1:19" x14ac:dyDescent="0.3">
      <c r="A150" t="s">
        <v>497</v>
      </c>
      <c r="B150" t="str">
        <f>_xlfn.XLOOKUP(Table7[[#This Row],[Customer ID]],Table6[Customer_ID],Table6[Store_ID])</f>
        <v>STORE12</v>
      </c>
      <c r="C150" t="str">
        <f>_xlfn.XLOOKUP(Table7[[#This Row],[Customer ID]],Table6[Customer_ID],Table6[Product_ID])</f>
        <v>PROD90</v>
      </c>
      <c r="D150" t="str">
        <f>VLOOKUP(Table7[[#This Row],[Customer ID]],Table4[#All],2,FALSE)</f>
        <v>Denise Griffin</v>
      </c>
      <c r="E150">
        <f>VLOOKUP($A150,Table4[],3,FALSE)</f>
        <v>33</v>
      </c>
      <c r="F150" t="str">
        <f>VLOOKUP($A150,Table4[],4,FALSE)</f>
        <v>Male</v>
      </c>
      <c r="G150" t="str">
        <f>VLOOKUP($A150,Table4[],5,FALSE)</f>
        <v>West Markhaven</v>
      </c>
      <c r="H150" t="str">
        <f>VLOOKUP($A150,Table4[],6,FALSE)</f>
        <v>Florida</v>
      </c>
      <c r="I150" t="str">
        <f>VLOOKUP($A150,Table4[],8,FALSE)</f>
        <v>Platinum</v>
      </c>
      <c r="J150" t="str">
        <f>VLOOKUP($C150,Table1[],2,FALSE)</f>
        <v>Gaming Mouse Pad XL</v>
      </c>
      <c r="K150" t="str">
        <f>VLOOKUP($C150,Table1[],3,FALSE)</f>
        <v>Electronics</v>
      </c>
      <c r="L150" t="str">
        <f>VLOOKUP($C150,Table1[],4,FALSE)</f>
        <v>Accessories</v>
      </c>
      <c r="M150" t="str">
        <f>VLOOKUP($C150,Table1[],5,FALSE)</f>
        <v>Sharp, Taylor and Rodriguez</v>
      </c>
      <c r="N150">
        <f>VLOOKUP($C150,Table1[],6,FALSE)</f>
        <v>340.14</v>
      </c>
      <c r="O150">
        <f>VLOOKUP($C150,Table1[],7,FALSE)</f>
        <v>361</v>
      </c>
      <c r="P150" t="str">
        <f>_xlfn.XLOOKUP($B150,Table3[Store_ID],Table3[Store_Name])</f>
        <v>Thomas, Bridges and Harris</v>
      </c>
      <c r="Q150" t="str" cm="1">
        <f t="array" ref="Q150">_xlfn.XLOOKUP($B150,Store_Dim!$A$2:$A$21,Table3[Region])</f>
        <v>North</v>
      </c>
      <c r="R150" t="str" cm="1">
        <f t="array" ref="R150">_xlfn.XLOOKUP($B150,Store_Dim!$A$2:$A$21,Table3[Store_Type])</f>
        <v>Online</v>
      </c>
      <c r="S150">
        <f>VLOOKUP(Table7[[#This Row],[Customer ID]],Table6[[Customer_ID]:[Total_Amount]],8,FALSE)</f>
        <v>764.55679999999995</v>
      </c>
    </row>
    <row r="151" spans="1:19" x14ac:dyDescent="0.3">
      <c r="A151" t="s">
        <v>500</v>
      </c>
      <c r="B151" t="str">
        <f>_xlfn.XLOOKUP(Table7[[#This Row],[Customer ID]],Table6[Customer_ID],Table6[Store_ID])</f>
        <v>STORE15</v>
      </c>
      <c r="C151" t="str">
        <f>_xlfn.XLOOKUP(Table7[[#This Row],[Customer ID]],Table6[Customer_ID],Table6[Product_ID])</f>
        <v>PROD11</v>
      </c>
      <c r="D151" t="str">
        <f>VLOOKUP(Table7[[#This Row],[Customer ID]],Table4[#All],2,FALSE)</f>
        <v>Stephanie Conway</v>
      </c>
      <c r="E151">
        <f>VLOOKUP($A151,Table4[],3,FALSE)</f>
        <v>24</v>
      </c>
      <c r="F151" t="str">
        <f>VLOOKUP($A151,Table4[],4,FALSE)</f>
        <v>Male</v>
      </c>
      <c r="G151" t="str">
        <f>VLOOKUP($A151,Table4[],5,FALSE)</f>
        <v>Port Frankmouth</v>
      </c>
      <c r="H151" t="str">
        <f>VLOOKUP($A151,Table4[],6,FALSE)</f>
        <v>Mississippi</v>
      </c>
      <c r="I151" t="str">
        <f>VLOOKUP($A151,Table4[],8,FALSE)</f>
        <v>Gold</v>
      </c>
      <c r="J151" t="str">
        <f>VLOOKUP($C151,Table1[],2,FALSE)</f>
        <v>HD Smart TV Stick</v>
      </c>
      <c r="K151" t="str">
        <f>VLOOKUP($C151,Table1[],3,FALSE)</f>
        <v>Electronics</v>
      </c>
      <c r="L151" t="str">
        <f>VLOOKUP($C151,Table1[],4,FALSE)</f>
        <v>Accessories</v>
      </c>
      <c r="M151" t="str">
        <f>VLOOKUP($C151,Table1[],5,FALSE)</f>
        <v>Gibson, Hobbs and Weaver</v>
      </c>
      <c r="N151">
        <f>VLOOKUP($C151,Table1[],6,FALSE)</f>
        <v>449.4</v>
      </c>
      <c r="O151">
        <f>VLOOKUP($C151,Table1[],7,FALSE)</f>
        <v>338</v>
      </c>
      <c r="P151" t="str">
        <f>_xlfn.XLOOKUP($B151,Table3[Store_ID],Table3[Store_Name])</f>
        <v>Shelton PLC</v>
      </c>
      <c r="Q151" t="str" cm="1">
        <f t="array" ref="Q151">_xlfn.XLOOKUP($B151,Store_Dim!$A$2:$A$21,Table3[Region])</f>
        <v>North</v>
      </c>
      <c r="R151" t="str" cm="1">
        <f t="array" ref="R151">_xlfn.XLOOKUP($B151,Store_Dim!$A$2:$A$21,Table3[Store_Type])</f>
        <v>Flagship</v>
      </c>
      <c r="S151">
        <f>VLOOKUP(Table7[[#This Row],[Customer ID]],Table6[[Customer_ID]:[Total_Amount]],8,FALSE)</f>
        <v>339.37560000000002</v>
      </c>
    </row>
    <row r="152" spans="1:19" x14ac:dyDescent="0.3">
      <c r="A152" t="s">
        <v>503</v>
      </c>
      <c r="B152" t="str">
        <f>_xlfn.XLOOKUP(Table7[[#This Row],[Customer ID]],Table6[Customer_ID],Table6[Store_ID])</f>
        <v>STORE18</v>
      </c>
      <c r="C152" t="str">
        <f>_xlfn.XLOOKUP(Table7[[#This Row],[Customer ID]],Table6[Customer_ID],Table6[Product_ID])</f>
        <v>PROD24</v>
      </c>
      <c r="D152" t="str">
        <f>VLOOKUP(Table7[[#This Row],[Customer ID]],Table4[#All],2,FALSE)</f>
        <v>Michael Davies</v>
      </c>
      <c r="E152">
        <f>VLOOKUP($A152,Table4[],3,FALSE)</f>
        <v>25</v>
      </c>
      <c r="F152" t="str">
        <f>VLOOKUP($A152,Table4[],4,FALSE)</f>
        <v>Female</v>
      </c>
      <c r="G152" t="str">
        <f>VLOOKUP($A152,Table4[],5,FALSE)</f>
        <v>Lake Stevenfort</v>
      </c>
      <c r="H152" t="str">
        <f>VLOOKUP($A152,Table4[],6,FALSE)</f>
        <v>Oregon</v>
      </c>
      <c r="I152" t="str">
        <f>VLOOKUP($A152,Table4[],8,FALSE)</f>
        <v>Gold</v>
      </c>
      <c r="J152" t="str">
        <f>VLOOKUP($C152,Table1[],2,FALSE)</f>
        <v>Foldable Camping Chair</v>
      </c>
      <c r="K152" t="str">
        <f>VLOOKUP($C152,Table1[],3,FALSE)</f>
        <v>Sports</v>
      </c>
      <c r="L152" t="str">
        <f>VLOOKUP($C152,Table1[],4,FALSE)</f>
        <v>Outdoor</v>
      </c>
      <c r="M152" t="str">
        <f>VLOOKUP($C152,Table1[],5,FALSE)</f>
        <v>Cook Ltd</v>
      </c>
      <c r="N152">
        <f>VLOOKUP($C152,Table1[],6,FALSE)</f>
        <v>166.06</v>
      </c>
      <c r="O152">
        <f>VLOOKUP($C152,Table1[],7,FALSE)</f>
        <v>340</v>
      </c>
      <c r="P152" t="str">
        <f>_xlfn.XLOOKUP($B152,Table3[Store_ID],Table3[Store_Name])</f>
        <v>Guerrero-Schmitt</v>
      </c>
      <c r="Q152" t="str" cm="1">
        <f t="array" ref="Q152">_xlfn.XLOOKUP($B152,Store_Dim!$A$2:$A$21,Table3[Region])</f>
        <v>East</v>
      </c>
      <c r="R152" t="str" cm="1">
        <f t="array" ref="R152">_xlfn.XLOOKUP($B152,Store_Dim!$A$2:$A$21,Table3[Store_Type])</f>
        <v>Flagship</v>
      </c>
      <c r="S152">
        <f>VLOOKUP(Table7[[#This Row],[Customer ID]],Table6[[Customer_ID]:[Total_Amount]],8,FALSE)</f>
        <v>2364.6480000000001</v>
      </c>
    </row>
    <row r="153" spans="1:19" x14ac:dyDescent="0.3">
      <c r="A153" t="s">
        <v>506</v>
      </c>
      <c r="B153" t="str">
        <f>_xlfn.XLOOKUP(Table7[[#This Row],[Customer ID]],Table6[Customer_ID],Table6[Store_ID])</f>
        <v>STORE8</v>
      </c>
      <c r="C153" t="str">
        <f>_xlfn.XLOOKUP(Table7[[#This Row],[Customer ID]],Table6[Customer_ID],Table6[Product_ID])</f>
        <v>PROD70</v>
      </c>
      <c r="D153" t="str">
        <f>VLOOKUP(Table7[[#This Row],[Customer ID]],Table4[#All],2,FALSE)</f>
        <v>Patrick Roberts</v>
      </c>
      <c r="E153">
        <f>VLOOKUP($A153,Table4[],3,FALSE)</f>
        <v>41</v>
      </c>
      <c r="F153" t="str">
        <f>VLOOKUP($A153,Table4[],4,FALSE)</f>
        <v>Female</v>
      </c>
      <c r="G153" t="str">
        <f>VLOOKUP($A153,Table4[],5,FALSE)</f>
        <v>Jaredville</v>
      </c>
      <c r="H153" t="str">
        <f>VLOOKUP($A153,Table4[],6,FALSE)</f>
        <v>Missouri</v>
      </c>
      <c r="I153" t="str">
        <f>VLOOKUP($A153,Table4[],8,FALSE)</f>
        <v>Platinum</v>
      </c>
      <c r="J153" t="str">
        <f>VLOOKUP($C153,Table1[],2,FALSE)</f>
        <v>Kitchen Storage Rack</v>
      </c>
      <c r="K153" t="str">
        <f>VLOOKUP($C153,Table1[],3,FALSE)</f>
        <v>Home</v>
      </c>
      <c r="L153" t="str">
        <f>VLOOKUP($C153,Table1[],4,FALSE)</f>
        <v>Storage</v>
      </c>
      <c r="M153" t="str">
        <f>VLOOKUP($C153,Table1[],5,FALSE)</f>
        <v>Duran Group</v>
      </c>
      <c r="N153">
        <f>VLOOKUP($C153,Table1[],6,FALSE)</f>
        <v>138.05000000000001</v>
      </c>
      <c r="O153">
        <f>VLOOKUP($C153,Table1[],7,FALSE)</f>
        <v>89</v>
      </c>
      <c r="P153" t="str">
        <f>_xlfn.XLOOKUP($B153,Table3[Store_ID],Table3[Store_Name])</f>
        <v>Bean, Jones and Park</v>
      </c>
      <c r="Q153" t="str" cm="1">
        <f t="array" ref="Q153">_xlfn.XLOOKUP($B153,Store_Dim!$A$2:$A$21,Table3[Region])</f>
        <v>West</v>
      </c>
      <c r="R153" t="str" cm="1">
        <f t="array" ref="R153">_xlfn.XLOOKUP($B153,Store_Dim!$A$2:$A$21,Table3[Store_Type])</f>
        <v>Online</v>
      </c>
      <c r="S153">
        <f>VLOOKUP(Table7[[#This Row],[Customer ID]],Table6[[Customer_ID]:[Total_Amount]],8,FALSE)</f>
        <v>1054.5612000000001</v>
      </c>
    </row>
    <row r="154" spans="1:19" x14ac:dyDescent="0.3">
      <c r="A154" t="s">
        <v>509</v>
      </c>
      <c r="B154" t="str">
        <f>_xlfn.XLOOKUP(Table7[[#This Row],[Customer ID]],Table6[Customer_ID],Table6[Store_ID])</f>
        <v>STORE8</v>
      </c>
      <c r="C154" t="str">
        <f>_xlfn.XLOOKUP(Table7[[#This Row],[Customer ID]],Table6[Customer_ID],Table6[Product_ID])</f>
        <v>PROD72</v>
      </c>
      <c r="D154" t="str">
        <f>VLOOKUP(Table7[[#This Row],[Customer ID]],Table4[#All],2,FALSE)</f>
        <v>Joseph Faulkner</v>
      </c>
      <c r="E154">
        <f>VLOOKUP($A154,Table4[],3,FALSE)</f>
        <v>31</v>
      </c>
      <c r="F154" t="str">
        <f>VLOOKUP($A154,Table4[],4,FALSE)</f>
        <v>Male</v>
      </c>
      <c r="G154" t="str">
        <f>VLOOKUP($A154,Table4[],5,FALSE)</f>
        <v>New Leahfurt</v>
      </c>
      <c r="H154" t="str">
        <f>VLOOKUP($A154,Table4[],6,FALSE)</f>
        <v>North Dakota</v>
      </c>
      <c r="I154" t="str">
        <f>VLOOKUP($A154,Table4[],8,FALSE)</f>
        <v>Bronze</v>
      </c>
      <c r="J154" t="str">
        <f>VLOOKUP($C154,Table1[],2,FALSE)</f>
        <v>Professional Jump Rope</v>
      </c>
      <c r="K154" t="str">
        <f>VLOOKUP($C154,Table1[],3,FALSE)</f>
        <v>Sports</v>
      </c>
      <c r="L154" t="str">
        <f>VLOOKUP($C154,Table1[],4,FALSE)</f>
        <v>Fitness</v>
      </c>
      <c r="M154" t="str">
        <f>VLOOKUP($C154,Table1[],5,FALSE)</f>
        <v>Davis PLC</v>
      </c>
      <c r="N154">
        <f>VLOOKUP($C154,Table1[],6,FALSE)</f>
        <v>477.61</v>
      </c>
      <c r="O154">
        <f>VLOOKUP($C154,Table1[],7,FALSE)</f>
        <v>300</v>
      </c>
      <c r="P154" t="str">
        <f>_xlfn.XLOOKUP($B154,Table3[Store_ID],Table3[Store_Name])</f>
        <v>Bean, Jones and Park</v>
      </c>
      <c r="Q154" t="str" cm="1">
        <f t="array" ref="Q154">_xlfn.XLOOKUP($B154,Store_Dim!$A$2:$A$21,Table3[Region])</f>
        <v>West</v>
      </c>
      <c r="R154" t="str" cm="1">
        <f t="array" ref="R154">_xlfn.XLOOKUP($B154,Store_Dim!$A$2:$A$21,Table3[Store_Type])</f>
        <v>Online</v>
      </c>
      <c r="S154">
        <f>VLOOKUP(Table7[[#This Row],[Customer ID]],Table6[[Customer_ID]:[Total_Amount]],8,FALSE)</f>
        <v>390.81599999999997</v>
      </c>
    </row>
    <row r="155" spans="1:19" x14ac:dyDescent="0.3">
      <c r="A155" t="s">
        <v>512</v>
      </c>
      <c r="B155" t="str">
        <f>_xlfn.XLOOKUP(Table7[[#This Row],[Customer ID]],Table6[Customer_ID],Table6[Store_ID])</f>
        <v>STORE19</v>
      </c>
      <c r="C155" t="str">
        <f>_xlfn.XLOOKUP(Table7[[#This Row],[Customer ID]],Table6[Customer_ID],Table6[Product_ID])</f>
        <v>PROD63</v>
      </c>
      <c r="D155" t="str">
        <f>VLOOKUP(Table7[[#This Row],[Customer ID]],Table4[#All],2,FALSE)</f>
        <v>Julie Hale</v>
      </c>
      <c r="E155">
        <f>VLOOKUP($A155,Table4[],3,FALSE)</f>
        <v>35</v>
      </c>
      <c r="F155" t="str">
        <f>VLOOKUP($A155,Table4[],4,FALSE)</f>
        <v>Female</v>
      </c>
      <c r="G155" t="str">
        <f>VLOOKUP($A155,Table4[],5,FALSE)</f>
        <v>Owensview</v>
      </c>
      <c r="H155" t="str">
        <f>VLOOKUP($A155,Table4[],6,FALSE)</f>
        <v>Vermont</v>
      </c>
      <c r="I155" t="str">
        <f>VLOOKUP($A155,Table4[],8,FALSE)</f>
        <v>Gold</v>
      </c>
      <c r="J155" t="str">
        <f>VLOOKUP($C155,Table1[],2,FALSE)</f>
        <v>Organic Sunscreen Lotion</v>
      </c>
      <c r="K155" t="str">
        <f>VLOOKUP($C155,Table1[],3,FALSE)</f>
        <v>Beauty</v>
      </c>
      <c r="L155" t="str">
        <f>VLOOKUP($C155,Table1[],4,FALSE)</f>
        <v>Skincare</v>
      </c>
      <c r="M155" t="str">
        <f>VLOOKUP($C155,Table1[],5,FALSE)</f>
        <v>Anderson-Riley</v>
      </c>
      <c r="N155">
        <f>VLOOKUP($C155,Table1[],6,FALSE)</f>
        <v>266.86</v>
      </c>
      <c r="O155">
        <f>VLOOKUP($C155,Table1[],7,FALSE)</f>
        <v>458</v>
      </c>
      <c r="P155" t="str">
        <f>_xlfn.XLOOKUP($B155,Table3[Store_ID],Table3[Store_Name])</f>
        <v>Mann-Austin</v>
      </c>
      <c r="Q155" t="str" cm="1">
        <f t="array" ref="Q155">_xlfn.XLOOKUP($B155,Store_Dim!$A$2:$A$21,Table3[Region])</f>
        <v>East</v>
      </c>
      <c r="R155" t="str" cm="1">
        <f t="array" ref="R155">_xlfn.XLOOKUP($B155,Store_Dim!$A$2:$A$21,Table3[Store_Type])</f>
        <v>Online</v>
      </c>
      <c r="S155">
        <f>VLOOKUP(Table7[[#This Row],[Customer ID]],Table6[[Customer_ID]:[Total_Amount]],8,FALSE)</f>
        <v>824.48639999999989</v>
      </c>
    </row>
    <row r="156" spans="1:19" x14ac:dyDescent="0.3">
      <c r="A156" t="s">
        <v>515</v>
      </c>
      <c r="B156" t="str">
        <f>_xlfn.XLOOKUP(Table7[[#This Row],[Customer ID]],Table6[Customer_ID],Table6[Store_ID])</f>
        <v>STORE14</v>
      </c>
      <c r="C156" t="str">
        <f>_xlfn.XLOOKUP(Table7[[#This Row],[Customer ID]],Table6[Customer_ID],Table6[Product_ID])</f>
        <v>PROD72</v>
      </c>
      <c r="D156" t="str">
        <f>VLOOKUP(Table7[[#This Row],[Customer ID]],Table4[#All],2,FALSE)</f>
        <v>Curtis Haynes</v>
      </c>
      <c r="E156">
        <f>VLOOKUP($A156,Table4[],3,FALSE)</f>
        <v>60</v>
      </c>
      <c r="F156" t="str">
        <f>VLOOKUP($A156,Table4[],4,FALSE)</f>
        <v>Female</v>
      </c>
      <c r="G156" t="str">
        <f>VLOOKUP($A156,Table4[],5,FALSE)</f>
        <v>Estradaside</v>
      </c>
      <c r="H156" t="str">
        <f>VLOOKUP($A156,Table4[],6,FALSE)</f>
        <v>Iowa</v>
      </c>
      <c r="I156" t="str">
        <f>VLOOKUP($A156,Table4[],8,FALSE)</f>
        <v>Gold</v>
      </c>
      <c r="J156" t="str">
        <f>VLOOKUP($C156,Table1[],2,FALSE)</f>
        <v>Professional Jump Rope</v>
      </c>
      <c r="K156" t="str">
        <f>VLOOKUP($C156,Table1[],3,FALSE)</f>
        <v>Sports</v>
      </c>
      <c r="L156" t="str">
        <f>VLOOKUP($C156,Table1[],4,FALSE)</f>
        <v>Fitness</v>
      </c>
      <c r="M156" t="str">
        <f>VLOOKUP($C156,Table1[],5,FALSE)</f>
        <v>Davis PLC</v>
      </c>
      <c r="N156">
        <f>VLOOKUP($C156,Table1[],6,FALSE)</f>
        <v>477.61</v>
      </c>
      <c r="O156">
        <f>VLOOKUP($C156,Table1[],7,FALSE)</f>
        <v>300</v>
      </c>
      <c r="P156" t="str">
        <f>_xlfn.XLOOKUP($B156,Table3[Store_ID],Table3[Store_Name])</f>
        <v>Mcdonald Inc</v>
      </c>
      <c r="Q156" t="str" cm="1">
        <f t="array" ref="Q156">_xlfn.XLOOKUP($B156,Store_Dim!$A$2:$A$21,Table3[Region])</f>
        <v>South</v>
      </c>
      <c r="R156" t="str" cm="1">
        <f t="array" ref="R156">_xlfn.XLOOKUP($B156,Store_Dim!$A$2:$A$21,Table3[Store_Type])</f>
        <v>Outlet</v>
      </c>
      <c r="S156">
        <f>VLOOKUP(Table7[[#This Row],[Customer ID]],Table6[[Customer_ID]:[Total_Amount]],8,FALSE)</f>
        <v>998.18729999999994</v>
      </c>
    </row>
    <row r="157" spans="1:19" x14ac:dyDescent="0.3">
      <c r="A157" t="s">
        <v>518</v>
      </c>
      <c r="B157" t="str">
        <f>_xlfn.XLOOKUP(Table7[[#This Row],[Customer ID]],Table6[Customer_ID],Table6[Store_ID])</f>
        <v>STORE7</v>
      </c>
      <c r="C157" t="str">
        <f>_xlfn.XLOOKUP(Table7[[#This Row],[Customer ID]],Table6[Customer_ID],Table6[Product_ID])</f>
        <v>PROD49</v>
      </c>
      <c r="D157" t="str">
        <f>VLOOKUP(Table7[[#This Row],[Customer ID]],Table4[#All],2,FALSE)</f>
        <v>Maria Sanchez</v>
      </c>
      <c r="E157">
        <f>VLOOKUP($A157,Table4[],3,FALSE)</f>
        <v>46</v>
      </c>
      <c r="F157" t="str">
        <f>VLOOKUP($A157,Table4[],4,FALSE)</f>
        <v>Male</v>
      </c>
      <c r="G157" t="str">
        <f>VLOOKUP($A157,Table4[],5,FALSE)</f>
        <v>East Peterbury</v>
      </c>
      <c r="H157" t="str">
        <f>VLOOKUP($A157,Table4[],6,FALSE)</f>
        <v>North Dakota</v>
      </c>
      <c r="I157" t="str">
        <f>VLOOKUP($A157,Table4[],8,FALSE)</f>
        <v>Bronze</v>
      </c>
      <c r="J157" t="str">
        <f>VLOOKUP($C157,Table1[],2,FALSE)</f>
        <v>Men's Roll-On Perfume</v>
      </c>
      <c r="K157" t="str">
        <f>VLOOKUP($C157,Table1[],3,FALSE)</f>
        <v>Beauty</v>
      </c>
      <c r="L157" t="str">
        <f>VLOOKUP($C157,Table1[],4,FALSE)</f>
        <v>Fragrance</v>
      </c>
      <c r="M157" t="str">
        <f>VLOOKUP($C157,Table1[],5,FALSE)</f>
        <v>Sullivan and Sons</v>
      </c>
      <c r="N157">
        <f>VLOOKUP($C157,Table1[],6,FALSE)</f>
        <v>43.29</v>
      </c>
      <c r="O157">
        <f>VLOOKUP($C157,Table1[],7,FALSE)</f>
        <v>267</v>
      </c>
      <c r="P157" t="str">
        <f>_xlfn.XLOOKUP($B157,Table3[Store_ID],Table3[Store_Name])</f>
        <v>Martinez-Mullins</v>
      </c>
      <c r="Q157" t="str" cm="1">
        <f t="array" ref="Q157">_xlfn.XLOOKUP($B157,Store_Dim!$A$2:$A$21,Table3[Region])</f>
        <v>South</v>
      </c>
      <c r="R157" t="str" cm="1">
        <f t="array" ref="R157">_xlfn.XLOOKUP($B157,Store_Dim!$A$2:$A$21,Table3[Store_Type])</f>
        <v>Online</v>
      </c>
      <c r="S157">
        <f>VLOOKUP(Table7[[#This Row],[Customer ID]],Table6[[Customer_ID]:[Total_Amount]],8,FALSE)</f>
        <v>1357.0372</v>
      </c>
    </row>
    <row r="158" spans="1:19" x14ac:dyDescent="0.3">
      <c r="A158" t="s">
        <v>521</v>
      </c>
      <c r="B158" t="str">
        <f>_xlfn.XLOOKUP(Table7[[#This Row],[Customer ID]],Table6[Customer_ID],Table6[Store_ID])</f>
        <v>STORE7</v>
      </c>
      <c r="C158" t="str">
        <f>_xlfn.XLOOKUP(Table7[[#This Row],[Customer ID]],Table6[Customer_ID],Table6[Product_ID])</f>
        <v>PROD55</v>
      </c>
      <c r="D158" t="str">
        <f>VLOOKUP(Table7[[#This Row],[Customer ID]],Table4[#All],2,FALSE)</f>
        <v>Paul Zamora</v>
      </c>
      <c r="E158">
        <f>VLOOKUP($A158,Table4[],3,FALSE)</f>
        <v>59</v>
      </c>
      <c r="F158" t="str">
        <f>VLOOKUP($A158,Table4[],4,FALSE)</f>
        <v>Male</v>
      </c>
      <c r="G158" t="str">
        <f>VLOOKUP($A158,Table4[],5,FALSE)</f>
        <v>North Larryfurt</v>
      </c>
      <c r="H158" t="str">
        <f>VLOOKUP($A158,Table4[],6,FALSE)</f>
        <v>North Dakota</v>
      </c>
      <c r="I158" t="str">
        <f>VLOOKUP($A158,Table4[],8,FALSE)</f>
        <v>Platinum</v>
      </c>
      <c r="J158" t="str">
        <f>VLOOKUP($C158,Table1[],2,FALSE)</f>
        <v>Ceramic Plant Pot</v>
      </c>
      <c r="K158" t="str">
        <f>VLOOKUP($C158,Table1[],3,FALSE)</f>
        <v>Home</v>
      </c>
      <c r="L158" t="str">
        <f>VLOOKUP($C158,Table1[],4,FALSE)</f>
        <v>Decor</v>
      </c>
      <c r="M158" t="str">
        <f>VLOOKUP($C158,Table1[],5,FALSE)</f>
        <v>Hatfield, Baird and Torres</v>
      </c>
      <c r="N158">
        <f>VLOOKUP($C158,Table1[],6,FALSE)</f>
        <v>81.75</v>
      </c>
      <c r="O158">
        <f>VLOOKUP($C158,Table1[],7,FALSE)</f>
        <v>331</v>
      </c>
      <c r="P158" t="str">
        <f>_xlfn.XLOOKUP($B158,Table3[Store_ID],Table3[Store_Name])</f>
        <v>Martinez-Mullins</v>
      </c>
      <c r="Q158" t="str" cm="1">
        <f t="array" ref="Q158">_xlfn.XLOOKUP($B158,Store_Dim!$A$2:$A$21,Table3[Region])</f>
        <v>South</v>
      </c>
      <c r="R158" t="str" cm="1">
        <f t="array" ref="R158">_xlfn.XLOOKUP($B158,Store_Dim!$A$2:$A$21,Table3[Store_Type])</f>
        <v>Online</v>
      </c>
      <c r="S158">
        <f>VLOOKUP(Table7[[#This Row],[Customer ID]],Table6[[Customer_ID]:[Total_Amount]],8,FALSE)</f>
        <v>460.108</v>
      </c>
    </row>
    <row r="159" spans="1:19" x14ac:dyDescent="0.3">
      <c r="A159" t="s">
        <v>524</v>
      </c>
      <c r="B159" t="str">
        <f>_xlfn.XLOOKUP(Table7[[#This Row],[Customer ID]],Table6[Customer_ID],Table6[Store_ID])</f>
        <v>STORE8</v>
      </c>
      <c r="C159" t="str">
        <f>_xlfn.XLOOKUP(Table7[[#This Row],[Customer ID]],Table6[Customer_ID],Table6[Product_ID])</f>
        <v>PROD19</v>
      </c>
      <c r="D159" t="str">
        <f>VLOOKUP(Table7[[#This Row],[Customer ID]],Table4[#All],2,FALSE)</f>
        <v>Sean Powell</v>
      </c>
      <c r="E159">
        <f>VLOOKUP($A159,Table4[],3,FALSE)</f>
        <v>43</v>
      </c>
      <c r="F159" t="str">
        <f>VLOOKUP($A159,Table4[],4,FALSE)</f>
        <v>Male</v>
      </c>
      <c r="G159" t="str">
        <f>VLOOKUP($A159,Table4[],5,FALSE)</f>
        <v>South Kevin</v>
      </c>
      <c r="H159" t="str">
        <f>VLOOKUP($A159,Table4[],6,FALSE)</f>
        <v>Vermont</v>
      </c>
      <c r="I159" t="str">
        <f>VLOOKUP($A159,Table4[],8,FALSE)</f>
        <v>Bronze</v>
      </c>
      <c r="J159" t="str">
        <f>VLOOKUP($C159,Table1[],2,FALSE)</f>
        <v>Knee Support Brace</v>
      </c>
      <c r="K159" t="str">
        <f>VLOOKUP($C159,Table1[],3,FALSE)</f>
        <v>Sports</v>
      </c>
      <c r="L159" t="str">
        <f>VLOOKUP($C159,Table1[],4,FALSE)</f>
        <v>Equipment</v>
      </c>
      <c r="M159" t="str">
        <f>VLOOKUP($C159,Table1[],5,FALSE)</f>
        <v>May-Reese</v>
      </c>
      <c r="N159">
        <f>VLOOKUP($C159,Table1[],6,FALSE)</f>
        <v>21.34</v>
      </c>
      <c r="O159">
        <f>VLOOKUP($C159,Table1[],7,FALSE)</f>
        <v>65</v>
      </c>
      <c r="P159" t="str">
        <f>_xlfn.XLOOKUP($B159,Table3[Store_ID],Table3[Store_Name])</f>
        <v>Bean, Jones and Park</v>
      </c>
      <c r="Q159" t="str" cm="1">
        <f t="array" ref="Q159">_xlfn.XLOOKUP($B159,Store_Dim!$A$2:$A$21,Table3[Region])</f>
        <v>West</v>
      </c>
      <c r="R159" t="str" cm="1">
        <f t="array" ref="R159">_xlfn.XLOOKUP($B159,Store_Dim!$A$2:$A$21,Table3[Store_Type])</f>
        <v>Online</v>
      </c>
      <c r="S159">
        <f>VLOOKUP(Table7[[#This Row],[Customer ID]],Table6[[Customer_ID]:[Total_Amount]],8,FALSE)</f>
        <v>215.14420000000001</v>
      </c>
    </row>
    <row r="160" spans="1:19" x14ac:dyDescent="0.3">
      <c r="A160" t="s">
        <v>527</v>
      </c>
      <c r="B160" t="str">
        <f>_xlfn.XLOOKUP(Table7[[#This Row],[Customer ID]],Table6[Customer_ID],Table6[Store_ID])</f>
        <v>STORE14</v>
      </c>
      <c r="C160" t="str">
        <f>_xlfn.XLOOKUP(Table7[[#This Row],[Customer ID]],Table6[Customer_ID],Table6[Product_ID])</f>
        <v>PROD69</v>
      </c>
      <c r="D160" t="str">
        <f>VLOOKUP(Table7[[#This Row],[Customer ID]],Table4[#All],2,FALSE)</f>
        <v>Brian Choi</v>
      </c>
      <c r="E160">
        <f>VLOOKUP($A160,Table4[],3,FALSE)</f>
        <v>46</v>
      </c>
      <c r="F160" t="str">
        <f>VLOOKUP($A160,Table4[],4,FALSE)</f>
        <v>Female</v>
      </c>
      <c r="G160" t="str">
        <f>VLOOKUP($A160,Table4[],5,FALSE)</f>
        <v>Floydton</v>
      </c>
      <c r="H160" t="str">
        <f>VLOOKUP($A160,Table4[],6,FALSE)</f>
        <v>New Jersey</v>
      </c>
      <c r="I160" t="str">
        <f>VLOOKUP($A160,Table4[],8,FALSE)</f>
        <v>Gold</v>
      </c>
      <c r="J160" t="str">
        <f>VLOOKUP($C160,Table1[],2,FALSE)</f>
        <v>Men's Sports Shorts</v>
      </c>
      <c r="K160" t="str">
        <f>VLOOKUP($C160,Table1[],3,FALSE)</f>
        <v>Clothing</v>
      </c>
      <c r="L160" t="str">
        <f>VLOOKUP($C160,Table1[],4,FALSE)</f>
        <v>Bottoms</v>
      </c>
      <c r="M160" t="str">
        <f>VLOOKUP($C160,Table1[],5,FALSE)</f>
        <v>Fitzpatrick Ltd</v>
      </c>
      <c r="N160">
        <f>VLOOKUP($C160,Table1[],6,FALSE)</f>
        <v>218.22</v>
      </c>
      <c r="O160">
        <f>VLOOKUP($C160,Table1[],7,FALSE)</f>
        <v>224</v>
      </c>
      <c r="P160" t="str">
        <f>_xlfn.XLOOKUP($B160,Table3[Store_ID],Table3[Store_Name])</f>
        <v>Mcdonald Inc</v>
      </c>
      <c r="Q160" t="str" cm="1">
        <f t="array" ref="Q160">_xlfn.XLOOKUP($B160,Store_Dim!$A$2:$A$21,Table3[Region])</f>
        <v>South</v>
      </c>
      <c r="R160" t="str" cm="1">
        <f t="array" ref="R160">_xlfn.XLOOKUP($B160,Store_Dim!$A$2:$A$21,Table3[Store_Type])</f>
        <v>Outlet</v>
      </c>
      <c r="S160">
        <f>VLOOKUP(Table7[[#This Row],[Customer ID]],Table6[[Customer_ID]:[Total_Amount]],8,FALSE)</f>
        <v>874.91959999999983</v>
      </c>
    </row>
    <row r="161" spans="1:19" x14ac:dyDescent="0.3">
      <c r="A161" t="s">
        <v>530</v>
      </c>
      <c r="B161" t="str">
        <f>_xlfn.XLOOKUP(Table7[[#This Row],[Customer ID]],Table6[Customer_ID],Table6[Store_ID])</f>
        <v>STORE3</v>
      </c>
      <c r="C161" t="str">
        <f>_xlfn.XLOOKUP(Table7[[#This Row],[Customer ID]],Table6[Customer_ID],Table6[Product_ID])</f>
        <v>PROD47</v>
      </c>
      <c r="D161" t="str">
        <f>VLOOKUP(Table7[[#This Row],[Customer ID]],Table4[#All],2,FALSE)</f>
        <v>John Lawson</v>
      </c>
      <c r="E161">
        <f>VLOOKUP($A161,Table4[],3,FALSE)</f>
        <v>41</v>
      </c>
      <c r="F161" t="str">
        <f>VLOOKUP($A161,Table4[],4,FALSE)</f>
        <v>Female</v>
      </c>
      <c r="G161" t="str">
        <f>VLOOKUP($A161,Table4[],5,FALSE)</f>
        <v>New Juliemouth</v>
      </c>
      <c r="H161" t="str">
        <f>VLOOKUP($A161,Table4[],6,FALSE)</f>
        <v>North Carolina</v>
      </c>
      <c r="I161" t="str">
        <f>VLOOKUP($A161,Table4[],8,FALSE)</f>
        <v>Platinum</v>
      </c>
      <c r="J161" t="str">
        <f>VLOOKUP($C161,Table1[],2,FALSE)</f>
        <v>Makeup Brush Set</v>
      </c>
      <c r="K161" t="str">
        <f>VLOOKUP($C161,Table1[],3,FALSE)</f>
        <v>Beauty</v>
      </c>
      <c r="L161" t="str">
        <f>VLOOKUP($C161,Table1[],4,FALSE)</f>
        <v>Makeup</v>
      </c>
      <c r="M161" t="str">
        <f>VLOOKUP($C161,Table1[],5,FALSE)</f>
        <v>Cook Inc</v>
      </c>
      <c r="N161">
        <f>VLOOKUP($C161,Table1[],6,FALSE)</f>
        <v>241.07</v>
      </c>
      <c r="O161">
        <f>VLOOKUP($C161,Table1[],7,FALSE)</f>
        <v>431</v>
      </c>
      <c r="P161" t="str">
        <f>_xlfn.XLOOKUP($B161,Table3[Store_ID],Table3[Store_Name])</f>
        <v>Johnson-Wright</v>
      </c>
      <c r="Q161" t="str" cm="1">
        <f t="array" ref="Q161">_xlfn.XLOOKUP($B161,Store_Dim!$A$2:$A$21,Table3[Region])</f>
        <v>North</v>
      </c>
      <c r="R161" t="str" cm="1">
        <f t="array" ref="R161">_xlfn.XLOOKUP($B161,Store_Dim!$A$2:$A$21,Table3[Store_Type])</f>
        <v>Outlet</v>
      </c>
      <c r="S161">
        <f>VLOOKUP(Table7[[#This Row],[Customer ID]],Table6[[Customer_ID]:[Total_Amount]],8,FALSE)</f>
        <v>132.35820000000001</v>
      </c>
    </row>
    <row r="162" spans="1:19" x14ac:dyDescent="0.3">
      <c r="A162" t="s">
        <v>533</v>
      </c>
      <c r="B162" t="str">
        <f>_xlfn.XLOOKUP(Table7[[#This Row],[Customer ID]],Table6[Customer_ID],Table6[Store_ID])</f>
        <v>STORE19</v>
      </c>
      <c r="C162" t="str">
        <f>_xlfn.XLOOKUP(Table7[[#This Row],[Customer ID]],Table6[Customer_ID],Table6[Product_ID])</f>
        <v>PROD97</v>
      </c>
      <c r="D162" t="str">
        <f>VLOOKUP(Table7[[#This Row],[Customer ID]],Table4[#All],2,FALSE)</f>
        <v>Cynthia Morris</v>
      </c>
      <c r="E162">
        <f>VLOOKUP($A162,Table4[],3,FALSE)</f>
        <v>18</v>
      </c>
      <c r="F162" t="str">
        <f>VLOOKUP($A162,Table4[],4,FALSE)</f>
        <v>Female</v>
      </c>
      <c r="G162" t="str">
        <f>VLOOKUP($A162,Table4[],5,FALSE)</f>
        <v>Hessmouth</v>
      </c>
      <c r="H162" t="str">
        <f>VLOOKUP($A162,Table4[],6,FALSE)</f>
        <v>Arizona</v>
      </c>
      <c r="I162" t="str">
        <f>VLOOKUP($A162,Table4[],8,FALSE)</f>
        <v>Silver</v>
      </c>
      <c r="J162" t="str">
        <f>VLOOKUP($C162,Table1[],2,FALSE)</f>
        <v>Cricket Bat</v>
      </c>
      <c r="K162" t="str">
        <f>VLOOKUP($C162,Table1[],3,FALSE)</f>
        <v>Sports</v>
      </c>
      <c r="L162" t="str">
        <f>VLOOKUP($C162,Table1[],4,FALSE)</f>
        <v>Team Sports</v>
      </c>
      <c r="M162" t="str">
        <f>VLOOKUP($C162,Table1[],5,FALSE)</f>
        <v>Khan LLC</v>
      </c>
      <c r="N162">
        <f>VLOOKUP($C162,Table1[],6,FALSE)</f>
        <v>245.98</v>
      </c>
      <c r="O162">
        <f>VLOOKUP($C162,Table1[],7,FALSE)</f>
        <v>471</v>
      </c>
      <c r="P162" t="str">
        <f>_xlfn.XLOOKUP($B162,Table3[Store_ID],Table3[Store_Name])</f>
        <v>Mann-Austin</v>
      </c>
      <c r="Q162" t="str" cm="1">
        <f t="array" ref="Q162">_xlfn.XLOOKUP($B162,Store_Dim!$A$2:$A$21,Table3[Region])</f>
        <v>East</v>
      </c>
      <c r="R162" t="str" cm="1">
        <f t="array" ref="R162">_xlfn.XLOOKUP($B162,Store_Dim!$A$2:$A$21,Table3[Store_Type])</f>
        <v>Online</v>
      </c>
      <c r="S162">
        <f>VLOOKUP(Table7[[#This Row],[Customer ID]],Table6[[Customer_ID]:[Total_Amount]],8,FALSE)</f>
        <v>1331.91</v>
      </c>
    </row>
    <row r="163" spans="1:19" x14ac:dyDescent="0.3">
      <c r="A163" t="s">
        <v>536</v>
      </c>
      <c r="B163" t="str">
        <f>_xlfn.XLOOKUP(Table7[[#This Row],[Customer ID]],Table6[Customer_ID],Table6[Store_ID])</f>
        <v>STORE17</v>
      </c>
      <c r="C163" t="str">
        <f>_xlfn.XLOOKUP(Table7[[#This Row],[Customer ID]],Table6[Customer_ID],Table6[Product_ID])</f>
        <v>PROD99</v>
      </c>
      <c r="D163" t="str">
        <f>VLOOKUP(Table7[[#This Row],[Customer ID]],Table4[#All],2,FALSE)</f>
        <v>Mariah Brown</v>
      </c>
      <c r="E163">
        <f>VLOOKUP($A163,Table4[],3,FALSE)</f>
        <v>37</v>
      </c>
      <c r="F163" t="str">
        <f>VLOOKUP($A163,Table4[],4,FALSE)</f>
        <v>Male</v>
      </c>
      <c r="G163" t="str">
        <f>VLOOKUP($A163,Table4[],5,FALSE)</f>
        <v>Palmerbury</v>
      </c>
      <c r="H163" t="str">
        <f>VLOOKUP($A163,Table4[],6,FALSE)</f>
        <v>Tennessee</v>
      </c>
      <c r="I163" t="str">
        <f>VLOOKUP($A163,Table4[],8,FALSE)</f>
        <v>Silver</v>
      </c>
      <c r="J163" t="str">
        <f>VLOOKUP($C163,Table1[],2,FALSE)</f>
        <v>Stainless Steel Cookware Set</v>
      </c>
      <c r="K163" t="str">
        <f>VLOOKUP($C163,Table1[],3,FALSE)</f>
        <v>Home</v>
      </c>
      <c r="L163" t="str">
        <f>VLOOKUP($C163,Table1[],4,FALSE)</f>
        <v>Kitchen</v>
      </c>
      <c r="M163" t="str">
        <f>VLOOKUP($C163,Table1[],5,FALSE)</f>
        <v>Campbell Ltd</v>
      </c>
      <c r="N163">
        <f>VLOOKUP($C163,Table1[],6,FALSE)</f>
        <v>201.41</v>
      </c>
      <c r="O163">
        <f>VLOOKUP($C163,Table1[],7,FALSE)</f>
        <v>146</v>
      </c>
      <c r="P163" t="str">
        <f>_xlfn.XLOOKUP($B163,Table3[Store_ID],Table3[Store_Name])</f>
        <v>Holloway Ltd</v>
      </c>
      <c r="Q163" t="str" cm="1">
        <f t="array" ref="Q163">_xlfn.XLOOKUP($B163,Store_Dim!$A$2:$A$21,Table3[Region])</f>
        <v>North</v>
      </c>
      <c r="R163" t="str" cm="1">
        <f t="array" ref="R163">_xlfn.XLOOKUP($B163,Store_Dim!$A$2:$A$21,Table3[Store_Type])</f>
        <v>Flagship</v>
      </c>
      <c r="S163">
        <f>VLOOKUP(Table7[[#This Row],[Customer ID]],Table6[[Customer_ID]:[Total_Amount]],8,FALSE)</f>
        <v>1301.9864</v>
      </c>
    </row>
    <row r="164" spans="1:19" x14ac:dyDescent="0.3">
      <c r="A164" t="s">
        <v>539</v>
      </c>
      <c r="B164" t="str">
        <f>_xlfn.XLOOKUP(Table7[[#This Row],[Customer ID]],Table6[Customer_ID],Table6[Store_ID])</f>
        <v>STORE5</v>
      </c>
      <c r="C164" t="str">
        <f>_xlfn.XLOOKUP(Table7[[#This Row],[Customer ID]],Table6[Customer_ID],Table6[Product_ID])</f>
        <v>PROD97</v>
      </c>
      <c r="D164" t="str">
        <f>VLOOKUP(Table7[[#This Row],[Customer ID]],Table4[#All],2,FALSE)</f>
        <v>Joseph Jones</v>
      </c>
      <c r="E164">
        <f>VLOOKUP($A164,Table4[],3,FALSE)</f>
        <v>21</v>
      </c>
      <c r="F164" t="str">
        <f>VLOOKUP($A164,Table4[],4,FALSE)</f>
        <v>Male</v>
      </c>
      <c r="G164" t="str">
        <f>VLOOKUP($A164,Table4[],5,FALSE)</f>
        <v>North Matthew</v>
      </c>
      <c r="H164" t="str">
        <f>VLOOKUP($A164,Table4[],6,FALSE)</f>
        <v>Illinois</v>
      </c>
      <c r="I164" t="str">
        <f>VLOOKUP($A164,Table4[],8,FALSE)</f>
        <v>Bronze</v>
      </c>
      <c r="J164" t="str">
        <f>VLOOKUP($C164,Table1[],2,FALSE)</f>
        <v>Cricket Bat</v>
      </c>
      <c r="K164" t="str">
        <f>VLOOKUP($C164,Table1[],3,FALSE)</f>
        <v>Sports</v>
      </c>
      <c r="L164" t="str">
        <f>VLOOKUP($C164,Table1[],4,FALSE)</f>
        <v>Team Sports</v>
      </c>
      <c r="M164" t="str">
        <f>VLOOKUP($C164,Table1[],5,FALSE)</f>
        <v>Khan LLC</v>
      </c>
      <c r="N164">
        <f>VLOOKUP($C164,Table1[],6,FALSE)</f>
        <v>245.98</v>
      </c>
      <c r="O164">
        <f>VLOOKUP($C164,Table1[],7,FALSE)</f>
        <v>471</v>
      </c>
      <c r="P164" t="str">
        <f>_xlfn.XLOOKUP($B164,Table3[Store_ID],Table3[Store_Name])</f>
        <v>Gray Ltd</v>
      </c>
      <c r="Q164" t="str" cm="1">
        <f t="array" ref="Q164">_xlfn.XLOOKUP($B164,Store_Dim!$A$2:$A$21,Table3[Region])</f>
        <v>North</v>
      </c>
      <c r="R164" t="str" cm="1">
        <f t="array" ref="R164">_xlfn.XLOOKUP($B164,Store_Dim!$A$2:$A$21,Table3[Store_Type])</f>
        <v>Outlet</v>
      </c>
      <c r="S164">
        <f>VLOOKUP(Table7[[#This Row],[Customer ID]],Table6[[Customer_ID]:[Total_Amount]],8,FALSE)</f>
        <v>434.05680000000001</v>
      </c>
    </row>
    <row r="165" spans="1:19" x14ac:dyDescent="0.3">
      <c r="A165" t="s">
        <v>542</v>
      </c>
      <c r="B165" t="str">
        <f>_xlfn.XLOOKUP(Table7[[#This Row],[Customer ID]],Table6[Customer_ID],Table6[Store_ID])</f>
        <v>STORE12</v>
      </c>
      <c r="C165" t="str">
        <f>_xlfn.XLOOKUP(Table7[[#This Row],[Customer ID]],Table6[Customer_ID],Table6[Product_ID])</f>
        <v>PROD48</v>
      </c>
      <c r="D165" t="str">
        <f>VLOOKUP(Table7[[#This Row],[Customer ID]],Table4[#All],2,FALSE)</f>
        <v>Daniel Rivas</v>
      </c>
      <c r="E165">
        <f>VLOOKUP($A165,Table4[],3,FALSE)</f>
        <v>39</v>
      </c>
      <c r="F165" t="str">
        <f>VLOOKUP($A165,Table4[],4,FALSE)</f>
        <v>Female</v>
      </c>
      <c r="G165" t="str">
        <f>VLOOKUP($A165,Table4[],5,FALSE)</f>
        <v>Dominiquefort</v>
      </c>
      <c r="H165" t="str">
        <f>VLOOKUP($A165,Table4[],6,FALSE)</f>
        <v>Georgia</v>
      </c>
      <c r="I165" t="str">
        <f>VLOOKUP($A165,Table4[],8,FALSE)</f>
        <v>Silver</v>
      </c>
      <c r="J165" t="str">
        <f>VLOOKUP($C165,Table1[],2,FALSE)</f>
        <v>Car Dashboard Phone Holder</v>
      </c>
      <c r="K165" t="str">
        <f>VLOOKUP($C165,Table1[],3,FALSE)</f>
        <v>Electronics</v>
      </c>
      <c r="L165" t="str">
        <f>VLOOKUP($C165,Table1[],4,FALSE)</f>
        <v>Accessories</v>
      </c>
      <c r="M165" t="str">
        <f>VLOOKUP($C165,Table1[],5,FALSE)</f>
        <v>Byrd, Stewart and Valdez</v>
      </c>
      <c r="N165">
        <f>VLOOKUP($C165,Table1[],6,FALSE)</f>
        <v>177.98</v>
      </c>
      <c r="O165">
        <f>VLOOKUP($C165,Table1[],7,FALSE)</f>
        <v>103</v>
      </c>
      <c r="P165" t="str">
        <f>_xlfn.XLOOKUP($B165,Table3[Store_ID],Table3[Store_Name])</f>
        <v>Thomas, Bridges and Harris</v>
      </c>
      <c r="Q165" t="str" cm="1">
        <f t="array" ref="Q165">_xlfn.XLOOKUP($B165,Store_Dim!$A$2:$A$21,Table3[Region])</f>
        <v>North</v>
      </c>
      <c r="R165" t="str" cm="1">
        <f t="array" ref="R165">_xlfn.XLOOKUP($B165,Store_Dim!$A$2:$A$21,Table3[Store_Type])</f>
        <v>Online</v>
      </c>
      <c r="S165">
        <f>VLOOKUP(Table7[[#This Row],[Customer ID]],Table6[[Customer_ID]:[Total_Amount]],8,FALSE)</f>
        <v>3306.1392000000001</v>
      </c>
    </row>
    <row r="166" spans="1:19" x14ac:dyDescent="0.3">
      <c r="A166" t="s">
        <v>545</v>
      </c>
      <c r="B166" t="str">
        <f>_xlfn.XLOOKUP(Table7[[#This Row],[Customer ID]],Table6[Customer_ID],Table6[Store_ID])</f>
        <v>STORE0</v>
      </c>
      <c r="C166" t="str">
        <f>_xlfn.XLOOKUP(Table7[[#This Row],[Customer ID]],Table6[Customer_ID],Table6[Product_ID])</f>
        <v>PROD27</v>
      </c>
      <c r="D166" t="str">
        <f>VLOOKUP(Table7[[#This Row],[Customer ID]],Table4[#All],2,FALSE)</f>
        <v>Jason Wheeler</v>
      </c>
      <c r="E166">
        <f>VLOOKUP($A166,Table4[],3,FALSE)</f>
        <v>47</v>
      </c>
      <c r="F166" t="str">
        <f>VLOOKUP($A166,Table4[],4,FALSE)</f>
        <v>Female</v>
      </c>
      <c r="G166" t="str">
        <f>VLOOKUP($A166,Table4[],5,FALSE)</f>
        <v>Carolview</v>
      </c>
      <c r="H166" t="str">
        <f>VLOOKUP($A166,Table4[],6,FALSE)</f>
        <v>Illinois</v>
      </c>
      <c r="I166" t="str">
        <f>VLOOKUP($A166,Table4[],8,FALSE)</f>
        <v>Platinum</v>
      </c>
      <c r="J166" t="str">
        <f>VLOOKUP($C166,Table1[],2,FALSE)</f>
        <v>Decorative Floor Vase</v>
      </c>
      <c r="K166" t="str">
        <f>VLOOKUP($C166,Table1[],3,FALSE)</f>
        <v>Home</v>
      </c>
      <c r="L166" t="str">
        <f>VLOOKUP($C166,Table1[],4,FALSE)</f>
        <v>Decor</v>
      </c>
      <c r="M166" t="str">
        <f>VLOOKUP($C166,Table1[],5,FALSE)</f>
        <v>Khan, Jones and Paul</v>
      </c>
      <c r="N166">
        <f>VLOOKUP($C166,Table1[],6,FALSE)</f>
        <v>219.12</v>
      </c>
      <c r="O166">
        <f>VLOOKUP($C166,Table1[],7,FALSE)</f>
        <v>378</v>
      </c>
      <c r="P166" t="str">
        <f>_xlfn.XLOOKUP($B166,Table3[Store_ID],Table3[Store_Name])</f>
        <v>Rivera-Warner</v>
      </c>
      <c r="Q166" t="str" cm="1">
        <f t="array" ref="Q166">_xlfn.XLOOKUP($B166,Store_Dim!$A$2:$A$21,Table3[Region])</f>
        <v>East</v>
      </c>
      <c r="R166" t="str" cm="1">
        <f t="array" ref="R166">_xlfn.XLOOKUP($B166,Store_Dim!$A$2:$A$21,Table3[Store_Type])</f>
        <v>Flagship</v>
      </c>
      <c r="S166">
        <f>VLOOKUP(Table7[[#This Row],[Customer ID]],Table6[[Customer_ID]:[Total_Amount]],8,FALSE)</f>
        <v>414.25920000000002</v>
      </c>
    </row>
    <row r="167" spans="1:19" x14ac:dyDescent="0.3">
      <c r="A167" t="s">
        <v>548</v>
      </c>
      <c r="B167" t="str">
        <f>_xlfn.XLOOKUP(Table7[[#This Row],[Customer ID]],Table6[Customer_ID],Table6[Store_ID])</f>
        <v>STORE10</v>
      </c>
      <c r="C167" t="str">
        <f>_xlfn.XLOOKUP(Table7[[#This Row],[Customer ID]],Table6[Customer_ID],Table6[Product_ID])</f>
        <v>PROD81</v>
      </c>
      <c r="D167" t="str">
        <f>VLOOKUP(Table7[[#This Row],[Customer ID]],Table4[#All],2,FALSE)</f>
        <v>Patricia Gardner</v>
      </c>
      <c r="E167">
        <f>VLOOKUP($A167,Table4[],3,FALSE)</f>
        <v>25</v>
      </c>
      <c r="F167" t="str">
        <f>VLOOKUP($A167,Table4[],4,FALSE)</f>
        <v>Female</v>
      </c>
      <c r="G167" t="str">
        <f>VLOOKUP($A167,Table4[],5,FALSE)</f>
        <v>South Ashleyton</v>
      </c>
      <c r="H167" t="str">
        <f>VLOOKUP($A167,Table4[],6,FALSE)</f>
        <v>Michigan</v>
      </c>
      <c r="I167" t="str">
        <f>VLOOKUP($A167,Table4[],8,FALSE)</f>
        <v>Silver</v>
      </c>
      <c r="J167" t="str">
        <f>VLOOKUP($C167,Table1[],2,FALSE)</f>
        <v>Badminton Racket Set</v>
      </c>
      <c r="K167" t="str">
        <f>VLOOKUP($C167,Table1[],3,FALSE)</f>
        <v>Sports</v>
      </c>
      <c r="L167" t="str">
        <f>VLOOKUP($C167,Table1[],4,FALSE)</f>
        <v>Equipment</v>
      </c>
      <c r="M167" t="str">
        <f>VLOOKUP($C167,Table1[],5,FALSE)</f>
        <v>Robinson-Brown</v>
      </c>
      <c r="N167">
        <f>VLOOKUP($C167,Table1[],6,FALSE)</f>
        <v>285.54000000000002</v>
      </c>
      <c r="O167">
        <f>VLOOKUP($C167,Table1[],7,FALSE)</f>
        <v>358</v>
      </c>
      <c r="P167" t="str">
        <f>_xlfn.XLOOKUP($B167,Table3[Store_ID],Table3[Store_Name])</f>
        <v>Hill, Wagner and Ballard</v>
      </c>
      <c r="Q167" t="str" cm="1">
        <f t="array" ref="Q167">_xlfn.XLOOKUP($B167,Store_Dim!$A$2:$A$21,Table3[Region])</f>
        <v>East</v>
      </c>
      <c r="R167" t="str" cm="1">
        <f t="array" ref="R167">_xlfn.XLOOKUP($B167,Store_Dim!$A$2:$A$21,Table3[Store_Type])</f>
        <v>Online</v>
      </c>
      <c r="S167">
        <f>VLOOKUP(Table7[[#This Row],[Customer ID]],Table6[[Customer_ID]:[Total_Amount]],8,FALSE)</f>
        <v>235.3212</v>
      </c>
    </row>
    <row r="168" spans="1:19" x14ac:dyDescent="0.3">
      <c r="A168" t="s">
        <v>551</v>
      </c>
      <c r="B168" t="str">
        <f>_xlfn.XLOOKUP(Table7[[#This Row],[Customer ID]],Table6[Customer_ID],Table6[Store_ID])</f>
        <v>STORE2</v>
      </c>
      <c r="C168" t="str">
        <f>_xlfn.XLOOKUP(Table7[[#This Row],[Customer ID]],Table6[Customer_ID],Table6[Product_ID])</f>
        <v>PROD47</v>
      </c>
      <c r="D168" t="str">
        <f>VLOOKUP(Table7[[#This Row],[Customer ID]],Table4[#All],2,FALSE)</f>
        <v>Antonio Wade</v>
      </c>
      <c r="E168">
        <f>VLOOKUP($A168,Table4[],3,FALSE)</f>
        <v>36</v>
      </c>
      <c r="F168" t="str">
        <f>VLOOKUP($A168,Table4[],4,FALSE)</f>
        <v>Female</v>
      </c>
      <c r="G168" t="str">
        <f>VLOOKUP($A168,Table4[],5,FALSE)</f>
        <v>New Jasonmouth</v>
      </c>
      <c r="H168" t="str">
        <f>VLOOKUP($A168,Table4[],6,FALSE)</f>
        <v>Tennessee</v>
      </c>
      <c r="I168" t="str">
        <f>VLOOKUP($A168,Table4[],8,FALSE)</f>
        <v>Gold</v>
      </c>
      <c r="J168" t="str">
        <f>VLOOKUP($C168,Table1[],2,FALSE)</f>
        <v>Makeup Brush Set</v>
      </c>
      <c r="K168" t="str">
        <f>VLOOKUP($C168,Table1[],3,FALSE)</f>
        <v>Beauty</v>
      </c>
      <c r="L168" t="str">
        <f>VLOOKUP($C168,Table1[],4,FALSE)</f>
        <v>Makeup</v>
      </c>
      <c r="M168" t="str">
        <f>VLOOKUP($C168,Table1[],5,FALSE)</f>
        <v>Cook Inc</v>
      </c>
      <c r="N168">
        <f>VLOOKUP($C168,Table1[],6,FALSE)</f>
        <v>241.07</v>
      </c>
      <c r="O168">
        <f>VLOOKUP($C168,Table1[],7,FALSE)</f>
        <v>431</v>
      </c>
      <c r="P168" t="str">
        <f>_xlfn.XLOOKUP($B168,Table3[Store_ID],Table3[Store_Name])</f>
        <v>Black-Horn</v>
      </c>
      <c r="Q168" t="str" cm="1">
        <f t="array" ref="Q168">_xlfn.XLOOKUP($B168,Store_Dim!$A$2:$A$21,Table3[Region])</f>
        <v>South</v>
      </c>
      <c r="R168" t="str" cm="1">
        <f t="array" ref="R168">_xlfn.XLOOKUP($B168,Store_Dim!$A$2:$A$21,Table3[Store_Type])</f>
        <v>Outlet</v>
      </c>
      <c r="S168">
        <f>VLOOKUP(Table7[[#This Row],[Customer ID]],Table6[[Customer_ID]:[Total_Amount]],8,FALSE)</f>
        <v>1973.6496</v>
      </c>
    </row>
    <row r="169" spans="1:19" x14ac:dyDescent="0.3">
      <c r="A169" t="s">
        <v>554</v>
      </c>
      <c r="B169" t="str">
        <f>_xlfn.XLOOKUP(Table7[[#This Row],[Customer ID]],Table6[Customer_ID],Table6[Store_ID])</f>
        <v>STORE1</v>
      </c>
      <c r="C169" t="str">
        <f>_xlfn.XLOOKUP(Table7[[#This Row],[Customer ID]],Table6[Customer_ID],Table6[Product_ID])</f>
        <v>PROD72</v>
      </c>
      <c r="D169" t="str">
        <f>VLOOKUP(Table7[[#This Row],[Customer ID]],Table4[#All],2,FALSE)</f>
        <v>Daniel Contreras</v>
      </c>
      <c r="E169">
        <f>VLOOKUP($A169,Table4[],3,FALSE)</f>
        <v>36</v>
      </c>
      <c r="F169" t="str">
        <f>VLOOKUP($A169,Table4[],4,FALSE)</f>
        <v>Female</v>
      </c>
      <c r="G169" t="str">
        <f>VLOOKUP($A169,Table4[],5,FALSE)</f>
        <v>Robertview</v>
      </c>
      <c r="H169" t="str">
        <f>VLOOKUP($A169,Table4[],6,FALSE)</f>
        <v>Florida</v>
      </c>
      <c r="I169" t="str">
        <f>VLOOKUP($A169,Table4[],8,FALSE)</f>
        <v>Platinum</v>
      </c>
      <c r="J169" t="str">
        <f>VLOOKUP($C169,Table1[],2,FALSE)</f>
        <v>Professional Jump Rope</v>
      </c>
      <c r="K169" t="str">
        <f>VLOOKUP($C169,Table1[],3,FALSE)</f>
        <v>Sports</v>
      </c>
      <c r="L169" t="str">
        <f>VLOOKUP($C169,Table1[],4,FALSE)</f>
        <v>Fitness</v>
      </c>
      <c r="M169" t="str">
        <f>VLOOKUP($C169,Table1[],5,FALSE)</f>
        <v>Davis PLC</v>
      </c>
      <c r="N169">
        <f>VLOOKUP($C169,Table1[],6,FALSE)</f>
        <v>477.61</v>
      </c>
      <c r="O169">
        <f>VLOOKUP($C169,Table1[],7,FALSE)</f>
        <v>300</v>
      </c>
      <c r="P169" t="str">
        <f>_xlfn.XLOOKUP($B169,Table3[Store_ID],Table3[Store_Name])</f>
        <v>Martinez, Adkins and Johnson</v>
      </c>
      <c r="Q169" t="str" cm="1">
        <f t="array" ref="Q169">_xlfn.XLOOKUP($B169,Store_Dim!$A$2:$A$21,Table3[Region])</f>
        <v>North</v>
      </c>
      <c r="R169" t="str" cm="1">
        <f t="array" ref="R169">_xlfn.XLOOKUP($B169,Store_Dim!$A$2:$A$21,Table3[Store_Type])</f>
        <v>Flagship</v>
      </c>
      <c r="S169">
        <f>VLOOKUP(Table7[[#This Row],[Customer ID]],Table6[[Customer_ID]:[Total_Amount]],8,FALSE)</f>
        <v>1243.038</v>
      </c>
    </row>
    <row r="170" spans="1:19" x14ac:dyDescent="0.3">
      <c r="A170" t="s">
        <v>557</v>
      </c>
      <c r="B170" t="str">
        <f>_xlfn.XLOOKUP(Table7[[#This Row],[Customer ID]],Table6[Customer_ID],Table6[Store_ID])</f>
        <v>STORE0</v>
      </c>
      <c r="C170" t="str">
        <f>_xlfn.XLOOKUP(Table7[[#This Row],[Customer ID]],Table6[Customer_ID],Table6[Product_ID])</f>
        <v>PROD17</v>
      </c>
      <c r="D170" t="str">
        <f>VLOOKUP(Table7[[#This Row],[Customer ID]],Table4[#All],2,FALSE)</f>
        <v>Steve Mclaughlin</v>
      </c>
      <c r="E170">
        <f>VLOOKUP($A170,Table4[],3,FALSE)</f>
        <v>64</v>
      </c>
      <c r="F170" t="str">
        <f>VLOOKUP($A170,Table4[],4,FALSE)</f>
        <v>Male</v>
      </c>
      <c r="G170" t="str">
        <f>VLOOKUP($A170,Table4[],5,FALSE)</f>
        <v>Josephmouth</v>
      </c>
      <c r="H170" t="str">
        <f>VLOOKUP($A170,Table4[],6,FALSE)</f>
        <v>New Hampshire</v>
      </c>
      <c r="I170" t="str">
        <f>VLOOKUP($A170,Table4[],8,FALSE)</f>
        <v>Bronze</v>
      </c>
      <c r="J170" t="str">
        <f>VLOOKUP($C170,Table1[],2,FALSE)</f>
        <v>Soccer Training Cone Set</v>
      </c>
      <c r="K170" t="str">
        <f>VLOOKUP($C170,Table1[],3,FALSE)</f>
        <v>Sports</v>
      </c>
      <c r="L170" t="str">
        <f>VLOOKUP($C170,Table1[],4,FALSE)</f>
        <v>Accessories</v>
      </c>
      <c r="M170" t="str">
        <f>VLOOKUP($C170,Table1[],5,FALSE)</f>
        <v>Ford, Murphy and Wilson</v>
      </c>
      <c r="N170">
        <f>VLOOKUP($C170,Table1[],6,FALSE)</f>
        <v>144.53</v>
      </c>
      <c r="O170">
        <f>VLOOKUP($C170,Table1[],7,FALSE)</f>
        <v>367</v>
      </c>
      <c r="P170" t="str">
        <f>_xlfn.XLOOKUP($B170,Table3[Store_ID],Table3[Store_Name])</f>
        <v>Rivera-Warner</v>
      </c>
      <c r="Q170" t="str" cm="1">
        <f t="array" ref="Q170">_xlfn.XLOOKUP($B170,Store_Dim!$A$2:$A$21,Table3[Region])</f>
        <v>East</v>
      </c>
      <c r="R170" t="str" cm="1">
        <f t="array" ref="R170">_xlfn.XLOOKUP($B170,Store_Dim!$A$2:$A$21,Table3[Store_Type])</f>
        <v>Flagship</v>
      </c>
      <c r="S170">
        <f>VLOOKUP(Table7[[#This Row],[Customer ID]],Table6[[Customer_ID]:[Total_Amount]],8,FALSE)</f>
        <v>1521.7632000000001</v>
      </c>
    </row>
    <row r="171" spans="1:19" x14ac:dyDescent="0.3">
      <c r="A171" t="s">
        <v>560</v>
      </c>
      <c r="B171" t="str">
        <f>_xlfn.XLOOKUP(Table7[[#This Row],[Customer ID]],Table6[Customer_ID],Table6[Store_ID])</f>
        <v>STORE6</v>
      </c>
      <c r="C171" t="str">
        <f>_xlfn.XLOOKUP(Table7[[#This Row],[Customer ID]],Table6[Customer_ID],Table6[Product_ID])</f>
        <v>PROD83</v>
      </c>
      <c r="D171" t="str">
        <f>VLOOKUP(Table7[[#This Row],[Customer ID]],Table4[#All],2,FALSE)</f>
        <v>Christopher Garcia Dds</v>
      </c>
      <c r="E171">
        <f>VLOOKUP($A171,Table4[],3,FALSE)</f>
        <v>18</v>
      </c>
      <c r="F171" t="str">
        <f>VLOOKUP($A171,Table4[],4,FALSE)</f>
        <v>Male</v>
      </c>
      <c r="G171" t="str">
        <f>VLOOKUP($A171,Table4[],5,FALSE)</f>
        <v>New Joseph</v>
      </c>
      <c r="H171" t="str">
        <f>VLOOKUP($A171,Table4[],6,FALSE)</f>
        <v>Missouri</v>
      </c>
      <c r="I171" t="str">
        <f>VLOOKUP($A171,Table4[],8,FALSE)</f>
        <v>Gold</v>
      </c>
      <c r="J171" t="str">
        <f>VLOOKUP($C171,Table1[],2,FALSE)</f>
        <v>Hydrating Face Cleanser</v>
      </c>
      <c r="K171" t="str">
        <f>VLOOKUP($C171,Table1[],3,FALSE)</f>
        <v>Beauty</v>
      </c>
      <c r="L171" t="str">
        <f>VLOOKUP($C171,Table1[],4,FALSE)</f>
        <v>Skincare</v>
      </c>
      <c r="M171" t="str">
        <f>VLOOKUP($C171,Table1[],5,FALSE)</f>
        <v>Butler Group</v>
      </c>
      <c r="N171">
        <f>VLOOKUP($C171,Table1[],6,FALSE)</f>
        <v>305.49</v>
      </c>
      <c r="O171">
        <f>VLOOKUP($C171,Table1[],7,FALSE)</f>
        <v>159</v>
      </c>
      <c r="P171" t="str">
        <f>_xlfn.XLOOKUP($B171,Table3[Store_ID],Table3[Store_Name])</f>
        <v>Benson-Elliott</v>
      </c>
      <c r="Q171" t="str" cm="1">
        <f t="array" ref="Q171">_xlfn.XLOOKUP($B171,Store_Dim!$A$2:$A$21,Table3[Region])</f>
        <v>East</v>
      </c>
      <c r="R171" t="str" cm="1">
        <f t="array" ref="R171">_xlfn.XLOOKUP($B171,Store_Dim!$A$2:$A$21,Table3[Store_Type])</f>
        <v>Online</v>
      </c>
      <c r="S171">
        <f>VLOOKUP(Table7[[#This Row],[Customer ID]],Table6[[Customer_ID]:[Total_Amount]],8,FALSE)</f>
        <v>1661.8032000000001</v>
      </c>
    </row>
    <row r="172" spans="1:19" x14ac:dyDescent="0.3">
      <c r="A172" t="s">
        <v>562</v>
      </c>
      <c r="B172" t="str">
        <f>_xlfn.XLOOKUP(Table7[[#This Row],[Customer ID]],Table6[Customer_ID],Table6[Store_ID])</f>
        <v>STORE5</v>
      </c>
      <c r="C172" t="str">
        <f>_xlfn.XLOOKUP(Table7[[#This Row],[Customer ID]],Table6[Customer_ID],Table6[Product_ID])</f>
        <v>PROD90</v>
      </c>
      <c r="D172" t="str">
        <f>VLOOKUP(Table7[[#This Row],[Customer ID]],Table4[#All],2,FALSE)</f>
        <v>Amy Wilson</v>
      </c>
      <c r="E172">
        <f>VLOOKUP($A172,Table4[],3,FALSE)</f>
        <v>44</v>
      </c>
      <c r="F172" t="str">
        <f>VLOOKUP($A172,Table4[],4,FALSE)</f>
        <v>Female</v>
      </c>
      <c r="G172" t="str">
        <f>VLOOKUP($A172,Table4[],5,FALSE)</f>
        <v>Morrisburgh</v>
      </c>
      <c r="H172" t="str">
        <f>VLOOKUP($A172,Table4[],6,FALSE)</f>
        <v>Indiana</v>
      </c>
      <c r="I172" t="str">
        <f>VLOOKUP($A172,Table4[],8,FALSE)</f>
        <v>Platinum</v>
      </c>
      <c r="J172" t="str">
        <f>VLOOKUP($C172,Table1[],2,FALSE)</f>
        <v>Gaming Mouse Pad XL</v>
      </c>
      <c r="K172" t="str">
        <f>VLOOKUP($C172,Table1[],3,FALSE)</f>
        <v>Electronics</v>
      </c>
      <c r="L172" t="str">
        <f>VLOOKUP($C172,Table1[],4,FALSE)</f>
        <v>Accessories</v>
      </c>
      <c r="M172" t="str">
        <f>VLOOKUP($C172,Table1[],5,FALSE)</f>
        <v>Sharp, Taylor and Rodriguez</v>
      </c>
      <c r="N172">
        <f>VLOOKUP($C172,Table1[],6,FALSE)</f>
        <v>340.14</v>
      </c>
      <c r="O172">
        <f>VLOOKUP($C172,Table1[],7,FALSE)</f>
        <v>361</v>
      </c>
      <c r="P172" t="str">
        <f>_xlfn.XLOOKUP($B172,Table3[Store_ID],Table3[Store_Name])</f>
        <v>Gray Ltd</v>
      </c>
      <c r="Q172" t="str" cm="1">
        <f t="array" ref="Q172">_xlfn.XLOOKUP($B172,Store_Dim!$A$2:$A$21,Table3[Region])</f>
        <v>North</v>
      </c>
      <c r="R172" t="str" cm="1">
        <f t="array" ref="R172">_xlfn.XLOOKUP($B172,Store_Dim!$A$2:$A$21,Table3[Store_Type])</f>
        <v>Outlet</v>
      </c>
      <c r="S172">
        <f>VLOOKUP(Table7[[#This Row],[Customer ID]],Table6[[Customer_ID]:[Total_Amount]],8,FALSE)</f>
        <v>948.12300000000005</v>
      </c>
    </row>
    <row r="173" spans="1:19" x14ac:dyDescent="0.3">
      <c r="A173" t="s">
        <v>565</v>
      </c>
      <c r="B173" t="str">
        <f>_xlfn.XLOOKUP(Table7[[#This Row],[Customer ID]],Table6[Customer_ID],Table6[Store_ID])</f>
        <v>STORE3</v>
      </c>
      <c r="C173" t="str">
        <f>_xlfn.XLOOKUP(Table7[[#This Row],[Customer ID]],Table6[Customer_ID],Table6[Product_ID])</f>
        <v>PROD79</v>
      </c>
      <c r="D173" t="str">
        <f>VLOOKUP(Table7[[#This Row],[Customer ID]],Table4[#All],2,FALSE)</f>
        <v>Thomas Rhodes</v>
      </c>
      <c r="E173">
        <f>VLOOKUP($A173,Table4[],3,FALSE)</f>
        <v>41</v>
      </c>
      <c r="F173" t="str">
        <f>VLOOKUP($A173,Table4[],4,FALSE)</f>
        <v>Female</v>
      </c>
      <c r="G173" t="str">
        <f>VLOOKUP($A173,Table4[],5,FALSE)</f>
        <v>Port Richard</v>
      </c>
      <c r="H173" t="str">
        <f>VLOOKUP($A173,Table4[],6,FALSE)</f>
        <v>West Virginia</v>
      </c>
      <c r="I173" t="str">
        <f>VLOOKUP($A173,Table4[],8,FALSE)</f>
        <v>Bronze</v>
      </c>
      <c r="J173" t="str">
        <f>VLOOKUP($C173,Table1[],2,FALSE)</f>
        <v>Decorative Lamp Shade</v>
      </c>
      <c r="K173" t="str">
        <f>VLOOKUP($C173,Table1[],3,FALSE)</f>
        <v>Home</v>
      </c>
      <c r="L173" t="str">
        <f>VLOOKUP($C173,Table1[],4,FALSE)</f>
        <v>Lighting</v>
      </c>
      <c r="M173" t="str">
        <f>VLOOKUP($C173,Table1[],5,FALSE)</f>
        <v>Ramirez-Hanson</v>
      </c>
      <c r="N173">
        <f>VLOOKUP($C173,Table1[],6,FALSE)</f>
        <v>228.53</v>
      </c>
      <c r="O173">
        <f>VLOOKUP($C173,Table1[],7,FALSE)</f>
        <v>469</v>
      </c>
      <c r="P173" t="str">
        <f>_xlfn.XLOOKUP($B173,Table3[Store_ID],Table3[Store_Name])</f>
        <v>Johnson-Wright</v>
      </c>
      <c r="Q173" t="str" cm="1">
        <f t="array" ref="Q173">_xlfn.XLOOKUP($B173,Store_Dim!$A$2:$A$21,Table3[Region])</f>
        <v>North</v>
      </c>
      <c r="R173" t="str" cm="1">
        <f t="array" ref="R173">_xlfn.XLOOKUP($B173,Store_Dim!$A$2:$A$21,Table3[Store_Type])</f>
        <v>Outlet</v>
      </c>
      <c r="S173">
        <f>VLOOKUP(Table7[[#This Row],[Customer ID]],Table6[[Customer_ID]:[Total_Amount]],8,FALSE)</f>
        <v>753.49019999999996</v>
      </c>
    </row>
    <row r="174" spans="1:19" x14ac:dyDescent="0.3">
      <c r="A174" t="s">
        <v>568</v>
      </c>
      <c r="B174" t="str">
        <f>_xlfn.XLOOKUP(Table7[[#This Row],[Customer ID]],Table6[Customer_ID],Table6[Store_ID])</f>
        <v>STORE7</v>
      </c>
      <c r="C174" t="str">
        <f>_xlfn.XLOOKUP(Table7[[#This Row],[Customer ID]],Table6[Customer_ID],Table6[Product_ID])</f>
        <v>PROD20</v>
      </c>
      <c r="D174" t="str">
        <f>VLOOKUP(Table7[[#This Row],[Customer ID]],Table4[#All],2,FALSE)</f>
        <v>Teresa Stokes</v>
      </c>
      <c r="E174">
        <f>VLOOKUP($A174,Table4[],3,FALSE)</f>
        <v>41</v>
      </c>
      <c r="F174" t="str">
        <f>VLOOKUP($A174,Table4[],4,FALSE)</f>
        <v>Female</v>
      </c>
      <c r="G174" t="str">
        <f>VLOOKUP($A174,Table4[],5,FALSE)</f>
        <v>New William</v>
      </c>
      <c r="H174" t="str">
        <f>VLOOKUP($A174,Table4[],6,FALSE)</f>
        <v>Iowa</v>
      </c>
      <c r="I174" t="str">
        <f>VLOOKUP($A174,Table4[],8,FALSE)</f>
        <v>Platinum</v>
      </c>
      <c r="J174" t="str">
        <f>VLOOKUP($C174,Table1[],2,FALSE)</f>
        <v>Outdoor Sports Water Bottle</v>
      </c>
      <c r="K174" t="str">
        <f>VLOOKUP($C174,Table1[],3,FALSE)</f>
        <v>Sports</v>
      </c>
      <c r="L174" t="str">
        <f>VLOOKUP($C174,Table1[],4,FALSE)</f>
        <v>Accessories</v>
      </c>
      <c r="M174" t="str">
        <f>VLOOKUP($C174,Table1[],5,FALSE)</f>
        <v>Soto-Ellis</v>
      </c>
      <c r="N174">
        <f>VLOOKUP($C174,Table1[],6,FALSE)</f>
        <v>131.51</v>
      </c>
      <c r="O174">
        <f>VLOOKUP($C174,Table1[],7,FALSE)</f>
        <v>199</v>
      </c>
      <c r="P174" t="str">
        <f>_xlfn.XLOOKUP($B174,Table3[Store_ID],Table3[Store_Name])</f>
        <v>Martinez-Mullins</v>
      </c>
      <c r="Q174" t="str" cm="1">
        <f t="array" ref="Q174">_xlfn.XLOOKUP($B174,Store_Dim!$A$2:$A$21,Table3[Region])</f>
        <v>South</v>
      </c>
      <c r="R174" t="str" cm="1">
        <f t="array" ref="R174">_xlfn.XLOOKUP($B174,Store_Dim!$A$2:$A$21,Table3[Store_Type])</f>
        <v>Online</v>
      </c>
      <c r="S174">
        <f>VLOOKUP(Table7[[#This Row],[Customer ID]],Table6[[Customer_ID]:[Total_Amount]],8,FALSE)</f>
        <v>3400.733999999999</v>
      </c>
    </row>
    <row r="175" spans="1:19" x14ac:dyDescent="0.3">
      <c r="A175" t="s">
        <v>570</v>
      </c>
      <c r="B175" t="str">
        <f>_xlfn.XLOOKUP(Table7[[#This Row],[Customer ID]],Table6[Customer_ID],Table6[Store_ID])</f>
        <v>STORE10</v>
      </c>
      <c r="C175" t="str">
        <f>_xlfn.XLOOKUP(Table7[[#This Row],[Customer ID]],Table6[Customer_ID],Table6[Product_ID])</f>
        <v>PROD86</v>
      </c>
      <c r="D175" t="str">
        <f>VLOOKUP(Table7[[#This Row],[Customer ID]],Table4[#All],2,FALSE)</f>
        <v>Maria Davis</v>
      </c>
      <c r="E175">
        <f>VLOOKUP($A175,Table4[],3,FALSE)</f>
        <v>26</v>
      </c>
      <c r="F175" t="str">
        <f>VLOOKUP($A175,Table4[],4,FALSE)</f>
        <v>Female</v>
      </c>
      <c r="G175" t="str">
        <f>VLOOKUP($A175,Table4[],5,FALSE)</f>
        <v>Avilahaven</v>
      </c>
      <c r="H175" t="str">
        <f>VLOOKUP($A175,Table4[],6,FALSE)</f>
        <v>Vermont</v>
      </c>
      <c r="I175" t="str">
        <f>VLOOKUP($A175,Table4[],8,FALSE)</f>
        <v>Gold</v>
      </c>
      <c r="J175" t="str">
        <f>VLOOKUP($C175,Table1[],2,FALSE)</f>
        <v>Kitchen Cutting Board</v>
      </c>
      <c r="K175" t="str">
        <f>VLOOKUP($C175,Table1[],3,FALSE)</f>
        <v>Home</v>
      </c>
      <c r="L175" t="str">
        <f>VLOOKUP($C175,Table1[],4,FALSE)</f>
        <v>Kitchen</v>
      </c>
      <c r="M175" t="str">
        <f>VLOOKUP($C175,Table1[],5,FALSE)</f>
        <v>Taylor, Dodson and Johnston</v>
      </c>
      <c r="N175">
        <f>VLOOKUP($C175,Table1[],6,FALSE)</f>
        <v>176.07</v>
      </c>
      <c r="O175">
        <f>VLOOKUP($C175,Table1[],7,FALSE)</f>
        <v>82</v>
      </c>
      <c r="P175" t="str">
        <f>_xlfn.XLOOKUP($B175,Table3[Store_ID],Table3[Store_Name])</f>
        <v>Hill, Wagner and Ballard</v>
      </c>
      <c r="Q175" t="str" cm="1">
        <f t="array" ref="Q175">_xlfn.XLOOKUP($B175,Store_Dim!$A$2:$A$21,Table3[Region])</f>
        <v>East</v>
      </c>
      <c r="R175" t="str" cm="1">
        <f t="array" ref="R175">_xlfn.XLOOKUP($B175,Store_Dim!$A$2:$A$21,Table3[Store_Type])</f>
        <v>Online</v>
      </c>
      <c r="S175">
        <f>VLOOKUP(Table7[[#This Row],[Customer ID]],Table6[[Customer_ID]:[Total_Amount]],8,FALSE)</f>
        <v>953.55000000000007</v>
      </c>
    </row>
    <row r="176" spans="1:19" x14ac:dyDescent="0.3">
      <c r="A176" t="s">
        <v>573</v>
      </c>
      <c r="B176" t="str">
        <f>_xlfn.XLOOKUP(Table7[[#This Row],[Customer ID]],Table6[Customer_ID],Table6[Store_ID])</f>
        <v>STORE11</v>
      </c>
      <c r="C176" t="str">
        <f>_xlfn.XLOOKUP(Table7[[#This Row],[Customer ID]],Table6[Customer_ID],Table6[Product_ID])</f>
        <v>PROD49</v>
      </c>
      <c r="D176" t="str">
        <f>VLOOKUP(Table7[[#This Row],[Customer ID]],Table4[#All],2,FALSE)</f>
        <v>Michelle Rogers</v>
      </c>
      <c r="E176">
        <f>VLOOKUP($A176,Table4[],3,FALSE)</f>
        <v>56</v>
      </c>
      <c r="F176" t="str">
        <f>VLOOKUP($A176,Table4[],4,FALSE)</f>
        <v>Male</v>
      </c>
      <c r="G176" t="str">
        <f>VLOOKUP($A176,Table4[],5,FALSE)</f>
        <v>East Jessicaborough</v>
      </c>
      <c r="H176" t="str">
        <f>VLOOKUP($A176,Table4[],6,FALSE)</f>
        <v>Hawaii</v>
      </c>
      <c r="I176" t="str">
        <f>VLOOKUP($A176,Table4[],8,FALSE)</f>
        <v>Platinum</v>
      </c>
      <c r="J176" t="str">
        <f>VLOOKUP($C176,Table1[],2,FALSE)</f>
        <v>Men's Roll-On Perfume</v>
      </c>
      <c r="K176" t="str">
        <f>VLOOKUP($C176,Table1[],3,FALSE)</f>
        <v>Beauty</v>
      </c>
      <c r="L176" t="str">
        <f>VLOOKUP($C176,Table1[],4,FALSE)</f>
        <v>Fragrance</v>
      </c>
      <c r="M176" t="str">
        <f>VLOOKUP($C176,Table1[],5,FALSE)</f>
        <v>Sullivan and Sons</v>
      </c>
      <c r="N176">
        <f>VLOOKUP($C176,Table1[],6,FALSE)</f>
        <v>43.29</v>
      </c>
      <c r="O176">
        <f>VLOOKUP($C176,Table1[],7,FALSE)</f>
        <v>267</v>
      </c>
      <c r="P176" t="str">
        <f>_xlfn.XLOOKUP($B176,Table3[Store_ID],Table3[Store_Name])</f>
        <v>Aguirre-Keller</v>
      </c>
      <c r="Q176" t="str" cm="1">
        <f t="array" ref="Q176">_xlfn.XLOOKUP($B176,Store_Dim!$A$2:$A$21,Table3[Region])</f>
        <v>South</v>
      </c>
      <c r="R176" t="str" cm="1">
        <f t="array" ref="R176">_xlfn.XLOOKUP($B176,Store_Dim!$A$2:$A$21,Table3[Store_Type])</f>
        <v>Online</v>
      </c>
      <c r="S176">
        <f>VLOOKUP(Table7[[#This Row],[Customer ID]],Table6[[Customer_ID]:[Total_Amount]],8,FALSE)</f>
        <v>240.5592</v>
      </c>
    </row>
    <row r="177" spans="1:19" x14ac:dyDescent="0.3">
      <c r="A177" t="s">
        <v>576</v>
      </c>
      <c r="B177" t="str">
        <f>_xlfn.XLOOKUP(Table7[[#This Row],[Customer ID]],Table6[Customer_ID],Table6[Store_ID])</f>
        <v>STORE8</v>
      </c>
      <c r="C177" t="str">
        <f>_xlfn.XLOOKUP(Table7[[#This Row],[Customer ID]],Table6[Customer_ID],Table6[Product_ID])</f>
        <v>PROD52</v>
      </c>
      <c r="D177" t="str">
        <f>VLOOKUP(Table7[[#This Row],[Customer ID]],Table4[#All],2,FALSE)</f>
        <v>John Bradford</v>
      </c>
      <c r="E177">
        <f>VLOOKUP($A177,Table4[],3,FALSE)</f>
        <v>48</v>
      </c>
      <c r="F177" t="str">
        <f>VLOOKUP($A177,Table4[],4,FALSE)</f>
        <v>Male</v>
      </c>
      <c r="G177" t="str">
        <f>VLOOKUP($A177,Table4[],5,FALSE)</f>
        <v>Anabury</v>
      </c>
      <c r="H177" t="str">
        <f>VLOOKUP($A177,Table4[],6,FALSE)</f>
        <v>Vermont</v>
      </c>
      <c r="I177" t="str">
        <f>VLOOKUP($A177,Table4[],8,FALSE)</f>
        <v>Silver</v>
      </c>
      <c r="J177" t="str">
        <f>VLOOKUP($C177,Table1[],2,FALSE)</f>
        <v>Rugby Ball</v>
      </c>
      <c r="K177" t="str">
        <f>VLOOKUP($C177,Table1[],3,FALSE)</f>
        <v>Sports</v>
      </c>
      <c r="L177" t="str">
        <f>VLOOKUP($C177,Table1[],4,FALSE)</f>
        <v>Team Sports</v>
      </c>
      <c r="M177" t="str">
        <f>VLOOKUP($C177,Table1[],5,FALSE)</f>
        <v>Harris Inc</v>
      </c>
      <c r="N177">
        <f>VLOOKUP($C177,Table1[],6,FALSE)</f>
        <v>212.26</v>
      </c>
      <c r="O177">
        <f>VLOOKUP($C177,Table1[],7,FALSE)</f>
        <v>82</v>
      </c>
      <c r="P177" t="str">
        <f>_xlfn.XLOOKUP($B177,Table3[Store_ID],Table3[Store_Name])</f>
        <v>Bean, Jones and Park</v>
      </c>
      <c r="Q177" t="str" cm="1">
        <f t="array" ref="Q177">_xlfn.XLOOKUP($B177,Store_Dim!$A$2:$A$21,Table3[Region])</f>
        <v>West</v>
      </c>
      <c r="R177" t="str" cm="1">
        <f t="array" ref="R177">_xlfn.XLOOKUP($B177,Store_Dim!$A$2:$A$21,Table3[Store_Type])</f>
        <v>Online</v>
      </c>
      <c r="S177">
        <f>VLOOKUP(Table7[[#This Row],[Customer ID]],Table6[[Customer_ID]:[Total_Amount]],8,FALSE)</f>
        <v>415.73379999999997</v>
      </c>
    </row>
    <row r="178" spans="1:19" x14ac:dyDescent="0.3">
      <c r="A178" t="s">
        <v>579</v>
      </c>
      <c r="B178" t="str">
        <f>_xlfn.XLOOKUP(Table7[[#This Row],[Customer ID]],Table6[Customer_ID],Table6[Store_ID])</f>
        <v>STORE14</v>
      </c>
      <c r="C178" t="str">
        <f>_xlfn.XLOOKUP(Table7[[#This Row],[Customer ID]],Table6[Customer_ID],Table6[Product_ID])</f>
        <v>PROD59</v>
      </c>
      <c r="D178" t="str">
        <f>VLOOKUP(Table7[[#This Row],[Customer ID]],Table4[#All],2,FALSE)</f>
        <v>Curtis Lam</v>
      </c>
      <c r="E178">
        <f>VLOOKUP($A178,Table4[],3,FALSE)</f>
        <v>55</v>
      </c>
      <c r="F178" t="str">
        <f>VLOOKUP($A178,Table4[],4,FALSE)</f>
        <v>Male</v>
      </c>
      <c r="G178" t="str">
        <f>VLOOKUP($A178,Table4[],5,FALSE)</f>
        <v>Butlerberg</v>
      </c>
      <c r="H178" t="str">
        <f>VLOOKUP($A178,Table4[],6,FALSE)</f>
        <v>Kentucky</v>
      </c>
      <c r="I178" t="str">
        <f>VLOOKUP($A178,Table4[],8,FALSE)</f>
        <v>Platinum</v>
      </c>
      <c r="J178" t="str">
        <f>VLOOKUP($C178,Table1[],2,FALSE)</f>
        <v>Men's Hair Styling Gel</v>
      </c>
      <c r="K178" t="str">
        <f>VLOOKUP($C178,Table1[],3,FALSE)</f>
        <v>Beauty</v>
      </c>
      <c r="L178" t="str">
        <f>VLOOKUP($C178,Table1[],4,FALSE)</f>
        <v>Haircare</v>
      </c>
      <c r="M178" t="str">
        <f>VLOOKUP($C178,Table1[],5,FALSE)</f>
        <v>Cline-Mccarthy</v>
      </c>
      <c r="N178">
        <f>VLOOKUP($C178,Table1[],6,FALSE)</f>
        <v>17.309999999999999</v>
      </c>
      <c r="O178">
        <f>VLOOKUP($C178,Table1[],7,FALSE)</f>
        <v>399</v>
      </c>
      <c r="P178" t="str">
        <f>_xlfn.XLOOKUP($B178,Table3[Store_ID],Table3[Store_Name])</f>
        <v>Mcdonald Inc</v>
      </c>
      <c r="Q178" t="str" cm="1">
        <f t="array" ref="Q178">_xlfn.XLOOKUP($B178,Store_Dim!$A$2:$A$21,Table3[Region])</f>
        <v>South</v>
      </c>
      <c r="R178" t="str" cm="1">
        <f t="array" ref="R178">_xlfn.XLOOKUP($B178,Store_Dim!$A$2:$A$21,Table3[Store_Type])</f>
        <v>Outlet</v>
      </c>
      <c r="S178">
        <f>VLOOKUP(Table7[[#This Row],[Customer ID]],Table6[[Customer_ID]:[Total_Amount]],8,FALSE)</f>
        <v>60.280200000000008</v>
      </c>
    </row>
    <row r="179" spans="1:19" x14ac:dyDescent="0.3">
      <c r="A179" t="s">
        <v>583</v>
      </c>
      <c r="B179" t="str">
        <f>_xlfn.XLOOKUP(Table7[[#This Row],[Customer ID]],Table6[Customer_ID],Table6[Store_ID])</f>
        <v>STORE10</v>
      </c>
      <c r="C179" t="str">
        <f>_xlfn.XLOOKUP(Table7[[#This Row],[Customer ID]],Table6[Customer_ID],Table6[Product_ID])</f>
        <v>PROD97</v>
      </c>
      <c r="D179" t="str">
        <f>VLOOKUP(Table7[[#This Row],[Customer ID]],Table4[#All],2,FALSE)</f>
        <v>Michelle Myers</v>
      </c>
      <c r="E179">
        <f>VLOOKUP($A179,Table4[],3,FALSE)</f>
        <v>33</v>
      </c>
      <c r="F179" t="str">
        <f>VLOOKUP($A179,Table4[],4,FALSE)</f>
        <v>Female</v>
      </c>
      <c r="G179" t="str">
        <f>VLOOKUP($A179,Table4[],5,FALSE)</f>
        <v>West Daniel</v>
      </c>
      <c r="H179" t="str">
        <f>VLOOKUP($A179,Table4[],6,FALSE)</f>
        <v>South Carolina</v>
      </c>
      <c r="I179" t="str">
        <f>VLOOKUP($A179,Table4[],8,FALSE)</f>
        <v>Bronze</v>
      </c>
      <c r="J179" t="str">
        <f>VLOOKUP($C179,Table1[],2,FALSE)</f>
        <v>Cricket Bat</v>
      </c>
      <c r="K179" t="str">
        <f>VLOOKUP($C179,Table1[],3,FALSE)</f>
        <v>Sports</v>
      </c>
      <c r="L179" t="str">
        <f>VLOOKUP($C179,Table1[],4,FALSE)</f>
        <v>Team Sports</v>
      </c>
      <c r="M179" t="str">
        <f>VLOOKUP($C179,Table1[],5,FALSE)</f>
        <v>Khan LLC</v>
      </c>
      <c r="N179">
        <f>VLOOKUP($C179,Table1[],6,FALSE)</f>
        <v>245.98</v>
      </c>
      <c r="O179">
        <f>VLOOKUP($C179,Table1[],7,FALSE)</f>
        <v>471</v>
      </c>
      <c r="P179" t="str">
        <f>_xlfn.XLOOKUP($B179,Table3[Store_ID],Table3[Store_Name])</f>
        <v>Hill, Wagner and Ballard</v>
      </c>
      <c r="Q179" t="str" cm="1">
        <f t="array" ref="Q179">_xlfn.XLOOKUP($B179,Store_Dim!$A$2:$A$21,Table3[Region])</f>
        <v>East</v>
      </c>
      <c r="R179" t="str" cm="1">
        <f t="array" ref="R179">_xlfn.XLOOKUP($B179,Store_Dim!$A$2:$A$21,Table3[Store_Type])</f>
        <v>Online</v>
      </c>
      <c r="S179">
        <f>VLOOKUP(Table7[[#This Row],[Customer ID]],Table6[[Customer_ID]:[Total_Amount]],8,FALSE)</f>
        <v>641.73599999999999</v>
      </c>
    </row>
    <row r="180" spans="1:19" x14ac:dyDescent="0.3">
      <c r="A180" t="s">
        <v>586</v>
      </c>
      <c r="B180" t="str">
        <f>_xlfn.XLOOKUP(Table7[[#This Row],[Customer ID]],Table6[Customer_ID],Table6[Store_ID])</f>
        <v>STORE15</v>
      </c>
      <c r="C180" t="str">
        <f>_xlfn.XLOOKUP(Table7[[#This Row],[Customer ID]],Table6[Customer_ID],Table6[Product_ID])</f>
        <v>PROD34</v>
      </c>
      <c r="D180" t="str">
        <f>VLOOKUP(Table7[[#This Row],[Customer ID]],Table4[#All],2,FALSE)</f>
        <v>Nicholas Bradshaw</v>
      </c>
      <c r="E180">
        <f>VLOOKUP($A180,Table4[],3,FALSE)</f>
        <v>43</v>
      </c>
      <c r="F180" t="str">
        <f>VLOOKUP($A180,Table4[],4,FALSE)</f>
        <v>Female</v>
      </c>
      <c r="G180" t="str">
        <f>VLOOKUP($A180,Table4[],5,FALSE)</f>
        <v>Murphyfurt</v>
      </c>
      <c r="H180" t="str">
        <f>VLOOKUP($A180,Table4[],6,FALSE)</f>
        <v>Utah</v>
      </c>
      <c r="I180" t="str">
        <f>VLOOKUP($A180,Table4[],8,FALSE)</f>
        <v>Silver</v>
      </c>
      <c r="J180" t="str">
        <f>VLOOKUP($C180,Table1[],2,FALSE)</f>
        <v>Gaming Mechanical Keyboard</v>
      </c>
      <c r="K180" t="str">
        <f>VLOOKUP($C180,Table1[],3,FALSE)</f>
        <v>Electronics</v>
      </c>
      <c r="L180" t="str">
        <f>VLOOKUP($C180,Table1[],4,FALSE)</f>
        <v>Computer</v>
      </c>
      <c r="M180" t="str">
        <f>VLOOKUP($C180,Table1[],5,FALSE)</f>
        <v>Lucero LLC</v>
      </c>
      <c r="N180">
        <f>VLOOKUP($C180,Table1[],6,FALSE)</f>
        <v>419.28</v>
      </c>
      <c r="O180">
        <f>VLOOKUP($C180,Table1[],7,FALSE)</f>
        <v>86</v>
      </c>
      <c r="P180" t="str">
        <f>_xlfn.XLOOKUP($B180,Table3[Store_ID],Table3[Store_Name])</f>
        <v>Shelton PLC</v>
      </c>
      <c r="Q180" t="str" cm="1">
        <f t="array" ref="Q180">_xlfn.XLOOKUP($B180,Store_Dim!$A$2:$A$21,Table3[Region])</f>
        <v>North</v>
      </c>
      <c r="R180" t="str" cm="1">
        <f t="array" ref="R180">_xlfn.XLOOKUP($B180,Store_Dim!$A$2:$A$21,Table3[Store_Type])</f>
        <v>Flagship</v>
      </c>
      <c r="S180">
        <f>VLOOKUP(Table7[[#This Row],[Customer ID]],Table6[[Customer_ID]:[Total_Amount]],8,FALSE)</f>
        <v>1156.3725999999999</v>
      </c>
    </row>
    <row r="181" spans="1:19" x14ac:dyDescent="0.3">
      <c r="A181" t="s">
        <v>589</v>
      </c>
      <c r="B181" t="str">
        <f>_xlfn.XLOOKUP(Table7[[#This Row],[Customer ID]],Table6[Customer_ID],Table6[Store_ID])</f>
        <v>STORE18</v>
      </c>
      <c r="C181" t="str">
        <f>_xlfn.XLOOKUP(Table7[[#This Row],[Customer ID]],Table6[Customer_ID],Table6[Product_ID])</f>
        <v>PROD90</v>
      </c>
      <c r="D181" t="str">
        <f>VLOOKUP(Table7[[#This Row],[Customer ID]],Table4[#All],2,FALSE)</f>
        <v>Wesley Thompson</v>
      </c>
      <c r="E181">
        <f>VLOOKUP($A181,Table4[],3,FALSE)</f>
        <v>38</v>
      </c>
      <c r="F181" t="str">
        <f>VLOOKUP($A181,Table4[],4,FALSE)</f>
        <v>Male</v>
      </c>
      <c r="G181" t="str">
        <f>VLOOKUP($A181,Table4[],5,FALSE)</f>
        <v>East Davidmouth</v>
      </c>
      <c r="H181" t="str">
        <f>VLOOKUP($A181,Table4[],6,FALSE)</f>
        <v>Maine</v>
      </c>
      <c r="I181" t="str">
        <f>VLOOKUP($A181,Table4[],8,FALSE)</f>
        <v>Bronze</v>
      </c>
      <c r="J181" t="str">
        <f>VLOOKUP($C181,Table1[],2,FALSE)</f>
        <v>Gaming Mouse Pad XL</v>
      </c>
      <c r="K181" t="str">
        <f>VLOOKUP($C181,Table1[],3,FALSE)</f>
        <v>Electronics</v>
      </c>
      <c r="L181" t="str">
        <f>VLOOKUP($C181,Table1[],4,FALSE)</f>
        <v>Accessories</v>
      </c>
      <c r="M181" t="str">
        <f>VLOOKUP($C181,Table1[],5,FALSE)</f>
        <v>Sharp, Taylor and Rodriguez</v>
      </c>
      <c r="N181">
        <f>VLOOKUP($C181,Table1[],6,FALSE)</f>
        <v>340.14</v>
      </c>
      <c r="O181">
        <f>VLOOKUP($C181,Table1[],7,FALSE)</f>
        <v>361</v>
      </c>
      <c r="P181" t="str">
        <f>_xlfn.XLOOKUP($B181,Table3[Store_ID],Table3[Store_Name])</f>
        <v>Guerrero-Schmitt</v>
      </c>
      <c r="Q181" t="str" cm="1">
        <f t="array" ref="Q181">_xlfn.XLOOKUP($B181,Store_Dim!$A$2:$A$21,Table3[Region])</f>
        <v>East</v>
      </c>
      <c r="R181" t="str" cm="1">
        <f t="array" ref="R181">_xlfn.XLOOKUP($B181,Store_Dim!$A$2:$A$21,Table3[Store_Type])</f>
        <v>Flagship</v>
      </c>
      <c r="S181">
        <f>VLOOKUP(Table7[[#This Row],[Customer ID]],Table6[[Customer_ID]:[Total_Amount]],8,FALSE)</f>
        <v>235.2936</v>
      </c>
    </row>
    <row r="182" spans="1:19" x14ac:dyDescent="0.3">
      <c r="A182" t="s">
        <v>592</v>
      </c>
      <c r="B182" t="str">
        <f>_xlfn.XLOOKUP(Table7[[#This Row],[Customer ID]],Table6[Customer_ID],Table6[Store_ID])</f>
        <v>STORE0</v>
      </c>
      <c r="C182" t="str">
        <f>_xlfn.XLOOKUP(Table7[[#This Row],[Customer ID]],Table6[Customer_ID],Table6[Product_ID])</f>
        <v>PROD63</v>
      </c>
      <c r="D182" t="str">
        <f>VLOOKUP(Table7[[#This Row],[Customer ID]],Table4[#All],2,FALSE)</f>
        <v>Erin Ward</v>
      </c>
      <c r="E182">
        <f>VLOOKUP($A182,Table4[],3,FALSE)</f>
        <v>60</v>
      </c>
      <c r="F182" t="str">
        <f>VLOOKUP($A182,Table4[],4,FALSE)</f>
        <v>Male</v>
      </c>
      <c r="G182" t="str">
        <f>VLOOKUP($A182,Table4[],5,FALSE)</f>
        <v>New Brianchester</v>
      </c>
      <c r="H182" t="str">
        <f>VLOOKUP($A182,Table4[],6,FALSE)</f>
        <v>New York</v>
      </c>
      <c r="I182" t="str">
        <f>VLOOKUP($A182,Table4[],8,FALSE)</f>
        <v>Bronze</v>
      </c>
      <c r="J182" t="str">
        <f>VLOOKUP($C182,Table1[],2,FALSE)</f>
        <v>Organic Sunscreen Lotion</v>
      </c>
      <c r="K182" t="str">
        <f>VLOOKUP($C182,Table1[],3,FALSE)</f>
        <v>Beauty</v>
      </c>
      <c r="L182" t="str">
        <f>VLOOKUP($C182,Table1[],4,FALSE)</f>
        <v>Skincare</v>
      </c>
      <c r="M182" t="str">
        <f>VLOOKUP($C182,Table1[],5,FALSE)</f>
        <v>Anderson-Riley</v>
      </c>
      <c r="N182">
        <f>VLOOKUP($C182,Table1[],6,FALSE)</f>
        <v>266.86</v>
      </c>
      <c r="O182">
        <f>VLOOKUP($C182,Table1[],7,FALSE)</f>
        <v>458</v>
      </c>
      <c r="P182" t="str">
        <f>_xlfn.XLOOKUP($B182,Table3[Store_ID],Table3[Store_Name])</f>
        <v>Rivera-Warner</v>
      </c>
      <c r="Q182" t="str" cm="1">
        <f t="array" ref="Q182">_xlfn.XLOOKUP($B182,Store_Dim!$A$2:$A$21,Table3[Region])</f>
        <v>East</v>
      </c>
      <c r="R182" t="str" cm="1">
        <f t="array" ref="R182">_xlfn.XLOOKUP($B182,Store_Dim!$A$2:$A$21,Table3[Store_Type])</f>
        <v>Flagship</v>
      </c>
      <c r="S182">
        <f>VLOOKUP(Table7[[#This Row],[Customer ID]],Table6[[Customer_ID]:[Total_Amount]],8,FALSE)</f>
        <v>3111.192</v>
      </c>
    </row>
    <row r="183" spans="1:19" x14ac:dyDescent="0.3">
      <c r="A183" t="s">
        <v>595</v>
      </c>
      <c r="B183" t="str">
        <f>_xlfn.XLOOKUP(Table7[[#This Row],[Customer ID]],Table6[Customer_ID],Table6[Store_ID])</f>
        <v>STORE4</v>
      </c>
      <c r="C183" t="str">
        <f>_xlfn.XLOOKUP(Table7[[#This Row],[Customer ID]],Table6[Customer_ID],Table6[Product_ID])</f>
        <v>PROD34</v>
      </c>
      <c r="D183" t="str">
        <f>VLOOKUP(Table7[[#This Row],[Customer ID]],Table4[#All],2,FALSE)</f>
        <v>Melissa Hamilton</v>
      </c>
      <c r="E183">
        <f>VLOOKUP($A183,Table4[],3,FALSE)</f>
        <v>23</v>
      </c>
      <c r="F183" t="str">
        <f>VLOOKUP($A183,Table4[],4,FALSE)</f>
        <v>Female</v>
      </c>
      <c r="G183" t="str">
        <f>VLOOKUP($A183,Table4[],5,FALSE)</f>
        <v>Hutchinsonville</v>
      </c>
      <c r="H183" t="str">
        <f>VLOOKUP($A183,Table4[],6,FALSE)</f>
        <v>Oklahoma</v>
      </c>
      <c r="I183" t="str">
        <f>VLOOKUP($A183,Table4[],8,FALSE)</f>
        <v>Silver</v>
      </c>
      <c r="J183" t="str">
        <f>VLOOKUP($C183,Table1[],2,FALSE)</f>
        <v>Gaming Mechanical Keyboard</v>
      </c>
      <c r="K183" t="str">
        <f>VLOOKUP($C183,Table1[],3,FALSE)</f>
        <v>Electronics</v>
      </c>
      <c r="L183" t="str">
        <f>VLOOKUP($C183,Table1[],4,FALSE)</f>
        <v>Computer</v>
      </c>
      <c r="M183" t="str">
        <f>VLOOKUP($C183,Table1[],5,FALSE)</f>
        <v>Lucero LLC</v>
      </c>
      <c r="N183">
        <f>VLOOKUP($C183,Table1[],6,FALSE)</f>
        <v>419.28</v>
      </c>
      <c r="O183">
        <f>VLOOKUP($C183,Table1[],7,FALSE)</f>
        <v>86</v>
      </c>
      <c r="P183" t="str">
        <f>_xlfn.XLOOKUP($B183,Table3[Store_ID],Table3[Store_Name])</f>
        <v>Alexander Group</v>
      </c>
      <c r="Q183" t="str" cm="1">
        <f t="array" ref="Q183">_xlfn.XLOOKUP($B183,Store_Dim!$A$2:$A$21,Table3[Region])</f>
        <v>South</v>
      </c>
      <c r="R183" t="str" cm="1">
        <f t="array" ref="R183">_xlfn.XLOOKUP($B183,Store_Dim!$A$2:$A$21,Table3[Store_Type])</f>
        <v>Online</v>
      </c>
      <c r="S183">
        <f>VLOOKUP(Table7[[#This Row],[Customer ID]],Table6[[Customer_ID]:[Total_Amount]],8,FALSE)</f>
        <v>2997.615600000001</v>
      </c>
    </row>
    <row r="184" spans="1:19" x14ac:dyDescent="0.3">
      <c r="A184" t="s">
        <v>598</v>
      </c>
      <c r="B184" t="str">
        <f>_xlfn.XLOOKUP(Table7[[#This Row],[Customer ID]],Table6[Customer_ID],Table6[Store_ID])</f>
        <v>STORE0</v>
      </c>
      <c r="C184" t="str">
        <f>_xlfn.XLOOKUP(Table7[[#This Row],[Customer ID]],Table6[Customer_ID],Table6[Product_ID])</f>
        <v>PROD38</v>
      </c>
      <c r="D184" t="str">
        <f>VLOOKUP(Table7[[#This Row],[Customer ID]],Table4[#All],2,FALSE)</f>
        <v>Mario Jacobs</v>
      </c>
      <c r="E184">
        <f>VLOOKUP($A184,Table4[],3,FALSE)</f>
        <v>18</v>
      </c>
      <c r="F184" t="str">
        <f>VLOOKUP($A184,Table4[],4,FALSE)</f>
        <v>Male</v>
      </c>
      <c r="G184" t="str">
        <f>VLOOKUP($A184,Table4[],5,FALSE)</f>
        <v>Port James</v>
      </c>
      <c r="H184" t="str">
        <f>VLOOKUP($A184,Table4[],6,FALSE)</f>
        <v>New York</v>
      </c>
      <c r="I184" t="str">
        <f>VLOOKUP($A184,Table4[],8,FALSE)</f>
        <v>Platinum</v>
      </c>
      <c r="J184" t="str">
        <f>VLOOKUP($C184,Table1[],2,FALSE)</f>
        <v>Sports Water Hydration Pack</v>
      </c>
      <c r="K184" t="str">
        <f>VLOOKUP($C184,Table1[],3,FALSE)</f>
        <v>Sports</v>
      </c>
      <c r="L184" t="str">
        <f>VLOOKUP($C184,Table1[],4,FALSE)</f>
        <v>Outdoor</v>
      </c>
      <c r="M184" t="str">
        <f>VLOOKUP($C184,Table1[],5,FALSE)</f>
        <v>Sims-Smith</v>
      </c>
      <c r="N184">
        <f>VLOOKUP($C184,Table1[],6,FALSE)</f>
        <v>135.61000000000001</v>
      </c>
      <c r="O184">
        <f>VLOOKUP($C184,Table1[],7,FALSE)</f>
        <v>394</v>
      </c>
      <c r="P184" t="str">
        <f>_xlfn.XLOOKUP($B184,Table3[Store_ID],Table3[Store_Name])</f>
        <v>Rivera-Warner</v>
      </c>
      <c r="Q184" t="str" cm="1">
        <f t="array" ref="Q184">_xlfn.XLOOKUP($B184,Store_Dim!$A$2:$A$21,Table3[Region])</f>
        <v>East</v>
      </c>
      <c r="R184" t="str" cm="1">
        <f t="array" ref="R184">_xlfn.XLOOKUP($B184,Store_Dim!$A$2:$A$21,Table3[Store_Type])</f>
        <v>Flagship</v>
      </c>
      <c r="S184">
        <f>VLOOKUP(Table7[[#This Row],[Customer ID]],Table6[[Customer_ID]:[Total_Amount]],8,FALSE)</f>
        <v>374.66759999999999</v>
      </c>
    </row>
    <row r="185" spans="1:19" x14ac:dyDescent="0.3">
      <c r="A185" t="s">
        <v>601</v>
      </c>
      <c r="B185" t="str">
        <f>_xlfn.XLOOKUP(Table7[[#This Row],[Customer ID]],Table6[Customer_ID],Table6[Store_ID])</f>
        <v>STORE17</v>
      </c>
      <c r="C185" t="str">
        <f>_xlfn.XLOOKUP(Table7[[#This Row],[Customer ID]],Table6[Customer_ID],Table6[Product_ID])</f>
        <v>PROD34</v>
      </c>
      <c r="D185" t="str">
        <f>VLOOKUP(Table7[[#This Row],[Customer ID]],Table4[#All],2,FALSE)</f>
        <v>Leonard Cochran</v>
      </c>
      <c r="E185">
        <f>VLOOKUP($A185,Table4[],3,FALSE)</f>
        <v>46</v>
      </c>
      <c r="F185" t="str">
        <f>VLOOKUP($A185,Table4[],4,FALSE)</f>
        <v>Female</v>
      </c>
      <c r="G185" t="str">
        <f>VLOOKUP($A185,Table4[],5,FALSE)</f>
        <v>Port Sherryview</v>
      </c>
      <c r="H185" t="str">
        <f>VLOOKUP($A185,Table4[],6,FALSE)</f>
        <v>North Dakota</v>
      </c>
      <c r="I185" t="str">
        <f>VLOOKUP($A185,Table4[],8,FALSE)</f>
        <v>Silver</v>
      </c>
      <c r="J185" t="str">
        <f>VLOOKUP($C185,Table1[],2,FALSE)</f>
        <v>Gaming Mechanical Keyboard</v>
      </c>
      <c r="K185" t="str">
        <f>VLOOKUP($C185,Table1[],3,FALSE)</f>
        <v>Electronics</v>
      </c>
      <c r="L185" t="str">
        <f>VLOOKUP($C185,Table1[],4,FALSE)</f>
        <v>Computer</v>
      </c>
      <c r="M185" t="str">
        <f>VLOOKUP($C185,Table1[],5,FALSE)</f>
        <v>Lucero LLC</v>
      </c>
      <c r="N185">
        <f>VLOOKUP($C185,Table1[],6,FALSE)</f>
        <v>419.28</v>
      </c>
      <c r="O185">
        <f>VLOOKUP($C185,Table1[],7,FALSE)</f>
        <v>86</v>
      </c>
      <c r="P185" t="str">
        <f>_xlfn.XLOOKUP($B185,Table3[Store_ID],Table3[Store_Name])</f>
        <v>Holloway Ltd</v>
      </c>
      <c r="Q185" t="str" cm="1">
        <f t="array" ref="Q185">_xlfn.XLOOKUP($B185,Store_Dim!$A$2:$A$21,Table3[Region])</f>
        <v>North</v>
      </c>
      <c r="R185" t="str" cm="1">
        <f t="array" ref="R185">_xlfn.XLOOKUP($B185,Store_Dim!$A$2:$A$21,Table3[Store_Type])</f>
        <v>Flagship</v>
      </c>
      <c r="S185">
        <f>VLOOKUP(Table7[[#This Row],[Customer ID]],Table6[[Customer_ID]:[Total_Amount]],8,FALSE)</f>
        <v>3576.0383999999999</v>
      </c>
    </row>
    <row r="186" spans="1:19" x14ac:dyDescent="0.3">
      <c r="A186" t="s">
        <v>604</v>
      </c>
      <c r="B186" t="str">
        <f>_xlfn.XLOOKUP(Table7[[#This Row],[Customer ID]],Table6[Customer_ID],Table6[Store_ID])</f>
        <v>STORE3</v>
      </c>
      <c r="C186" t="str">
        <f>_xlfn.XLOOKUP(Table7[[#This Row],[Customer ID]],Table6[Customer_ID],Table6[Product_ID])</f>
        <v>PROD79</v>
      </c>
      <c r="D186" t="str">
        <f>VLOOKUP(Table7[[#This Row],[Customer ID]],Table4[#All],2,FALSE)</f>
        <v>Brent Rivas</v>
      </c>
      <c r="E186">
        <f>VLOOKUP($A186,Table4[],3,FALSE)</f>
        <v>54</v>
      </c>
      <c r="F186" t="str">
        <f>VLOOKUP($A186,Table4[],4,FALSE)</f>
        <v>Female</v>
      </c>
      <c r="G186" t="str">
        <f>VLOOKUP($A186,Table4[],5,FALSE)</f>
        <v>North Kellyberg</v>
      </c>
      <c r="H186" t="str">
        <f>VLOOKUP($A186,Table4[],6,FALSE)</f>
        <v>New Jersey</v>
      </c>
      <c r="I186" t="str">
        <f>VLOOKUP($A186,Table4[],8,FALSE)</f>
        <v>Platinum</v>
      </c>
      <c r="J186" t="str">
        <f>VLOOKUP($C186,Table1[],2,FALSE)</f>
        <v>Decorative Lamp Shade</v>
      </c>
      <c r="K186" t="str">
        <f>VLOOKUP($C186,Table1[],3,FALSE)</f>
        <v>Home</v>
      </c>
      <c r="L186" t="str">
        <f>VLOOKUP($C186,Table1[],4,FALSE)</f>
        <v>Lighting</v>
      </c>
      <c r="M186" t="str">
        <f>VLOOKUP($C186,Table1[],5,FALSE)</f>
        <v>Ramirez-Hanson</v>
      </c>
      <c r="N186">
        <f>VLOOKUP($C186,Table1[],6,FALSE)</f>
        <v>228.53</v>
      </c>
      <c r="O186">
        <f>VLOOKUP($C186,Table1[],7,FALSE)</f>
        <v>469</v>
      </c>
      <c r="P186" t="str">
        <f>_xlfn.XLOOKUP($B186,Table3[Store_ID],Table3[Store_Name])</f>
        <v>Johnson-Wright</v>
      </c>
      <c r="Q186" t="str" cm="1">
        <f t="array" ref="Q186">_xlfn.XLOOKUP($B186,Store_Dim!$A$2:$A$21,Table3[Region])</f>
        <v>North</v>
      </c>
      <c r="R186" t="str" cm="1">
        <f t="array" ref="R186">_xlfn.XLOOKUP($B186,Store_Dim!$A$2:$A$21,Table3[Store_Type])</f>
        <v>Outlet</v>
      </c>
      <c r="S186">
        <f>VLOOKUP(Table7[[#This Row],[Customer ID]],Table6[[Customer_ID]:[Total_Amount]],8,FALSE)</f>
        <v>125.8389</v>
      </c>
    </row>
    <row r="187" spans="1:19" x14ac:dyDescent="0.3">
      <c r="A187" t="s">
        <v>607</v>
      </c>
      <c r="B187" t="str">
        <f>_xlfn.XLOOKUP(Table7[[#This Row],[Customer ID]],Table6[Customer_ID],Table6[Store_ID])</f>
        <v>STORE6</v>
      </c>
      <c r="C187" t="str">
        <f>_xlfn.XLOOKUP(Table7[[#This Row],[Customer ID]],Table6[Customer_ID],Table6[Product_ID])</f>
        <v>PROD67</v>
      </c>
      <c r="D187" t="str">
        <f>VLOOKUP(Table7[[#This Row],[Customer ID]],Table4[#All],2,FALSE)</f>
        <v>Jennifer Pruitt</v>
      </c>
      <c r="E187">
        <f>VLOOKUP($A187,Table4[],3,FALSE)</f>
        <v>53</v>
      </c>
      <c r="F187" t="str">
        <f>VLOOKUP($A187,Table4[],4,FALSE)</f>
        <v>Male</v>
      </c>
      <c r="G187" t="str">
        <f>VLOOKUP($A187,Table4[],5,FALSE)</f>
        <v>East Justin</v>
      </c>
      <c r="H187" t="str">
        <f>VLOOKUP($A187,Table4[],6,FALSE)</f>
        <v>Missouri</v>
      </c>
      <c r="I187" t="str">
        <f>VLOOKUP($A187,Table4[],8,FALSE)</f>
        <v>Silver</v>
      </c>
      <c r="J187" t="str">
        <f>VLOOKUP($C187,Table1[],2,FALSE)</f>
        <v>Smart LED Light Strip</v>
      </c>
      <c r="K187" t="str">
        <f>VLOOKUP($C187,Table1[],3,FALSE)</f>
        <v>Electronics</v>
      </c>
      <c r="L187" t="str">
        <f>VLOOKUP($C187,Table1[],4,FALSE)</f>
        <v>Accessories</v>
      </c>
      <c r="M187" t="str">
        <f>VLOOKUP($C187,Table1[],5,FALSE)</f>
        <v>Flores-Davis</v>
      </c>
      <c r="N187">
        <f>VLOOKUP($C187,Table1[],6,FALSE)</f>
        <v>349.17</v>
      </c>
      <c r="O187">
        <f>VLOOKUP($C187,Table1[],7,FALSE)</f>
        <v>476</v>
      </c>
      <c r="P187" t="str">
        <f>_xlfn.XLOOKUP($B187,Table3[Store_ID],Table3[Store_Name])</f>
        <v>Benson-Elliott</v>
      </c>
      <c r="Q187" t="str" cm="1">
        <f t="array" ref="Q187">_xlfn.XLOOKUP($B187,Store_Dim!$A$2:$A$21,Table3[Region])</f>
        <v>East</v>
      </c>
      <c r="R187" t="str" cm="1">
        <f t="array" ref="R187">_xlfn.XLOOKUP($B187,Store_Dim!$A$2:$A$21,Table3[Store_Type])</f>
        <v>Online</v>
      </c>
      <c r="S187">
        <f>VLOOKUP(Table7[[#This Row],[Customer ID]],Table6[[Customer_ID]:[Total_Amount]],8,FALSE)</f>
        <v>216.50399999999999</v>
      </c>
    </row>
    <row r="188" spans="1:19" x14ac:dyDescent="0.3">
      <c r="A188" t="s">
        <v>610</v>
      </c>
      <c r="B188" t="str">
        <f>_xlfn.XLOOKUP(Table7[[#This Row],[Customer ID]],Table6[Customer_ID],Table6[Store_ID])</f>
        <v>STORE5</v>
      </c>
      <c r="C188" t="str">
        <f>_xlfn.XLOOKUP(Table7[[#This Row],[Customer ID]],Table6[Customer_ID],Table6[Product_ID])</f>
        <v>PROD99</v>
      </c>
      <c r="D188" t="str">
        <f>VLOOKUP(Table7[[#This Row],[Customer ID]],Table4[#All],2,FALSE)</f>
        <v>Dr. Suzanne Bullock</v>
      </c>
      <c r="E188">
        <f>VLOOKUP($A188,Table4[],3,FALSE)</f>
        <v>60</v>
      </c>
      <c r="F188" t="str">
        <f>VLOOKUP($A188,Table4[],4,FALSE)</f>
        <v>Female</v>
      </c>
      <c r="G188" t="str">
        <f>VLOOKUP($A188,Table4[],5,FALSE)</f>
        <v>Lake Blaketon</v>
      </c>
      <c r="H188" t="str">
        <f>VLOOKUP($A188,Table4[],6,FALSE)</f>
        <v>Alabama</v>
      </c>
      <c r="I188" t="str">
        <f>VLOOKUP($A188,Table4[],8,FALSE)</f>
        <v>Platinum</v>
      </c>
      <c r="J188" t="str">
        <f>VLOOKUP($C188,Table1[],2,FALSE)</f>
        <v>Stainless Steel Cookware Set</v>
      </c>
      <c r="K188" t="str">
        <f>VLOOKUP($C188,Table1[],3,FALSE)</f>
        <v>Home</v>
      </c>
      <c r="L188" t="str">
        <f>VLOOKUP($C188,Table1[],4,FALSE)</f>
        <v>Kitchen</v>
      </c>
      <c r="M188" t="str">
        <f>VLOOKUP($C188,Table1[],5,FALSE)</f>
        <v>Campbell Ltd</v>
      </c>
      <c r="N188">
        <f>VLOOKUP($C188,Table1[],6,FALSE)</f>
        <v>201.41</v>
      </c>
      <c r="O188">
        <f>VLOOKUP($C188,Table1[],7,FALSE)</f>
        <v>146</v>
      </c>
      <c r="P188" t="str">
        <f>_xlfn.XLOOKUP($B188,Table3[Store_ID],Table3[Store_Name])</f>
        <v>Gray Ltd</v>
      </c>
      <c r="Q188" t="str" cm="1">
        <f t="array" ref="Q188">_xlfn.XLOOKUP($B188,Store_Dim!$A$2:$A$21,Table3[Region])</f>
        <v>North</v>
      </c>
      <c r="R188" t="str" cm="1">
        <f t="array" ref="R188">_xlfn.XLOOKUP($B188,Store_Dim!$A$2:$A$21,Table3[Store_Type])</f>
        <v>Outlet</v>
      </c>
      <c r="S188">
        <f>VLOOKUP(Table7[[#This Row],[Customer ID]],Table6[[Customer_ID]:[Total_Amount]],8,FALSE)</f>
        <v>1250.6175000000001</v>
      </c>
    </row>
    <row r="189" spans="1:19" x14ac:dyDescent="0.3">
      <c r="A189" t="s">
        <v>613</v>
      </c>
      <c r="B189" t="str">
        <f>_xlfn.XLOOKUP(Table7[[#This Row],[Customer ID]],Table6[Customer_ID],Table6[Store_ID])</f>
        <v>STORE8</v>
      </c>
      <c r="C189" t="str">
        <f>_xlfn.XLOOKUP(Table7[[#This Row],[Customer ID]],Table6[Customer_ID],Table6[Product_ID])</f>
        <v>PROD30</v>
      </c>
      <c r="D189" t="str">
        <f>VLOOKUP(Table7[[#This Row],[Customer ID]],Table4[#All],2,FALSE)</f>
        <v>Kimberly Brooks</v>
      </c>
      <c r="E189">
        <f>VLOOKUP($A189,Table4[],3,FALSE)</f>
        <v>42</v>
      </c>
      <c r="F189" t="str">
        <f>VLOOKUP($A189,Table4[],4,FALSE)</f>
        <v>Male</v>
      </c>
      <c r="G189" t="str">
        <f>VLOOKUP($A189,Table4[],5,FALSE)</f>
        <v>Kingfort</v>
      </c>
      <c r="H189" t="str">
        <f>VLOOKUP($A189,Table4[],6,FALSE)</f>
        <v>New Mexico</v>
      </c>
      <c r="I189" t="str">
        <f>VLOOKUP($A189,Table4[],8,FALSE)</f>
        <v>Silver</v>
      </c>
      <c r="J189" t="str">
        <f>VLOOKUP($C189,Table1[],2,FALSE)</f>
        <v>Stainless Steel Cutlery Set</v>
      </c>
      <c r="K189" t="str">
        <f>VLOOKUP($C189,Table1[],3,FALSE)</f>
        <v>Home</v>
      </c>
      <c r="L189" t="str">
        <f>VLOOKUP($C189,Table1[],4,FALSE)</f>
        <v>Kitchen</v>
      </c>
      <c r="M189" t="str">
        <f>VLOOKUP($C189,Table1[],5,FALSE)</f>
        <v>Stevens, Fernandez and Martin</v>
      </c>
      <c r="N189">
        <f>VLOOKUP($C189,Table1[],6,FALSE)</f>
        <v>19.52</v>
      </c>
      <c r="O189">
        <f>VLOOKUP($C189,Table1[],7,FALSE)</f>
        <v>57</v>
      </c>
      <c r="P189" t="str">
        <f>_xlfn.XLOOKUP($B189,Table3[Store_ID],Table3[Store_Name])</f>
        <v>Bean, Jones and Park</v>
      </c>
      <c r="Q189" t="str" cm="1">
        <f t="array" ref="Q189">_xlfn.XLOOKUP($B189,Store_Dim!$A$2:$A$21,Table3[Region])</f>
        <v>West</v>
      </c>
      <c r="R189" t="str" cm="1">
        <f t="array" ref="R189">_xlfn.XLOOKUP($B189,Store_Dim!$A$2:$A$21,Table3[Store_Type])</f>
        <v>Online</v>
      </c>
      <c r="S189">
        <f>VLOOKUP(Table7[[#This Row],[Customer ID]],Table6[[Customer_ID]:[Total_Amount]],8,FALSE)</f>
        <v>792.09600000000012</v>
      </c>
    </row>
    <row r="190" spans="1:19" x14ac:dyDescent="0.3">
      <c r="A190" t="s">
        <v>616</v>
      </c>
      <c r="B190" t="str">
        <f>_xlfn.XLOOKUP(Table7[[#This Row],[Customer ID]],Table6[Customer_ID],Table6[Store_ID])</f>
        <v>STORE13</v>
      </c>
      <c r="C190" t="str">
        <f>_xlfn.XLOOKUP(Table7[[#This Row],[Customer ID]],Table6[Customer_ID],Table6[Product_ID])</f>
        <v>PROD33</v>
      </c>
      <c r="D190" t="str">
        <f>VLOOKUP(Table7[[#This Row],[Customer ID]],Table4[#All],2,FALSE)</f>
        <v>Daniel Austin</v>
      </c>
      <c r="E190">
        <f>VLOOKUP($A190,Table4[],3,FALSE)</f>
        <v>29</v>
      </c>
      <c r="F190" t="str">
        <f>VLOOKUP($A190,Table4[],4,FALSE)</f>
        <v>Male</v>
      </c>
      <c r="G190" t="str">
        <f>VLOOKUP($A190,Table4[],5,FALSE)</f>
        <v>Lake Howardberg</v>
      </c>
      <c r="H190" t="str">
        <f>VLOOKUP($A190,Table4[],6,FALSE)</f>
        <v>Kentucky</v>
      </c>
      <c r="I190" t="str">
        <f>VLOOKUP($A190,Table4[],8,FALSE)</f>
        <v>Gold</v>
      </c>
      <c r="J190" t="str">
        <f>VLOOKUP($C190,Table1[],2,FALSE)</f>
        <v>Modern Wall Clock</v>
      </c>
      <c r="K190" t="str">
        <f>VLOOKUP($C190,Table1[],3,FALSE)</f>
        <v>Home</v>
      </c>
      <c r="L190" t="str">
        <f>VLOOKUP($C190,Table1[],4,FALSE)</f>
        <v>Decor</v>
      </c>
      <c r="M190" t="str">
        <f>VLOOKUP($C190,Table1[],5,FALSE)</f>
        <v>Weiss-Watson</v>
      </c>
      <c r="N190">
        <f>VLOOKUP($C190,Table1[],6,FALSE)</f>
        <v>179.77</v>
      </c>
      <c r="O190">
        <f>VLOOKUP($C190,Table1[],7,FALSE)</f>
        <v>305</v>
      </c>
      <c r="P190" t="str">
        <f>_xlfn.XLOOKUP($B190,Table3[Store_ID],Table3[Store_Name])</f>
        <v>Gardner, Humphrey and Contreras</v>
      </c>
      <c r="Q190" t="str" cm="1">
        <f t="array" ref="Q190">_xlfn.XLOOKUP($B190,Store_Dim!$A$2:$A$21,Table3[Region])</f>
        <v>East</v>
      </c>
      <c r="R190" t="str" cm="1">
        <f t="array" ref="R190">_xlfn.XLOOKUP($B190,Store_Dim!$A$2:$A$21,Table3[Store_Type])</f>
        <v>Flagship</v>
      </c>
      <c r="S190">
        <f>VLOOKUP(Table7[[#This Row],[Customer ID]],Table6[[Customer_ID]:[Total_Amount]],8,FALSE)</f>
        <v>2764.8031999999998</v>
      </c>
    </row>
    <row r="191" spans="1:19" x14ac:dyDescent="0.3">
      <c r="A191" t="s">
        <v>619</v>
      </c>
      <c r="B191" t="str">
        <f>_xlfn.XLOOKUP(Table7[[#This Row],[Customer ID]],Table6[Customer_ID],Table6[Store_ID])</f>
        <v>STORE19</v>
      </c>
      <c r="C191" t="str">
        <f>_xlfn.XLOOKUP(Table7[[#This Row],[Customer ID]],Table6[Customer_ID],Table6[Product_ID])</f>
        <v>PROD27</v>
      </c>
      <c r="D191" t="str">
        <f>VLOOKUP(Table7[[#This Row],[Customer ID]],Table4[#All],2,FALSE)</f>
        <v>Christopher Stewart</v>
      </c>
      <c r="E191">
        <f>VLOOKUP($A191,Table4[],3,FALSE)</f>
        <v>21</v>
      </c>
      <c r="F191" t="str">
        <f>VLOOKUP($A191,Table4[],4,FALSE)</f>
        <v>Male</v>
      </c>
      <c r="G191" t="str">
        <f>VLOOKUP($A191,Table4[],5,FALSE)</f>
        <v>Amandaside</v>
      </c>
      <c r="H191" t="str">
        <f>VLOOKUP($A191,Table4[],6,FALSE)</f>
        <v>New York</v>
      </c>
      <c r="I191" t="str">
        <f>VLOOKUP($A191,Table4[],8,FALSE)</f>
        <v>Bronze</v>
      </c>
      <c r="J191" t="str">
        <f>VLOOKUP($C191,Table1[],2,FALSE)</f>
        <v>Decorative Floor Vase</v>
      </c>
      <c r="K191" t="str">
        <f>VLOOKUP($C191,Table1[],3,FALSE)</f>
        <v>Home</v>
      </c>
      <c r="L191" t="str">
        <f>VLOOKUP($C191,Table1[],4,FALSE)</f>
        <v>Decor</v>
      </c>
      <c r="M191" t="str">
        <f>VLOOKUP($C191,Table1[],5,FALSE)</f>
        <v>Khan, Jones and Paul</v>
      </c>
      <c r="N191">
        <f>VLOOKUP($C191,Table1[],6,FALSE)</f>
        <v>219.12</v>
      </c>
      <c r="O191">
        <f>VLOOKUP($C191,Table1[],7,FALSE)</f>
        <v>378</v>
      </c>
      <c r="P191" t="str">
        <f>_xlfn.XLOOKUP($B191,Table3[Store_ID],Table3[Store_Name])</f>
        <v>Mann-Austin</v>
      </c>
      <c r="Q191" t="str" cm="1">
        <f t="array" ref="Q191">_xlfn.XLOOKUP($B191,Store_Dim!$A$2:$A$21,Table3[Region])</f>
        <v>East</v>
      </c>
      <c r="R191" t="str" cm="1">
        <f t="array" ref="R191">_xlfn.XLOOKUP($B191,Store_Dim!$A$2:$A$21,Table3[Store_Type])</f>
        <v>Online</v>
      </c>
      <c r="S191">
        <f>VLOOKUP(Table7[[#This Row],[Customer ID]],Table6[[Customer_ID]:[Total_Amount]],8,FALSE)</f>
        <v>2326.4778000000001</v>
      </c>
    </row>
    <row r="192" spans="1:19" x14ac:dyDescent="0.3">
      <c r="A192" t="s">
        <v>622</v>
      </c>
      <c r="B192" t="str">
        <f>_xlfn.XLOOKUP(Table7[[#This Row],[Customer ID]],Table6[Customer_ID],Table6[Store_ID])</f>
        <v>STORE1</v>
      </c>
      <c r="C192" t="str">
        <f>_xlfn.XLOOKUP(Table7[[#This Row],[Customer ID]],Table6[Customer_ID],Table6[Product_ID])</f>
        <v>PROD17</v>
      </c>
      <c r="D192" t="str">
        <f>VLOOKUP(Table7[[#This Row],[Customer ID]],Table4[#All],2,FALSE)</f>
        <v>Todd Poole</v>
      </c>
      <c r="E192">
        <f>VLOOKUP($A192,Table4[],3,FALSE)</f>
        <v>29</v>
      </c>
      <c r="F192" t="str">
        <f>VLOOKUP($A192,Table4[],4,FALSE)</f>
        <v>Female</v>
      </c>
      <c r="G192" t="str">
        <f>VLOOKUP($A192,Table4[],5,FALSE)</f>
        <v>Johnsonshire</v>
      </c>
      <c r="H192" t="str">
        <f>VLOOKUP($A192,Table4[],6,FALSE)</f>
        <v>Ohio</v>
      </c>
      <c r="I192" t="str">
        <f>VLOOKUP($A192,Table4[],8,FALSE)</f>
        <v>Bronze</v>
      </c>
      <c r="J192" t="str">
        <f>VLOOKUP($C192,Table1[],2,FALSE)</f>
        <v>Soccer Training Cone Set</v>
      </c>
      <c r="K192" t="str">
        <f>VLOOKUP($C192,Table1[],3,FALSE)</f>
        <v>Sports</v>
      </c>
      <c r="L192" t="str">
        <f>VLOOKUP($C192,Table1[],4,FALSE)</f>
        <v>Accessories</v>
      </c>
      <c r="M192" t="str">
        <f>VLOOKUP($C192,Table1[],5,FALSE)</f>
        <v>Ford, Murphy and Wilson</v>
      </c>
      <c r="N192">
        <f>VLOOKUP($C192,Table1[],6,FALSE)</f>
        <v>144.53</v>
      </c>
      <c r="O192">
        <f>VLOOKUP($C192,Table1[],7,FALSE)</f>
        <v>367</v>
      </c>
      <c r="P192" t="str">
        <f>_xlfn.XLOOKUP($B192,Table3[Store_ID],Table3[Store_Name])</f>
        <v>Martinez, Adkins and Johnson</v>
      </c>
      <c r="Q192" t="str" cm="1">
        <f t="array" ref="Q192">_xlfn.XLOOKUP($B192,Store_Dim!$A$2:$A$21,Table3[Region])</f>
        <v>North</v>
      </c>
      <c r="R192" t="str" cm="1">
        <f t="array" ref="R192">_xlfn.XLOOKUP($B192,Store_Dim!$A$2:$A$21,Table3[Store_Type])</f>
        <v>Flagship</v>
      </c>
      <c r="S192">
        <f>VLOOKUP(Table7[[#This Row],[Customer ID]],Table6[[Customer_ID]:[Total_Amount]],8,FALSE)</f>
        <v>1372.2396000000001</v>
      </c>
    </row>
    <row r="193" spans="1:19" x14ac:dyDescent="0.3">
      <c r="A193" t="s">
        <v>625</v>
      </c>
      <c r="B193" t="str">
        <f>_xlfn.XLOOKUP(Table7[[#This Row],[Customer ID]],Table6[Customer_ID],Table6[Store_ID])</f>
        <v>STORE8</v>
      </c>
      <c r="C193" t="str">
        <f>_xlfn.XLOOKUP(Table7[[#This Row],[Customer ID]],Table6[Customer_ID],Table6[Product_ID])</f>
        <v>PROD46</v>
      </c>
      <c r="D193" t="str">
        <f>VLOOKUP(Table7[[#This Row],[Customer ID]],Table4[#All],2,FALSE)</f>
        <v>Jacob Wood</v>
      </c>
      <c r="E193">
        <f>VLOOKUP($A193,Table4[],3,FALSE)</f>
        <v>26</v>
      </c>
      <c r="F193" t="str">
        <f>VLOOKUP($A193,Table4[],4,FALSE)</f>
        <v>Male</v>
      </c>
      <c r="G193" t="str">
        <f>VLOOKUP($A193,Table4[],5,FALSE)</f>
        <v>Lake Samanthafort</v>
      </c>
      <c r="H193" t="str">
        <f>VLOOKUP($A193,Table4[],6,FALSE)</f>
        <v>Idaho</v>
      </c>
      <c r="I193" t="str">
        <f>VLOOKUP($A193,Table4[],8,FALSE)</f>
        <v>Gold</v>
      </c>
      <c r="J193" t="str">
        <f>VLOOKUP($C193,Table1[],2,FALSE)</f>
        <v>Men's Winter Jacket</v>
      </c>
      <c r="K193" t="str">
        <f>VLOOKUP($C193,Table1[],3,FALSE)</f>
        <v>Clothing</v>
      </c>
      <c r="L193" t="str">
        <f>VLOOKUP($C193,Table1[],4,FALSE)</f>
        <v>Outerwear</v>
      </c>
      <c r="M193" t="str">
        <f>VLOOKUP($C193,Table1[],5,FALSE)</f>
        <v>Kelly, Smith and Perez</v>
      </c>
      <c r="N193">
        <f>VLOOKUP($C193,Table1[],6,FALSE)</f>
        <v>167.34</v>
      </c>
      <c r="O193">
        <f>VLOOKUP($C193,Table1[],7,FALSE)</f>
        <v>296</v>
      </c>
      <c r="P193" t="str">
        <f>_xlfn.XLOOKUP($B193,Table3[Store_ID],Table3[Store_Name])</f>
        <v>Bean, Jones and Park</v>
      </c>
      <c r="Q193" t="str" cm="1">
        <f t="array" ref="Q193">_xlfn.XLOOKUP($B193,Store_Dim!$A$2:$A$21,Table3[Region])</f>
        <v>West</v>
      </c>
      <c r="R193" t="str" cm="1">
        <f t="array" ref="R193">_xlfn.XLOOKUP($B193,Store_Dim!$A$2:$A$21,Table3[Store_Type])</f>
        <v>Online</v>
      </c>
      <c r="S193">
        <f>VLOOKUP(Table7[[#This Row],[Customer ID]],Table6[[Customer_ID]:[Total_Amount]],8,FALSE)</f>
        <v>1663.9503999999999</v>
      </c>
    </row>
    <row r="194" spans="1:19" x14ac:dyDescent="0.3">
      <c r="A194" t="s">
        <v>628</v>
      </c>
      <c r="B194" t="str">
        <f>_xlfn.XLOOKUP(Table7[[#This Row],[Customer ID]],Table6[Customer_ID],Table6[Store_ID])</f>
        <v>STORE7</v>
      </c>
      <c r="C194" t="str">
        <f>_xlfn.XLOOKUP(Table7[[#This Row],[Customer ID]],Table6[Customer_ID],Table6[Product_ID])</f>
        <v>PROD64</v>
      </c>
      <c r="D194" t="str">
        <f>VLOOKUP(Table7[[#This Row],[Customer ID]],Table4[#All],2,FALSE)</f>
        <v>David Roberts</v>
      </c>
      <c r="E194">
        <f>VLOOKUP($A194,Table4[],3,FALSE)</f>
        <v>38</v>
      </c>
      <c r="F194" t="str">
        <f>VLOOKUP($A194,Table4[],4,FALSE)</f>
        <v>Male</v>
      </c>
      <c r="G194" t="str">
        <f>VLOOKUP($A194,Table4[],5,FALSE)</f>
        <v>Port Amanda</v>
      </c>
      <c r="H194" t="str">
        <f>VLOOKUP($A194,Table4[],6,FALSE)</f>
        <v>Georgia</v>
      </c>
      <c r="I194" t="str">
        <f>VLOOKUP($A194,Table4[],8,FALSE)</f>
        <v>Gold</v>
      </c>
      <c r="J194" t="str">
        <f>VLOOKUP($C194,Table1[],2,FALSE)</f>
        <v>Matte Lipstick Set</v>
      </c>
      <c r="K194" t="str">
        <f>VLOOKUP($C194,Table1[],3,FALSE)</f>
        <v>Beauty</v>
      </c>
      <c r="L194" t="str">
        <f>VLOOKUP($C194,Table1[],4,FALSE)</f>
        <v>Makeup</v>
      </c>
      <c r="M194" t="str">
        <f>VLOOKUP($C194,Table1[],5,FALSE)</f>
        <v>Zhang Inc</v>
      </c>
      <c r="N194">
        <f>VLOOKUP($C194,Table1[],6,FALSE)</f>
        <v>299.11</v>
      </c>
      <c r="O194">
        <f>VLOOKUP($C194,Table1[],7,FALSE)</f>
        <v>118</v>
      </c>
      <c r="P194" t="str">
        <f>_xlfn.XLOOKUP($B194,Table3[Store_ID],Table3[Store_Name])</f>
        <v>Martinez-Mullins</v>
      </c>
      <c r="Q194" t="str" cm="1">
        <f t="array" ref="Q194">_xlfn.XLOOKUP($B194,Store_Dim!$A$2:$A$21,Table3[Region])</f>
        <v>South</v>
      </c>
      <c r="R194" t="str" cm="1">
        <f t="array" ref="R194">_xlfn.XLOOKUP($B194,Store_Dim!$A$2:$A$21,Table3[Store_Type])</f>
        <v>Online</v>
      </c>
      <c r="S194">
        <f>VLOOKUP(Table7[[#This Row],[Customer ID]],Table6[[Customer_ID]:[Total_Amount]],8,FALSE)</f>
        <v>1375.6759999999999</v>
      </c>
    </row>
    <row r="195" spans="1:19" x14ac:dyDescent="0.3">
      <c r="A195" t="s">
        <v>631</v>
      </c>
      <c r="B195" t="str">
        <f>_xlfn.XLOOKUP(Table7[[#This Row],[Customer ID]],Table6[Customer_ID],Table6[Store_ID])</f>
        <v>STORE3</v>
      </c>
      <c r="C195" t="str">
        <f>_xlfn.XLOOKUP(Table7[[#This Row],[Customer ID]],Table6[Customer_ID],Table6[Product_ID])</f>
        <v>PROD54</v>
      </c>
      <c r="D195" t="str">
        <f>VLOOKUP(Table7[[#This Row],[Customer ID]],Table4[#All],2,FALSE)</f>
        <v>Ashley Ferguson</v>
      </c>
      <c r="E195">
        <f>VLOOKUP($A195,Table4[],3,FALSE)</f>
        <v>46</v>
      </c>
      <c r="F195" t="str">
        <f>VLOOKUP($A195,Table4[],4,FALSE)</f>
        <v>Male</v>
      </c>
      <c r="G195" t="str">
        <f>VLOOKUP($A195,Table4[],5,FALSE)</f>
        <v>Sarahmouth</v>
      </c>
      <c r="H195" t="str">
        <f>VLOOKUP($A195,Table4[],6,FALSE)</f>
        <v>Pennsylvania</v>
      </c>
      <c r="I195" t="str">
        <f>VLOOKUP($A195,Table4[],8,FALSE)</f>
        <v>Gold</v>
      </c>
      <c r="J195" t="str">
        <f>VLOOKUP($C195,Table1[],2,FALSE)</f>
        <v>Sports Stopwatch Pro</v>
      </c>
      <c r="K195" t="str">
        <f>VLOOKUP($C195,Table1[],3,FALSE)</f>
        <v>Sports</v>
      </c>
      <c r="L195" t="str">
        <f>VLOOKUP($C195,Table1[],4,FALSE)</f>
        <v>Accessories</v>
      </c>
      <c r="M195" t="str">
        <f>VLOOKUP($C195,Table1[],5,FALSE)</f>
        <v>Thompson-French</v>
      </c>
      <c r="N195">
        <f>VLOOKUP($C195,Table1[],6,FALSE)</f>
        <v>434.84</v>
      </c>
      <c r="O195">
        <f>VLOOKUP($C195,Table1[],7,FALSE)</f>
        <v>185</v>
      </c>
      <c r="P195" t="str">
        <f>_xlfn.XLOOKUP($B195,Table3[Store_ID],Table3[Store_Name])</f>
        <v>Johnson-Wright</v>
      </c>
      <c r="Q195" t="str" cm="1">
        <f t="array" ref="Q195">_xlfn.XLOOKUP($B195,Store_Dim!$A$2:$A$21,Table3[Region])</f>
        <v>North</v>
      </c>
      <c r="R195" t="str" cm="1">
        <f t="array" ref="R195">_xlfn.XLOOKUP($B195,Store_Dim!$A$2:$A$21,Table3[Store_Type])</f>
        <v>Outlet</v>
      </c>
      <c r="S195">
        <f>VLOOKUP(Table7[[#This Row],[Customer ID]],Table6[[Customer_ID]:[Total_Amount]],8,FALSE)</f>
        <v>689.17200000000014</v>
      </c>
    </row>
    <row r="196" spans="1:19" x14ac:dyDescent="0.3">
      <c r="A196" t="s">
        <v>634</v>
      </c>
      <c r="B196" t="str">
        <f>_xlfn.XLOOKUP(Table7[[#This Row],[Customer ID]],Table6[Customer_ID],Table6[Store_ID])</f>
        <v>STORE3</v>
      </c>
      <c r="C196" t="str">
        <f>_xlfn.XLOOKUP(Table7[[#This Row],[Customer ID]],Table6[Customer_ID],Table6[Product_ID])</f>
        <v>PROD19</v>
      </c>
      <c r="D196" t="str">
        <f>VLOOKUP(Table7[[#This Row],[Customer ID]],Table4[#All],2,FALSE)</f>
        <v>Anthony Garcia</v>
      </c>
      <c r="E196">
        <f>VLOOKUP($A196,Table4[],3,FALSE)</f>
        <v>60</v>
      </c>
      <c r="F196" t="str">
        <f>VLOOKUP($A196,Table4[],4,FALSE)</f>
        <v>Male</v>
      </c>
      <c r="G196" t="str">
        <f>VLOOKUP($A196,Table4[],5,FALSE)</f>
        <v>Taraberg</v>
      </c>
      <c r="H196" t="str">
        <f>VLOOKUP($A196,Table4[],6,FALSE)</f>
        <v>Arizona</v>
      </c>
      <c r="I196" t="str">
        <f>VLOOKUP($A196,Table4[],8,FALSE)</f>
        <v>Silver</v>
      </c>
      <c r="J196" t="str">
        <f>VLOOKUP($C196,Table1[],2,FALSE)</f>
        <v>Knee Support Brace</v>
      </c>
      <c r="K196" t="str">
        <f>VLOOKUP($C196,Table1[],3,FALSE)</f>
        <v>Sports</v>
      </c>
      <c r="L196" t="str">
        <f>VLOOKUP($C196,Table1[],4,FALSE)</f>
        <v>Equipment</v>
      </c>
      <c r="M196" t="str">
        <f>VLOOKUP($C196,Table1[],5,FALSE)</f>
        <v>May-Reese</v>
      </c>
      <c r="N196">
        <f>VLOOKUP($C196,Table1[],6,FALSE)</f>
        <v>21.34</v>
      </c>
      <c r="O196">
        <f>VLOOKUP($C196,Table1[],7,FALSE)</f>
        <v>65</v>
      </c>
      <c r="P196" t="str">
        <f>_xlfn.XLOOKUP($B196,Table3[Store_ID],Table3[Store_Name])</f>
        <v>Johnson-Wright</v>
      </c>
      <c r="Q196" t="str" cm="1">
        <f t="array" ref="Q196">_xlfn.XLOOKUP($B196,Store_Dim!$A$2:$A$21,Table3[Region])</f>
        <v>North</v>
      </c>
      <c r="R196" t="str" cm="1">
        <f t="array" ref="R196">_xlfn.XLOOKUP($B196,Store_Dim!$A$2:$A$21,Table3[Store_Type])</f>
        <v>Outlet</v>
      </c>
      <c r="S196">
        <f>VLOOKUP(Table7[[#This Row],[Customer ID]],Table6[[Customer_ID]:[Total_Amount]],8,FALSE)</f>
        <v>229.88249999999999</v>
      </c>
    </row>
    <row r="197" spans="1:19" x14ac:dyDescent="0.3">
      <c r="A197" t="s">
        <v>637</v>
      </c>
      <c r="B197" t="str">
        <f>_xlfn.XLOOKUP(Table7[[#This Row],[Customer ID]],Table6[Customer_ID],Table6[Store_ID])</f>
        <v>STORE16</v>
      </c>
      <c r="C197" t="str">
        <f>_xlfn.XLOOKUP(Table7[[#This Row],[Customer ID]],Table6[Customer_ID],Table6[Product_ID])</f>
        <v>PROD15</v>
      </c>
      <c r="D197" t="str">
        <f>VLOOKUP(Table7[[#This Row],[Customer ID]],Table4[#All],2,FALSE)</f>
        <v>Megan Greer</v>
      </c>
      <c r="E197">
        <f>VLOOKUP($A197,Table4[],3,FALSE)</f>
        <v>18</v>
      </c>
      <c r="F197" t="str">
        <f>VLOOKUP($A197,Table4[],4,FALSE)</f>
        <v>Female</v>
      </c>
      <c r="G197" t="str">
        <f>VLOOKUP($A197,Table4[],5,FALSE)</f>
        <v>West John</v>
      </c>
      <c r="H197" t="str">
        <f>VLOOKUP($A197,Table4[],6,FALSE)</f>
        <v>Alaska</v>
      </c>
      <c r="I197" t="str">
        <f>VLOOKUP($A197,Table4[],8,FALSE)</f>
        <v>Platinum</v>
      </c>
      <c r="J197" t="str">
        <f>VLOOKUP($C197,Table1[],2,FALSE)</f>
        <v>4K Home Projector</v>
      </c>
      <c r="K197" t="str">
        <f>VLOOKUP($C197,Table1[],3,FALSE)</f>
        <v>Electronics</v>
      </c>
      <c r="L197" t="str">
        <f>VLOOKUP($C197,Table1[],4,FALSE)</f>
        <v>Appliances</v>
      </c>
      <c r="M197" t="str">
        <f>VLOOKUP($C197,Table1[],5,FALSE)</f>
        <v>Thomas LLC</v>
      </c>
      <c r="N197">
        <f>VLOOKUP($C197,Table1[],6,FALSE)</f>
        <v>465.34</v>
      </c>
      <c r="O197">
        <f>VLOOKUP($C197,Table1[],7,FALSE)</f>
        <v>301</v>
      </c>
      <c r="P197" t="str">
        <f>_xlfn.XLOOKUP($B197,Table3[Store_ID],Table3[Store_Name])</f>
        <v>Frederick-Wright</v>
      </c>
      <c r="Q197" t="str" cm="1">
        <f t="array" ref="Q197">_xlfn.XLOOKUP($B197,Store_Dim!$A$2:$A$21,Table3[Region])</f>
        <v>West</v>
      </c>
      <c r="R197" t="str" cm="1">
        <f t="array" ref="R197">_xlfn.XLOOKUP($B197,Store_Dim!$A$2:$A$21,Table3[Store_Type])</f>
        <v>Flagship</v>
      </c>
      <c r="S197">
        <f>VLOOKUP(Table7[[#This Row],[Customer ID]],Table6[[Customer_ID]:[Total_Amount]],8,FALSE)</f>
        <v>756.54719999999986</v>
      </c>
    </row>
    <row r="198" spans="1:19" x14ac:dyDescent="0.3">
      <c r="A198" t="s">
        <v>640</v>
      </c>
      <c r="B198" t="str">
        <f>_xlfn.XLOOKUP(Table7[[#This Row],[Customer ID]],Table6[Customer_ID],Table6[Store_ID])</f>
        <v>STORE0</v>
      </c>
      <c r="C198" t="str">
        <f>_xlfn.XLOOKUP(Table7[[#This Row],[Customer ID]],Table6[Customer_ID],Table6[Product_ID])</f>
        <v>PROD37</v>
      </c>
      <c r="D198" t="str">
        <f>VLOOKUP(Table7[[#This Row],[Customer ID]],Table4[#All],2,FALSE)</f>
        <v>Andrea Jacobs</v>
      </c>
      <c r="E198">
        <f>VLOOKUP($A198,Table4[],3,FALSE)</f>
        <v>45</v>
      </c>
      <c r="F198" t="str">
        <f>VLOOKUP($A198,Table4[],4,FALSE)</f>
        <v>Female</v>
      </c>
      <c r="G198" t="str">
        <f>VLOOKUP($A198,Table4[],5,FALSE)</f>
        <v>Christopherland</v>
      </c>
      <c r="H198" t="str">
        <f>VLOOKUP($A198,Table4[],6,FALSE)</f>
        <v>Minnesota</v>
      </c>
      <c r="I198" t="str">
        <f>VLOOKUP($A198,Table4[],8,FALSE)</f>
        <v>Platinum</v>
      </c>
      <c r="J198" t="str">
        <f>VLOOKUP($C198,Table1[],2,FALSE)</f>
        <v>Men's Casual Sneakers</v>
      </c>
      <c r="K198" t="str">
        <f>VLOOKUP($C198,Table1[],3,FALSE)</f>
        <v>Clothing</v>
      </c>
      <c r="L198" t="str">
        <f>VLOOKUP($C198,Table1[],4,FALSE)</f>
        <v>Footwear</v>
      </c>
      <c r="M198" t="str">
        <f>VLOOKUP($C198,Table1[],5,FALSE)</f>
        <v>Hogan-Lee</v>
      </c>
      <c r="N198">
        <f>VLOOKUP($C198,Table1[],6,FALSE)</f>
        <v>353.47</v>
      </c>
      <c r="O198">
        <f>VLOOKUP($C198,Table1[],7,FALSE)</f>
        <v>214</v>
      </c>
      <c r="P198" t="str">
        <f>_xlfn.XLOOKUP($B198,Table3[Store_ID],Table3[Store_Name])</f>
        <v>Rivera-Warner</v>
      </c>
      <c r="Q198" t="str" cm="1">
        <f t="array" ref="Q198">_xlfn.XLOOKUP($B198,Store_Dim!$A$2:$A$21,Table3[Region])</f>
        <v>East</v>
      </c>
      <c r="R198" t="str" cm="1">
        <f t="array" ref="R198">_xlfn.XLOOKUP($B198,Store_Dim!$A$2:$A$21,Table3[Store_Type])</f>
        <v>Flagship</v>
      </c>
      <c r="S198">
        <f>VLOOKUP(Table7[[#This Row],[Customer ID]],Table6[[Customer_ID]:[Total_Amount]],8,FALSE)</f>
        <v>1223.0694000000001</v>
      </c>
    </row>
    <row r="199" spans="1:19" x14ac:dyDescent="0.3">
      <c r="A199" t="s">
        <v>642</v>
      </c>
      <c r="B199" t="str">
        <f>_xlfn.XLOOKUP(Table7[[#This Row],[Customer ID]],Table6[Customer_ID],Table6[Store_ID])</f>
        <v>STORE15</v>
      </c>
      <c r="C199" t="str">
        <f>_xlfn.XLOOKUP(Table7[[#This Row],[Customer ID]],Table6[Customer_ID],Table6[Product_ID])</f>
        <v>PROD12</v>
      </c>
      <c r="D199" t="str">
        <f>VLOOKUP(Table7[[#This Row],[Customer ID]],Table4[#All],2,FALSE)</f>
        <v>Wanda Snyder</v>
      </c>
      <c r="E199">
        <f>VLOOKUP($A199,Table4[],3,FALSE)</f>
        <v>54</v>
      </c>
      <c r="F199" t="str">
        <f>VLOOKUP($A199,Table4[],4,FALSE)</f>
        <v>Male</v>
      </c>
      <c r="G199" t="str">
        <f>VLOOKUP($A199,Table4[],5,FALSE)</f>
        <v>Frostmouth</v>
      </c>
      <c r="H199" t="str">
        <f>VLOOKUP($A199,Table4[],6,FALSE)</f>
        <v>Vermont</v>
      </c>
      <c r="I199" t="str">
        <f>VLOOKUP($A199,Table4[],8,FALSE)</f>
        <v>Bronze</v>
      </c>
      <c r="J199" t="str">
        <f>VLOOKUP($C199,Table1[],2,FALSE)</f>
        <v>Hair Strengthening Shampoo</v>
      </c>
      <c r="K199" t="str">
        <f>VLOOKUP($C199,Table1[],3,FALSE)</f>
        <v>Beauty</v>
      </c>
      <c r="L199" t="str">
        <f>VLOOKUP($C199,Table1[],4,FALSE)</f>
        <v>Haircare</v>
      </c>
      <c r="M199" t="str">
        <f>VLOOKUP($C199,Table1[],5,FALSE)</f>
        <v>Rice LLC</v>
      </c>
      <c r="N199">
        <f>VLOOKUP($C199,Table1[],6,FALSE)</f>
        <v>115.82</v>
      </c>
      <c r="O199">
        <f>VLOOKUP($C199,Table1[],7,FALSE)</f>
        <v>460</v>
      </c>
      <c r="P199" t="str">
        <f>_xlfn.XLOOKUP($B199,Table3[Store_ID],Table3[Store_Name])</f>
        <v>Shelton PLC</v>
      </c>
      <c r="Q199" t="str" cm="1">
        <f t="array" ref="Q199">_xlfn.XLOOKUP($B199,Store_Dim!$A$2:$A$21,Table3[Region])</f>
        <v>North</v>
      </c>
      <c r="R199" t="str" cm="1">
        <f t="array" ref="R199">_xlfn.XLOOKUP($B199,Store_Dim!$A$2:$A$21,Table3[Store_Type])</f>
        <v>Flagship</v>
      </c>
      <c r="S199">
        <f>VLOOKUP(Table7[[#This Row],[Customer ID]],Table6[[Customer_ID]:[Total_Amount]],8,FALSE)</f>
        <v>2703.9888000000001</v>
      </c>
    </row>
    <row r="200" spans="1:19" x14ac:dyDescent="0.3">
      <c r="A200" t="s">
        <v>645</v>
      </c>
      <c r="B200" t="str">
        <f>_xlfn.XLOOKUP(Table7[[#This Row],[Customer ID]],Table6[Customer_ID],Table6[Store_ID])</f>
        <v>STORE16</v>
      </c>
      <c r="C200" t="str">
        <f>_xlfn.XLOOKUP(Table7[[#This Row],[Customer ID]],Table6[Customer_ID],Table6[Product_ID])</f>
        <v>PROD48</v>
      </c>
      <c r="D200" t="str">
        <f>VLOOKUP(Table7[[#This Row],[Customer ID]],Table4[#All],2,FALSE)</f>
        <v>Carmen Price</v>
      </c>
      <c r="E200">
        <f>VLOOKUP($A200,Table4[],3,FALSE)</f>
        <v>46</v>
      </c>
      <c r="F200" t="str">
        <f>VLOOKUP($A200,Table4[],4,FALSE)</f>
        <v>Male</v>
      </c>
      <c r="G200" t="str">
        <f>VLOOKUP($A200,Table4[],5,FALSE)</f>
        <v>North Briannamouth</v>
      </c>
      <c r="H200" t="str">
        <f>VLOOKUP($A200,Table4[],6,FALSE)</f>
        <v>Tennessee</v>
      </c>
      <c r="I200" t="str">
        <f>VLOOKUP($A200,Table4[],8,FALSE)</f>
        <v>Bronze</v>
      </c>
      <c r="J200" t="str">
        <f>VLOOKUP($C200,Table1[],2,FALSE)</f>
        <v>Car Dashboard Phone Holder</v>
      </c>
      <c r="K200" t="str">
        <f>VLOOKUP($C200,Table1[],3,FALSE)</f>
        <v>Electronics</v>
      </c>
      <c r="L200" t="str">
        <f>VLOOKUP($C200,Table1[],4,FALSE)</f>
        <v>Accessories</v>
      </c>
      <c r="M200" t="str">
        <f>VLOOKUP($C200,Table1[],5,FALSE)</f>
        <v>Byrd, Stewart and Valdez</v>
      </c>
      <c r="N200">
        <f>VLOOKUP($C200,Table1[],6,FALSE)</f>
        <v>177.98</v>
      </c>
      <c r="O200">
        <f>VLOOKUP($C200,Table1[],7,FALSE)</f>
        <v>103</v>
      </c>
      <c r="P200" t="str">
        <f>_xlfn.XLOOKUP($B200,Table3[Store_ID],Table3[Store_Name])</f>
        <v>Frederick-Wright</v>
      </c>
      <c r="Q200" t="str" cm="1">
        <f t="array" ref="Q200">_xlfn.XLOOKUP($B200,Store_Dim!$A$2:$A$21,Table3[Region])</f>
        <v>West</v>
      </c>
      <c r="R200" t="str" cm="1">
        <f t="array" ref="R200">_xlfn.XLOOKUP($B200,Store_Dim!$A$2:$A$21,Table3[Store_Type])</f>
        <v>Flagship</v>
      </c>
      <c r="S200">
        <f>VLOOKUP(Table7[[#This Row],[Customer ID]],Table6[[Customer_ID]:[Total_Amount]],8,FALSE)</f>
        <v>574.12160000000006</v>
      </c>
    </row>
    <row r="201" spans="1:19" x14ac:dyDescent="0.3">
      <c r="A201" t="s">
        <v>648</v>
      </c>
      <c r="B201" t="str">
        <f>_xlfn.XLOOKUP(Table7[[#This Row],[Customer ID]],Table6[Customer_ID],Table6[Store_ID])</f>
        <v>STORE8</v>
      </c>
      <c r="C201" t="str">
        <f>_xlfn.XLOOKUP(Table7[[#This Row],[Customer ID]],Table6[Customer_ID],Table6[Product_ID])</f>
        <v>PROD77</v>
      </c>
      <c r="D201" t="str">
        <f>VLOOKUP(Table7[[#This Row],[Customer ID]],Table4[#All],2,FALSE)</f>
        <v>Anna Perez</v>
      </c>
      <c r="E201">
        <f>VLOOKUP($A201,Table4[],3,FALSE)</f>
        <v>30</v>
      </c>
      <c r="F201" t="str">
        <f>VLOOKUP($A201,Table4[],4,FALSE)</f>
        <v>Male</v>
      </c>
      <c r="G201" t="str">
        <f>VLOOKUP($A201,Table4[],5,FALSE)</f>
        <v>South Jerry</v>
      </c>
      <c r="H201" t="str">
        <f>VLOOKUP($A201,Table4[],6,FALSE)</f>
        <v>Maine</v>
      </c>
      <c r="I201" t="str">
        <f>VLOOKUP($A201,Table4[],8,FALSE)</f>
        <v>Platinum</v>
      </c>
      <c r="J201" t="str">
        <f>VLOOKUP($C201,Table1[],2,FALSE)</f>
        <v>WiFi Mesh Router</v>
      </c>
      <c r="K201" t="str">
        <f>VLOOKUP($C201,Table1[],3,FALSE)</f>
        <v>Electronics</v>
      </c>
      <c r="L201" t="str">
        <f>VLOOKUP($C201,Table1[],4,FALSE)</f>
        <v>Appliances</v>
      </c>
      <c r="M201" t="str">
        <f>VLOOKUP($C201,Table1[],5,FALSE)</f>
        <v>White, Reeves and Woods</v>
      </c>
      <c r="N201">
        <f>VLOOKUP($C201,Table1[],6,FALSE)</f>
        <v>480.9</v>
      </c>
      <c r="O201">
        <f>VLOOKUP($C201,Table1[],7,FALSE)</f>
        <v>104</v>
      </c>
      <c r="P201" t="str">
        <f>_xlfn.XLOOKUP($B201,Table3[Store_ID],Table3[Store_Name])</f>
        <v>Bean, Jones and Park</v>
      </c>
      <c r="Q201" t="str" cm="1">
        <f t="array" ref="Q201">_xlfn.XLOOKUP($B201,Store_Dim!$A$2:$A$21,Table3[Region])</f>
        <v>West</v>
      </c>
      <c r="R201" t="str" cm="1">
        <f t="array" ref="R201">_xlfn.XLOOKUP($B201,Store_Dim!$A$2:$A$21,Table3[Store_Type])</f>
        <v>Online</v>
      </c>
      <c r="S201">
        <f>VLOOKUP(Table7[[#This Row],[Customer ID]],Table6[[Customer_ID]:[Total_Amount]],8,FALSE)</f>
        <v>2030.5700999999999</v>
      </c>
    </row>
    <row r="202" spans="1:19" x14ac:dyDescent="0.3">
      <c r="A202" t="s">
        <v>651</v>
      </c>
      <c r="B202" t="str">
        <f>_xlfn.XLOOKUP(Table7[[#This Row],[Customer ID]],Table6[Customer_ID],Table6[Store_ID])</f>
        <v>STORE15</v>
      </c>
      <c r="C202" t="str">
        <f>_xlfn.XLOOKUP(Table7[[#This Row],[Customer ID]],Table6[Customer_ID],Table6[Product_ID])</f>
        <v>PROD87</v>
      </c>
      <c r="D202" t="str">
        <f>VLOOKUP(Table7[[#This Row],[Customer ID]],Table4[#All],2,FALSE)</f>
        <v>Mary Boyd</v>
      </c>
      <c r="E202">
        <f>VLOOKUP($A202,Table4[],3,FALSE)</f>
        <v>25</v>
      </c>
      <c r="F202" t="str">
        <f>VLOOKUP($A202,Table4[],4,FALSE)</f>
        <v>Female</v>
      </c>
      <c r="G202" t="str">
        <f>VLOOKUP($A202,Table4[],5,FALSE)</f>
        <v>New Logan</v>
      </c>
      <c r="H202" t="str">
        <f>VLOOKUP($A202,Table4[],6,FALSE)</f>
        <v>Michigan</v>
      </c>
      <c r="I202" t="str">
        <f>VLOOKUP($A202,Table4[],8,FALSE)</f>
        <v>Bronze</v>
      </c>
      <c r="J202" t="str">
        <f>VLOOKUP($C202,Table1[],2,FALSE)</f>
        <v>LED Bedside Lamp</v>
      </c>
      <c r="K202" t="str">
        <f>VLOOKUP($C202,Table1[],3,FALSE)</f>
        <v>Home</v>
      </c>
      <c r="L202" t="str">
        <f>VLOOKUP($C202,Table1[],4,FALSE)</f>
        <v>Lighting</v>
      </c>
      <c r="M202" t="str">
        <f>VLOOKUP($C202,Table1[],5,FALSE)</f>
        <v>Aguilar, Horton and Lewis</v>
      </c>
      <c r="N202">
        <f>VLOOKUP($C202,Table1[],6,FALSE)</f>
        <v>371.38</v>
      </c>
      <c r="O202">
        <f>VLOOKUP($C202,Table1[],7,FALSE)</f>
        <v>220</v>
      </c>
      <c r="P202" t="str">
        <f>_xlfn.XLOOKUP($B202,Table3[Store_ID],Table3[Store_Name])</f>
        <v>Shelton PLC</v>
      </c>
      <c r="Q202" t="str" cm="1">
        <f t="array" ref="Q202">_xlfn.XLOOKUP($B202,Store_Dim!$A$2:$A$21,Table3[Region])</f>
        <v>North</v>
      </c>
      <c r="R202" t="str" cm="1">
        <f t="array" ref="R202">_xlfn.XLOOKUP($B202,Store_Dim!$A$2:$A$21,Table3[Store_Type])</f>
        <v>Flagship</v>
      </c>
      <c r="S202">
        <f>VLOOKUP(Table7[[#This Row],[Customer ID]],Table6[[Customer_ID]:[Total_Amount]],8,FALSE)</f>
        <v>273.08879999999999</v>
      </c>
    </row>
    <row r="203" spans="1:19" x14ac:dyDescent="0.3">
      <c r="A203" t="s">
        <v>654</v>
      </c>
      <c r="B203" t="str">
        <f>_xlfn.XLOOKUP(Table7[[#This Row],[Customer ID]],Table6[Customer_ID],Table6[Store_ID])</f>
        <v>STORE8</v>
      </c>
      <c r="C203" t="str">
        <f>_xlfn.XLOOKUP(Table7[[#This Row],[Customer ID]],Table6[Customer_ID],Table6[Product_ID])</f>
        <v>PROD78</v>
      </c>
      <c r="D203" t="str">
        <f>VLOOKUP(Table7[[#This Row],[Customer ID]],Table4[#All],2,FALSE)</f>
        <v>Christina Garcia</v>
      </c>
      <c r="E203">
        <f>VLOOKUP($A203,Table4[],3,FALSE)</f>
        <v>37</v>
      </c>
      <c r="F203" t="str">
        <f>VLOOKUP($A203,Table4[],4,FALSE)</f>
        <v>Female</v>
      </c>
      <c r="G203" t="str">
        <f>VLOOKUP($A203,Table4[],5,FALSE)</f>
        <v>Clarkeside</v>
      </c>
      <c r="H203" t="str">
        <f>VLOOKUP($A203,Table4[],6,FALSE)</f>
        <v>Kansas</v>
      </c>
      <c r="I203" t="str">
        <f>VLOOKUP($A203,Table4[],8,FALSE)</f>
        <v>Platinum</v>
      </c>
      <c r="J203" t="str">
        <f>VLOOKUP($C203,Table1[],2,FALSE)</f>
        <v>Essential Oil Diffuser</v>
      </c>
      <c r="K203" t="str">
        <f>VLOOKUP($C203,Table1[],3,FALSE)</f>
        <v>Home</v>
      </c>
      <c r="L203" t="str">
        <f>VLOOKUP($C203,Table1[],4,FALSE)</f>
        <v>Decor</v>
      </c>
      <c r="M203" t="str">
        <f>VLOOKUP($C203,Table1[],5,FALSE)</f>
        <v>Hernandez Inc</v>
      </c>
      <c r="N203">
        <f>VLOOKUP($C203,Table1[],6,FALSE)</f>
        <v>325.26</v>
      </c>
      <c r="O203">
        <f>VLOOKUP($C203,Table1[],7,FALSE)</f>
        <v>400</v>
      </c>
      <c r="P203" t="str">
        <f>_xlfn.XLOOKUP($B203,Table3[Store_ID],Table3[Store_Name])</f>
        <v>Bean, Jones and Park</v>
      </c>
      <c r="Q203" t="str" cm="1">
        <f t="array" ref="Q203">_xlfn.XLOOKUP($B203,Store_Dim!$A$2:$A$21,Table3[Region])</f>
        <v>West</v>
      </c>
      <c r="R203" t="str" cm="1">
        <f t="array" ref="R203">_xlfn.XLOOKUP($B203,Store_Dim!$A$2:$A$21,Table3[Store_Type])</f>
        <v>Online</v>
      </c>
      <c r="S203">
        <f>VLOOKUP(Table7[[#This Row],[Customer ID]],Table6[[Customer_ID]:[Total_Amount]],8,FALSE)</f>
        <v>3028.2264</v>
      </c>
    </row>
    <row r="204" spans="1:19" x14ac:dyDescent="0.3">
      <c r="A204" t="s">
        <v>657</v>
      </c>
      <c r="B204" t="str">
        <f>_xlfn.XLOOKUP(Table7[[#This Row],[Customer ID]],Table6[Customer_ID],Table6[Store_ID])</f>
        <v>STORE12</v>
      </c>
      <c r="C204" t="str">
        <f>_xlfn.XLOOKUP(Table7[[#This Row],[Customer ID]],Table6[Customer_ID],Table6[Product_ID])</f>
        <v>PROD43</v>
      </c>
      <c r="D204" t="str">
        <f>VLOOKUP(Table7[[#This Row],[Customer ID]],Table4[#All],2,FALSE)</f>
        <v>Sarah Brady</v>
      </c>
      <c r="E204">
        <f>VLOOKUP($A204,Table4[],3,FALSE)</f>
        <v>47</v>
      </c>
      <c r="F204" t="str">
        <f>VLOOKUP($A204,Table4[],4,FALSE)</f>
        <v>Male</v>
      </c>
      <c r="G204" t="str">
        <f>VLOOKUP($A204,Table4[],5,FALSE)</f>
        <v>Johnsonland</v>
      </c>
      <c r="H204" t="str">
        <f>VLOOKUP($A204,Table4[],6,FALSE)</f>
        <v>Iowa</v>
      </c>
      <c r="I204" t="str">
        <f>VLOOKUP($A204,Table4[],8,FALSE)</f>
        <v>Platinum</v>
      </c>
      <c r="J204" t="str">
        <f>VLOOKUP($C204,Table1[],2,FALSE)</f>
        <v>USB External Hard Drive</v>
      </c>
      <c r="K204" t="str">
        <f>VLOOKUP($C204,Table1[],3,FALSE)</f>
        <v>Electronics</v>
      </c>
      <c r="L204" t="str">
        <f>VLOOKUP($C204,Table1[],4,FALSE)</f>
        <v>Computer</v>
      </c>
      <c r="M204" t="str">
        <f>VLOOKUP($C204,Table1[],5,FALSE)</f>
        <v>Robinson Inc</v>
      </c>
      <c r="N204">
        <f>VLOOKUP($C204,Table1[],6,FALSE)</f>
        <v>253.33</v>
      </c>
      <c r="O204">
        <f>VLOOKUP($C204,Table1[],7,FALSE)</f>
        <v>266</v>
      </c>
      <c r="P204" t="str">
        <f>_xlfn.XLOOKUP($B204,Table3[Store_ID],Table3[Store_Name])</f>
        <v>Thomas, Bridges and Harris</v>
      </c>
      <c r="Q204" t="str" cm="1">
        <f t="array" ref="Q204">_xlfn.XLOOKUP($B204,Store_Dim!$A$2:$A$21,Table3[Region])</f>
        <v>North</v>
      </c>
      <c r="R204" t="str" cm="1">
        <f t="array" ref="R204">_xlfn.XLOOKUP($B204,Store_Dim!$A$2:$A$21,Table3[Store_Type])</f>
        <v>Online</v>
      </c>
      <c r="S204">
        <f>VLOOKUP(Table7[[#This Row],[Customer ID]],Table6[[Customer_ID]:[Total_Amount]],8,FALSE)</f>
        <v>322.3528</v>
      </c>
    </row>
    <row r="205" spans="1:19" x14ac:dyDescent="0.3">
      <c r="A205" t="s">
        <v>660</v>
      </c>
      <c r="B205" t="str">
        <f>_xlfn.XLOOKUP(Table7[[#This Row],[Customer ID]],Table6[Customer_ID],Table6[Store_ID])</f>
        <v>STORE16</v>
      </c>
      <c r="C205" t="str">
        <f>_xlfn.XLOOKUP(Table7[[#This Row],[Customer ID]],Table6[Customer_ID],Table6[Product_ID])</f>
        <v>PROD44</v>
      </c>
      <c r="D205" t="str">
        <f>VLOOKUP(Table7[[#This Row],[Customer ID]],Table4[#All],2,FALSE)</f>
        <v>Tiffany Herrera</v>
      </c>
      <c r="E205">
        <f>VLOOKUP($A205,Table4[],3,FALSE)</f>
        <v>52</v>
      </c>
      <c r="F205" t="str">
        <f>VLOOKUP($A205,Table4[],4,FALSE)</f>
        <v>Male</v>
      </c>
      <c r="G205" t="str">
        <f>VLOOKUP($A205,Table4[],5,FALSE)</f>
        <v>New Dianebury</v>
      </c>
      <c r="H205" t="str">
        <f>VLOOKUP($A205,Table4[],6,FALSE)</f>
        <v>Virginia</v>
      </c>
      <c r="I205" t="str">
        <f>VLOOKUP($A205,Table4[],8,FALSE)</f>
        <v>Platinum</v>
      </c>
      <c r="J205" t="str">
        <f>VLOOKUP($C205,Table1[],2,FALSE)</f>
        <v>Adjustable Jump Rope</v>
      </c>
      <c r="K205" t="str">
        <f>VLOOKUP($C205,Table1[],3,FALSE)</f>
        <v>Sports</v>
      </c>
      <c r="L205" t="str">
        <f>VLOOKUP($C205,Table1[],4,FALSE)</f>
        <v>Fitness</v>
      </c>
      <c r="M205" t="str">
        <f>VLOOKUP($C205,Table1[],5,FALSE)</f>
        <v>Cox Inc</v>
      </c>
      <c r="N205">
        <f>VLOOKUP($C205,Table1[],6,FALSE)</f>
        <v>167.12</v>
      </c>
      <c r="O205">
        <f>VLOOKUP($C205,Table1[],7,FALSE)</f>
        <v>316</v>
      </c>
      <c r="P205" t="str">
        <f>_xlfn.XLOOKUP($B205,Table3[Store_ID],Table3[Store_Name])</f>
        <v>Frederick-Wright</v>
      </c>
      <c r="Q205" t="str" cm="1">
        <f t="array" ref="Q205">_xlfn.XLOOKUP($B205,Store_Dim!$A$2:$A$21,Table3[Region])</f>
        <v>West</v>
      </c>
      <c r="R205" t="str" cm="1">
        <f t="array" ref="R205">_xlfn.XLOOKUP($B205,Store_Dim!$A$2:$A$21,Table3[Store_Type])</f>
        <v>Flagship</v>
      </c>
      <c r="S205">
        <f>VLOOKUP(Table7[[#This Row],[Customer ID]],Table6[[Customer_ID]:[Total_Amount]],8,FALSE)</f>
        <v>380.42959999999999</v>
      </c>
    </row>
    <row r="206" spans="1:19" x14ac:dyDescent="0.3">
      <c r="A206" t="s">
        <v>663</v>
      </c>
      <c r="B206" t="str">
        <f>_xlfn.XLOOKUP(Table7[[#This Row],[Customer ID]],Table6[Customer_ID],Table6[Store_ID])</f>
        <v>STORE4</v>
      </c>
      <c r="C206" t="str">
        <f>_xlfn.XLOOKUP(Table7[[#This Row],[Customer ID]],Table6[Customer_ID],Table6[Product_ID])</f>
        <v>PROD84</v>
      </c>
      <c r="D206" t="str">
        <f>VLOOKUP(Table7[[#This Row],[Customer ID]],Table4[#All],2,FALSE)</f>
        <v>Michelle Carpenter</v>
      </c>
      <c r="E206">
        <f>VLOOKUP($A206,Table4[],3,FALSE)</f>
        <v>44</v>
      </c>
      <c r="F206" t="str">
        <f>VLOOKUP($A206,Table4[],4,FALSE)</f>
        <v>Female</v>
      </c>
      <c r="G206" t="str">
        <f>VLOOKUP($A206,Table4[],5,FALSE)</f>
        <v>Lake Danielleton</v>
      </c>
      <c r="H206" t="str">
        <f>VLOOKUP($A206,Table4[],6,FALSE)</f>
        <v>New Jersey</v>
      </c>
      <c r="I206" t="str">
        <f>VLOOKUP($A206,Table4[],8,FALSE)</f>
        <v>Gold</v>
      </c>
      <c r="J206" t="str">
        <f>VLOOKUP($C206,Table1[],2,FALSE)</f>
        <v>Wooden Bookshelf</v>
      </c>
      <c r="K206" t="str">
        <f>VLOOKUP($C206,Table1[],3,FALSE)</f>
        <v>Home</v>
      </c>
      <c r="L206" t="str">
        <f>VLOOKUP($C206,Table1[],4,FALSE)</f>
        <v>Furniture</v>
      </c>
      <c r="M206" t="str">
        <f>VLOOKUP($C206,Table1[],5,FALSE)</f>
        <v>Collins-Stephenson</v>
      </c>
      <c r="N206">
        <f>VLOOKUP($C206,Table1[],6,FALSE)</f>
        <v>388.46</v>
      </c>
      <c r="O206">
        <f>VLOOKUP($C206,Table1[],7,FALSE)</f>
        <v>208</v>
      </c>
      <c r="P206" t="str">
        <f>_xlfn.XLOOKUP($B206,Table3[Store_ID],Table3[Store_Name])</f>
        <v>Alexander Group</v>
      </c>
      <c r="Q206" t="str" cm="1">
        <f t="array" ref="Q206">_xlfn.XLOOKUP($B206,Store_Dim!$A$2:$A$21,Table3[Region])</f>
        <v>South</v>
      </c>
      <c r="R206" t="str" cm="1">
        <f t="array" ref="R206">_xlfn.XLOOKUP($B206,Store_Dim!$A$2:$A$21,Table3[Store_Type])</f>
        <v>Online</v>
      </c>
      <c r="S206">
        <f>VLOOKUP(Table7[[#This Row],[Customer ID]],Table6[[Customer_ID]:[Total_Amount]],8,FALSE)</f>
        <v>1484.7293999999999</v>
      </c>
    </row>
    <row r="207" spans="1:19" x14ac:dyDescent="0.3">
      <c r="A207" t="s">
        <v>666</v>
      </c>
      <c r="B207" t="str">
        <f>_xlfn.XLOOKUP(Table7[[#This Row],[Customer ID]],Table6[Customer_ID],Table6[Store_ID])</f>
        <v>STORE12</v>
      </c>
      <c r="C207" t="str">
        <f>_xlfn.XLOOKUP(Table7[[#This Row],[Customer ID]],Table6[Customer_ID],Table6[Product_ID])</f>
        <v>PROD94</v>
      </c>
      <c r="D207" t="str">
        <f>VLOOKUP(Table7[[#This Row],[Customer ID]],Table4[#All],2,FALSE)</f>
        <v>Ronald Jones</v>
      </c>
      <c r="E207">
        <f>VLOOKUP($A207,Table4[],3,FALSE)</f>
        <v>26</v>
      </c>
      <c r="F207" t="str">
        <f>VLOOKUP($A207,Table4[],4,FALSE)</f>
        <v>Female</v>
      </c>
      <c r="G207" t="str">
        <f>VLOOKUP($A207,Table4[],5,FALSE)</f>
        <v>Brownshire</v>
      </c>
      <c r="H207" t="str">
        <f>VLOOKUP($A207,Table4[],6,FALSE)</f>
        <v>Tennessee</v>
      </c>
      <c r="I207" t="str">
        <f>VLOOKUP($A207,Table4[],8,FALSE)</f>
        <v>Silver</v>
      </c>
      <c r="J207" t="str">
        <f>VLOOKUP($C207,Table1[],2,FALSE)</f>
        <v>Vitamin E Body Lotion</v>
      </c>
      <c r="K207" t="str">
        <f>VLOOKUP($C207,Table1[],3,FALSE)</f>
        <v>Beauty</v>
      </c>
      <c r="L207" t="str">
        <f>VLOOKUP($C207,Table1[],4,FALSE)</f>
        <v>Skincare</v>
      </c>
      <c r="M207" t="str">
        <f>VLOOKUP($C207,Table1[],5,FALSE)</f>
        <v>Hoffman-Williams</v>
      </c>
      <c r="N207">
        <f>VLOOKUP($C207,Table1[],6,FALSE)</f>
        <v>358.47</v>
      </c>
      <c r="O207">
        <f>VLOOKUP($C207,Table1[],7,FALSE)</f>
        <v>213</v>
      </c>
      <c r="P207" t="str">
        <f>_xlfn.XLOOKUP($B207,Table3[Store_ID],Table3[Store_Name])</f>
        <v>Thomas, Bridges and Harris</v>
      </c>
      <c r="Q207" t="str" cm="1">
        <f t="array" ref="Q207">_xlfn.XLOOKUP($B207,Store_Dim!$A$2:$A$21,Table3[Region])</f>
        <v>North</v>
      </c>
      <c r="R207" t="str" cm="1">
        <f t="array" ref="R207">_xlfn.XLOOKUP($B207,Store_Dim!$A$2:$A$21,Table3[Store_Type])</f>
        <v>Online</v>
      </c>
      <c r="S207">
        <f>VLOOKUP(Table7[[#This Row],[Customer ID]],Table6[[Customer_ID]:[Total_Amount]],8,FALSE)</f>
        <v>493.92</v>
      </c>
    </row>
    <row r="208" spans="1:19" x14ac:dyDescent="0.3">
      <c r="A208" t="s">
        <v>669</v>
      </c>
      <c r="B208" t="str">
        <f>_xlfn.XLOOKUP(Table7[[#This Row],[Customer ID]],Table6[Customer_ID],Table6[Store_ID])</f>
        <v>STORE3</v>
      </c>
      <c r="C208" t="str">
        <f>_xlfn.XLOOKUP(Table7[[#This Row],[Customer ID]],Table6[Customer_ID],Table6[Product_ID])</f>
        <v>PROD96</v>
      </c>
      <c r="D208" t="str">
        <f>VLOOKUP(Table7[[#This Row],[Customer ID]],Table4[#All],2,FALSE)</f>
        <v>Jacqueline Pacheco</v>
      </c>
      <c r="E208">
        <f>VLOOKUP($A208,Table4[],3,FALSE)</f>
        <v>28</v>
      </c>
      <c r="F208" t="str">
        <f>VLOOKUP($A208,Table4[],4,FALSE)</f>
        <v>Female</v>
      </c>
      <c r="G208" t="str">
        <f>VLOOKUP($A208,Table4[],5,FALSE)</f>
        <v>South Emily</v>
      </c>
      <c r="H208" t="str">
        <f>VLOOKUP($A208,Table4[],6,FALSE)</f>
        <v>New Jersey</v>
      </c>
      <c r="I208" t="str">
        <f>VLOOKUP($A208,Table4[],8,FALSE)</f>
        <v>Bronze</v>
      </c>
      <c r="J208" t="str">
        <f>VLOOKUP($C208,Table1[],2,FALSE)</f>
        <v>Women's Formal Blazer</v>
      </c>
      <c r="K208" t="str">
        <f>VLOOKUP($C208,Table1[],3,FALSE)</f>
        <v>Clothing</v>
      </c>
      <c r="L208" t="str">
        <f>VLOOKUP($C208,Table1[],4,FALSE)</f>
        <v>Outerwear</v>
      </c>
      <c r="M208" t="str">
        <f>VLOOKUP($C208,Table1[],5,FALSE)</f>
        <v>Phillips and Sons</v>
      </c>
      <c r="N208">
        <f>VLOOKUP($C208,Table1[],6,FALSE)</f>
        <v>358.47</v>
      </c>
      <c r="O208">
        <f>VLOOKUP($C208,Table1[],7,FALSE)</f>
        <v>143</v>
      </c>
      <c r="P208" t="str">
        <f>_xlfn.XLOOKUP($B208,Table3[Store_ID],Table3[Store_Name])</f>
        <v>Johnson-Wright</v>
      </c>
      <c r="Q208" t="str" cm="1">
        <f t="array" ref="Q208">_xlfn.XLOOKUP($B208,Store_Dim!$A$2:$A$21,Table3[Region])</f>
        <v>North</v>
      </c>
      <c r="R208" t="str" cm="1">
        <f t="array" ref="R208">_xlfn.XLOOKUP($B208,Store_Dim!$A$2:$A$21,Table3[Store_Type])</f>
        <v>Outlet</v>
      </c>
      <c r="S208">
        <f>VLOOKUP(Table7[[#This Row],[Customer ID]],Table6[[Customer_ID]:[Total_Amount]],8,FALSE)</f>
        <v>980.35440000000006</v>
      </c>
    </row>
    <row r="209" spans="1:19" x14ac:dyDescent="0.3">
      <c r="A209" t="s">
        <v>672</v>
      </c>
      <c r="B209" t="str">
        <f>_xlfn.XLOOKUP(Table7[[#This Row],[Customer ID]],Table6[Customer_ID],Table6[Store_ID])</f>
        <v>STORE4</v>
      </c>
      <c r="C209" t="str">
        <f>_xlfn.XLOOKUP(Table7[[#This Row],[Customer ID]],Table6[Customer_ID],Table6[Product_ID])</f>
        <v>PROD34</v>
      </c>
      <c r="D209" t="str">
        <f>VLOOKUP(Table7[[#This Row],[Customer ID]],Table4[#All],2,FALSE)</f>
        <v>John Perez</v>
      </c>
      <c r="E209">
        <f>VLOOKUP($A209,Table4[],3,FALSE)</f>
        <v>54</v>
      </c>
      <c r="F209" t="str">
        <f>VLOOKUP($A209,Table4[],4,FALSE)</f>
        <v>Male</v>
      </c>
      <c r="G209" t="str">
        <f>VLOOKUP($A209,Table4[],5,FALSE)</f>
        <v>Kathrynview</v>
      </c>
      <c r="H209" t="str">
        <f>VLOOKUP($A209,Table4[],6,FALSE)</f>
        <v>Louisiana</v>
      </c>
      <c r="I209" t="str">
        <f>VLOOKUP($A209,Table4[],8,FALSE)</f>
        <v>Platinum</v>
      </c>
      <c r="J209" t="str">
        <f>VLOOKUP($C209,Table1[],2,FALSE)</f>
        <v>Gaming Mechanical Keyboard</v>
      </c>
      <c r="K209" t="str">
        <f>VLOOKUP($C209,Table1[],3,FALSE)</f>
        <v>Electronics</v>
      </c>
      <c r="L209" t="str">
        <f>VLOOKUP($C209,Table1[],4,FALSE)</f>
        <v>Computer</v>
      </c>
      <c r="M209" t="str">
        <f>VLOOKUP($C209,Table1[],5,FALSE)</f>
        <v>Lucero LLC</v>
      </c>
      <c r="N209">
        <f>VLOOKUP($C209,Table1[],6,FALSE)</f>
        <v>419.28</v>
      </c>
      <c r="O209">
        <f>VLOOKUP($C209,Table1[],7,FALSE)</f>
        <v>86</v>
      </c>
      <c r="P209" t="str">
        <f>_xlfn.XLOOKUP($B209,Table3[Store_ID],Table3[Store_Name])</f>
        <v>Alexander Group</v>
      </c>
      <c r="Q209" t="str" cm="1">
        <f t="array" ref="Q209">_xlfn.XLOOKUP($B209,Store_Dim!$A$2:$A$21,Table3[Region])</f>
        <v>South</v>
      </c>
      <c r="R209" t="str" cm="1">
        <f t="array" ref="R209">_xlfn.XLOOKUP($B209,Store_Dim!$A$2:$A$21,Table3[Store_Type])</f>
        <v>Online</v>
      </c>
      <c r="S209">
        <f>VLOOKUP(Table7[[#This Row],[Customer ID]],Table6[[Customer_ID]:[Total_Amount]],8,FALSE)</f>
        <v>104.7144</v>
      </c>
    </row>
    <row r="210" spans="1:19" x14ac:dyDescent="0.3">
      <c r="A210" t="s">
        <v>675</v>
      </c>
      <c r="B210" t="str">
        <f>_xlfn.XLOOKUP(Table7[[#This Row],[Customer ID]],Table6[Customer_ID],Table6[Store_ID])</f>
        <v>STORE7</v>
      </c>
      <c r="C210" t="str">
        <f>_xlfn.XLOOKUP(Table7[[#This Row],[Customer ID]],Table6[Customer_ID],Table6[Product_ID])</f>
        <v>PROD42</v>
      </c>
      <c r="D210" t="str">
        <f>VLOOKUP(Table7[[#This Row],[Customer ID]],Table4[#All],2,FALSE)</f>
        <v>Joan Johnson</v>
      </c>
      <c r="E210">
        <f>VLOOKUP($A210,Table4[],3,FALSE)</f>
        <v>50</v>
      </c>
      <c r="F210" t="str">
        <f>VLOOKUP($A210,Table4[],4,FALSE)</f>
        <v>Female</v>
      </c>
      <c r="G210" t="str">
        <f>VLOOKUP($A210,Table4[],5,FALSE)</f>
        <v>Lake Josephport</v>
      </c>
      <c r="H210" t="str">
        <f>VLOOKUP($A210,Table4[],6,FALSE)</f>
        <v>Maine</v>
      </c>
      <c r="I210" t="str">
        <f>VLOOKUP($A210,Table4[],8,FALSE)</f>
        <v>Platinum</v>
      </c>
      <c r="J210" t="str">
        <f>VLOOKUP($C210,Table1[],2,FALSE)</f>
        <v>Smart Home WiFi Camera</v>
      </c>
      <c r="K210" t="str">
        <f>VLOOKUP($C210,Table1[],3,FALSE)</f>
        <v>Electronics</v>
      </c>
      <c r="L210" t="str">
        <f>VLOOKUP($C210,Table1[],4,FALSE)</f>
        <v>Accessories</v>
      </c>
      <c r="M210" t="str">
        <f>VLOOKUP($C210,Table1[],5,FALSE)</f>
        <v>Holmes LLC</v>
      </c>
      <c r="N210">
        <f>VLOOKUP($C210,Table1[],6,FALSE)</f>
        <v>450.71</v>
      </c>
      <c r="O210">
        <f>VLOOKUP($C210,Table1[],7,FALSE)</f>
        <v>389</v>
      </c>
      <c r="P210" t="str">
        <f>_xlfn.XLOOKUP($B210,Table3[Store_ID],Table3[Store_Name])</f>
        <v>Martinez-Mullins</v>
      </c>
      <c r="Q210" t="str" cm="1">
        <f t="array" ref="Q210">_xlfn.XLOOKUP($B210,Store_Dim!$A$2:$A$21,Table3[Region])</f>
        <v>South</v>
      </c>
      <c r="R210" t="str" cm="1">
        <f t="array" ref="R210">_xlfn.XLOOKUP($B210,Store_Dim!$A$2:$A$21,Table3[Store_Type])</f>
        <v>Online</v>
      </c>
      <c r="S210">
        <f>VLOOKUP(Table7[[#This Row],[Customer ID]],Table6[[Customer_ID]:[Total_Amount]],8,FALSE)</f>
        <v>1194.7392</v>
      </c>
    </row>
    <row r="211" spans="1:19" x14ac:dyDescent="0.3">
      <c r="A211" t="s">
        <v>678</v>
      </c>
      <c r="B211" t="str">
        <f>_xlfn.XLOOKUP(Table7[[#This Row],[Customer ID]],Table6[Customer_ID],Table6[Store_ID])</f>
        <v>STORE16</v>
      </c>
      <c r="C211" t="str">
        <f>_xlfn.XLOOKUP(Table7[[#This Row],[Customer ID]],Table6[Customer_ID],Table6[Product_ID])</f>
        <v>PROD60</v>
      </c>
      <c r="D211" t="str">
        <f>VLOOKUP(Table7[[#This Row],[Customer ID]],Table4[#All],2,FALSE)</f>
        <v>Antonio Jones</v>
      </c>
      <c r="E211">
        <f>VLOOKUP($A211,Table4[],3,FALSE)</f>
        <v>48</v>
      </c>
      <c r="F211" t="str">
        <f>VLOOKUP($A211,Table4[],4,FALSE)</f>
        <v>Male</v>
      </c>
      <c r="G211" t="str">
        <f>VLOOKUP($A211,Table4[],5,FALSE)</f>
        <v>Matthewborough</v>
      </c>
      <c r="H211" t="str">
        <f>VLOOKUP($A211,Table4[],6,FALSE)</f>
        <v>Georgia</v>
      </c>
      <c r="I211" t="str">
        <f>VLOOKUP($A211,Table4[],8,FALSE)</f>
        <v>Silver</v>
      </c>
      <c r="J211" t="str">
        <f>VLOOKUP($C211,Table1[],2,FALSE)</f>
        <v>Luxury Perfume Spray</v>
      </c>
      <c r="K211" t="str">
        <f>VLOOKUP($C211,Table1[],3,FALSE)</f>
        <v>Beauty</v>
      </c>
      <c r="L211" t="str">
        <f>VLOOKUP($C211,Table1[],4,FALSE)</f>
        <v>Fragrance</v>
      </c>
      <c r="M211" t="str">
        <f>VLOOKUP($C211,Table1[],5,FALSE)</f>
        <v>Gibson, Green and Lopez</v>
      </c>
      <c r="N211">
        <f>VLOOKUP($C211,Table1[],6,FALSE)</f>
        <v>482.75</v>
      </c>
      <c r="O211">
        <f>VLOOKUP($C211,Table1[],7,FALSE)</f>
        <v>444</v>
      </c>
      <c r="P211" t="str">
        <f>_xlfn.XLOOKUP($B211,Table3[Store_ID],Table3[Store_Name])</f>
        <v>Frederick-Wright</v>
      </c>
      <c r="Q211" t="str" cm="1">
        <f t="array" ref="Q211">_xlfn.XLOOKUP($B211,Store_Dim!$A$2:$A$21,Table3[Region])</f>
        <v>West</v>
      </c>
      <c r="R211" t="str" cm="1">
        <f t="array" ref="R211">_xlfn.XLOOKUP($B211,Store_Dim!$A$2:$A$21,Table3[Store_Type])</f>
        <v>Flagship</v>
      </c>
      <c r="S211">
        <f>VLOOKUP(Table7[[#This Row],[Customer ID]],Table6[[Customer_ID]:[Total_Amount]],8,FALSE)</f>
        <v>2019.684</v>
      </c>
    </row>
    <row r="212" spans="1:19" x14ac:dyDescent="0.3">
      <c r="A212" t="s">
        <v>681</v>
      </c>
      <c r="B212" t="str">
        <f>_xlfn.XLOOKUP(Table7[[#This Row],[Customer ID]],Table6[Customer_ID],Table6[Store_ID])</f>
        <v>STORE17</v>
      </c>
      <c r="C212" t="str">
        <f>_xlfn.XLOOKUP(Table7[[#This Row],[Customer ID]],Table6[Customer_ID],Table6[Product_ID])</f>
        <v>PROD85</v>
      </c>
      <c r="D212" t="str">
        <f>VLOOKUP(Table7[[#This Row],[Customer ID]],Table4[#All],2,FALSE)</f>
        <v>Rodney Huffman</v>
      </c>
      <c r="E212">
        <f>VLOOKUP($A212,Table4[],3,FALSE)</f>
        <v>20</v>
      </c>
      <c r="F212" t="str">
        <f>VLOOKUP($A212,Table4[],4,FALSE)</f>
        <v>Female</v>
      </c>
      <c r="G212" t="str">
        <f>VLOOKUP($A212,Table4[],5,FALSE)</f>
        <v>Garzafort</v>
      </c>
      <c r="H212" t="str">
        <f>VLOOKUP($A212,Table4[],6,FALSE)</f>
        <v>Delaware</v>
      </c>
      <c r="I212" t="str">
        <f>VLOOKUP($A212,Table4[],8,FALSE)</f>
        <v>Silver</v>
      </c>
      <c r="J212" t="str">
        <f>VLOOKUP($C212,Table1[],2,FALSE)</f>
        <v>Women's Beanie Hat</v>
      </c>
      <c r="K212" t="str">
        <f>VLOOKUP($C212,Table1[],3,FALSE)</f>
        <v>Clothing</v>
      </c>
      <c r="L212" t="str">
        <f>VLOOKUP($C212,Table1[],4,FALSE)</f>
        <v>Accessories</v>
      </c>
      <c r="M212" t="str">
        <f>VLOOKUP($C212,Table1[],5,FALSE)</f>
        <v>Richardson-Carrillo</v>
      </c>
      <c r="N212">
        <f>VLOOKUP($C212,Table1[],6,FALSE)</f>
        <v>119.57</v>
      </c>
      <c r="O212">
        <f>VLOOKUP($C212,Table1[],7,FALSE)</f>
        <v>210</v>
      </c>
      <c r="P212" t="str">
        <f>_xlfn.XLOOKUP($B212,Table3[Store_ID],Table3[Store_Name])</f>
        <v>Holloway Ltd</v>
      </c>
      <c r="Q212" t="str" cm="1">
        <f t="array" ref="Q212">_xlfn.XLOOKUP($B212,Store_Dim!$A$2:$A$21,Table3[Region])</f>
        <v>North</v>
      </c>
      <c r="R212" t="str" cm="1">
        <f t="array" ref="R212">_xlfn.XLOOKUP($B212,Store_Dim!$A$2:$A$21,Table3[Store_Type])</f>
        <v>Flagship</v>
      </c>
      <c r="S212">
        <f>VLOOKUP(Table7[[#This Row],[Customer ID]],Table6[[Customer_ID]:[Total_Amount]],8,FALSE)</f>
        <v>1879.05</v>
      </c>
    </row>
    <row r="213" spans="1:19" x14ac:dyDescent="0.3">
      <c r="A213" t="s">
        <v>684</v>
      </c>
      <c r="B213" t="str">
        <f>_xlfn.XLOOKUP(Table7[[#This Row],[Customer ID]],Table6[Customer_ID],Table6[Store_ID])</f>
        <v>STORE2</v>
      </c>
      <c r="C213" t="str">
        <f>_xlfn.XLOOKUP(Table7[[#This Row],[Customer ID]],Table6[Customer_ID],Table6[Product_ID])</f>
        <v>PROD13</v>
      </c>
      <c r="D213" t="str">
        <f>VLOOKUP(Table7[[#This Row],[Customer ID]],Table4[#All],2,FALSE)</f>
        <v>Blake Harrison</v>
      </c>
      <c r="E213">
        <f>VLOOKUP($A213,Table4[],3,FALSE)</f>
        <v>63</v>
      </c>
      <c r="F213" t="str">
        <f>VLOOKUP($A213,Table4[],4,FALSE)</f>
        <v>Female</v>
      </c>
      <c r="G213" t="str">
        <f>VLOOKUP($A213,Table4[],5,FALSE)</f>
        <v>Lyonsfort</v>
      </c>
      <c r="H213" t="str">
        <f>VLOOKUP($A213,Table4[],6,FALSE)</f>
        <v>Washington</v>
      </c>
      <c r="I213" t="str">
        <f>VLOOKUP($A213,Table4[],8,FALSE)</f>
        <v>Platinum</v>
      </c>
      <c r="J213" t="str">
        <f>VLOOKUP($C213,Table1[],2,FALSE)</f>
        <v>USB-C Fast Charger</v>
      </c>
      <c r="K213" t="str">
        <f>VLOOKUP($C213,Table1[],3,FALSE)</f>
        <v>Electronics</v>
      </c>
      <c r="L213" t="str">
        <f>VLOOKUP($C213,Table1[],4,FALSE)</f>
        <v>Accessories</v>
      </c>
      <c r="M213" t="str">
        <f>VLOOKUP($C213,Table1[],5,FALSE)</f>
        <v>Dawson-Perkins</v>
      </c>
      <c r="N213">
        <f>VLOOKUP($C213,Table1[],6,FALSE)</f>
        <v>242.23</v>
      </c>
      <c r="O213">
        <f>VLOOKUP($C213,Table1[],7,FALSE)</f>
        <v>453</v>
      </c>
      <c r="P213" t="str">
        <f>_xlfn.XLOOKUP($B213,Table3[Store_ID],Table3[Store_Name])</f>
        <v>Black-Horn</v>
      </c>
      <c r="Q213" t="str" cm="1">
        <f t="array" ref="Q213">_xlfn.XLOOKUP($B213,Store_Dim!$A$2:$A$21,Table3[Region])</f>
        <v>South</v>
      </c>
      <c r="R213" t="str" cm="1">
        <f t="array" ref="R213">_xlfn.XLOOKUP($B213,Store_Dim!$A$2:$A$21,Table3[Store_Type])</f>
        <v>Outlet</v>
      </c>
      <c r="S213">
        <f>VLOOKUP(Table7[[#This Row],[Customer ID]],Table6[[Customer_ID]:[Total_Amount]],8,FALSE)</f>
        <v>1034.6335999999999</v>
      </c>
    </row>
    <row r="214" spans="1:19" x14ac:dyDescent="0.3">
      <c r="A214" t="s">
        <v>687</v>
      </c>
      <c r="B214" t="str">
        <f>_xlfn.XLOOKUP(Table7[[#This Row],[Customer ID]],Table6[Customer_ID],Table6[Store_ID])</f>
        <v>STORE8</v>
      </c>
      <c r="C214" t="str">
        <f>_xlfn.XLOOKUP(Table7[[#This Row],[Customer ID]],Table6[Customer_ID],Table6[Product_ID])</f>
        <v>PROD98</v>
      </c>
      <c r="D214" t="str">
        <f>VLOOKUP(Table7[[#This Row],[Customer ID]],Table4[#All],2,FALSE)</f>
        <v>Stuart Johnson</v>
      </c>
      <c r="E214">
        <f>VLOOKUP($A214,Table4[],3,FALSE)</f>
        <v>42</v>
      </c>
      <c r="F214" t="str">
        <f>VLOOKUP($A214,Table4[],4,FALSE)</f>
        <v>Female</v>
      </c>
      <c r="G214" t="str">
        <f>VLOOKUP($A214,Table4[],5,FALSE)</f>
        <v>West Markport</v>
      </c>
      <c r="H214" t="str">
        <f>VLOOKUP($A214,Table4[],6,FALSE)</f>
        <v>North Dakota</v>
      </c>
      <c r="I214" t="str">
        <f>VLOOKUP($A214,Table4[],8,FALSE)</f>
        <v>Platinum</v>
      </c>
      <c r="J214" t="str">
        <f>VLOOKUP($C214,Table1[],2,FALSE)</f>
        <v>Portable Bluetooth Speaker</v>
      </c>
      <c r="K214" t="str">
        <f>VLOOKUP($C214,Table1[],3,FALSE)</f>
        <v>Electronics</v>
      </c>
      <c r="L214" t="str">
        <f>VLOOKUP($C214,Table1[],4,FALSE)</f>
        <v>Audio</v>
      </c>
      <c r="M214" t="str">
        <f>VLOOKUP($C214,Table1[],5,FALSE)</f>
        <v>Flores-King</v>
      </c>
      <c r="N214">
        <f>VLOOKUP($C214,Table1[],6,FALSE)</f>
        <v>431.67</v>
      </c>
      <c r="O214">
        <f>VLOOKUP($C214,Table1[],7,FALSE)</f>
        <v>73</v>
      </c>
      <c r="P214" t="str">
        <f>_xlfn.XLOOKUP($B214,Table3[Store_ID],Table3[Store_Name])</f>
        <v>Bean, Jones and Park</v>
      </c>
      <c r="Q214" t="str" cm="1">
        <f t="array" ref="Q214">_xlfn.XLOOKUP($B214,Store_Dim!$A$2:$A$21,Table3[Region])</f>
        <v>West</v>
      </c>
      <c r="R214" t="str" cm="1">
        <f t="array" ref="R214">_xlfn.XLOOKUP($B214,Store_Dim!$A$2:$A$21,Table3[Store_Type])</f>
        <v>Online</v>
      </c>
      <c r="S214">
        <f>VLOOKUP(Table7[[#This Row],[Customer ID]],Table6[[Customer_ID]:[Total_Amount]],8,FALSE)</f>
        <v>599.65440000000001</v>
      </c>
    </row>
    <row r="215" spans="1:19" x14ac:dyDescent="0.3">
      <c r="A215" t="s">
        <v>690</v>
      </c>
      <c r="B215" t="str">
        <f>_xlfn.XLOOKUP(Table7[[#This Row],[Customer ID]],Table6[Customer_ID],Table6[Store_ID])</f>
        <v>STORE0</v>
      </c>
      <c r="C215" t="str">
        <f>_xlfn.XLOOKUP(Table7[[#This Row],[Customer ID]],Table6[Customer_ID],Table6[Product_ID])</f>
        <v>PROD91</v>
      </c>
      <c r="D215" t="str">
        <f>VLOOKUP(Table7[[#This Row],[Customer ID]],Table4[#All],2,FALSE)</f>
        <v>Eric Todd</v>
      </c>
      <c r="E215">
        <f>VLOOKUP($A215,Table4[],3,FALSE)</f>
        <v>61</v>
      </c>
      <c r="F215" t="str">
        <f>VLOOKUP($A215,Table4[],4,FALSE)</f>
        <v>Male</v>
      </c>
      <c r="G215" t="str">
        <f>VLOOKUP($A215,Table4[],5,FALSE)</f>
        <v>Danielstad</v>
      </c>
      <c r="H215" t="str">
        <f>VLOOKUP($A215,Table4[],6,FALSE)</f>
        <v>Montana</v>
      </c>
      <c r="I215" t="str">
        <f>VLOOKUP($A215,Table4[],8,FALSE)</f>
        <v>Gold</v>
      </c>
      <c r="J215" t="str">
        <f>VLOOKUP($C215,Table1[],2,FALSE)</f>
        <v>Women's High Heels</v>
      </c>
      <c r="K215" t="str">
        <f>VLOOKUP($C215,Table1[],3,FALSE)</f>
        <v>Clothing</v>
      </c>
      <c r="L215" t="str">
        <f>VLOOKUP($C215,Table1[],4,FALSE)</f>
        <v>Footwear</v>
      </c>
      <c r="M215" t="str">
        <f>VLOOKUP($C215,Table1[],5,FALSE)</f>
        <v>Smith-Charles</v>
      </c>
      <c r="N215">
        <f>VLOOKUP($C215,Table1[],6,FALSE)</f>
        <v>438.25</v>
      </c>
      <c r="O215">
        <f>VLOOKUP($C215,Table1[],7,FALSE)</f>
        <v>496</v>
      </c>
      <c r="P215" t="str">
        <f>_xlfn.XLOOKUP($B215,Table3[Store_ID],Table3[Store_Name])</f>
        <v>Rivera-Warner</v>
      </c>
      <c r="Q215" t="str" cm="1">
        <f t="array" ref="Q215">_xlfn.XLOOKUP($B215,Store_Dim!$A$2:$A$21,Table3[Region])</f>
        <v>East</v>
      </c>
      <c r="R215" t="str" cm="1">
        <f t="array" ref="R215">_xlfn.XLOOKUP($B215,Store_Dim!$A$2:$A$21,Table3[Store_Type])</f>
        <v>Flagship</v>
      </c>
      <c r="S215">
        <f>VLOOKUP(Table7[[#This Row],[Customer ID]],Table6[[Customer_ID]:[Total_Amount]],8,FALSE)</f>
        <v>1027.7357999999999</v>
      </c>
    </row>
    <row r="216" spans="1:19" x14ac:dyDescent="0.3">
      <c r="A216" t="s">
        <v>693</v>
      </c>
      <c r="B216" t="str">
        <f>_xlfn.XLOOKUP(Table7[[#This Row],[Customer ID]],Table6[Customer_ID],Table6[Store_ID])</f>
        <v>STORE9</v>
      </c>
      <c r="C216" t="str">
        <f>_xlfn.XLOOKUP(Table7[[#This Row],[Customer ID]],Table6[Customer_ID],Table6[Product_ID])</f>
        <v>PROD32</v>
      </c>
      <c r="D216" t="str">
        <f>VLOOKUP(Table7[[#This Row],[Customer ID]],Table4[#All],2,FALSE)</f>
        <v>Steve Medina</v>
      </c>
      <c r="E216">
        <f>VLOOKUP($A216,Table4[],3,FALSE)</f>
        <v>50</v>
      </c>
      <c r="F216" t="str">
        <f>VLOOKUP($A216,Table4[],4,FALSE)</f>
        <v>Female</v>
      </c>
      <c r="G216" t="str">
        <f>VLOOKUP($A216,Table4[],5,FALSE)</f>
        <v>East Josephside</v>
      </c>
      <c r="H216" t="str">
        <f>VLOOKUP($A216,Table4[],6,FALSE)</f>
        <v>Oregon</v>
      </c>
      <c r="I216" t="str">
        <f>VLOOKUP($A216,Table4[],8,FALSE)</f>
        <v>Gold</v>
      </c>
      <c r="J216" t="str">
        <f>VLOOKUP($C216,Table1[],2,FALSE)</f>
        <v>Vitamin C Face Serum</v>
      </c>
      <c r="K216" t="str">
        <f>VLOOKUP($C216,Table1[],3,FALSE)</f>
        <v>Beauty</v>
      </c>
      <c r="L216" t="str">
        <f>VLOOKUP($C216,Table1[],4,FALSE)</f>
        <v>Skincare</v>
      </c>
      <c r="M216" t="str">
        <f>VLOOKUP($C216,Table1[],5,FALSE)</f>
        <v>Griffin Ltd</v>
      </c>
      <c r="N216">
        <f>VLOOKUP($C216,Table1[],6,FALSE)</f>
        <v>283.83</v>
      </c>
      <c r="O216">
        <f>VLOOKUP($C216,Table1[],7,FALSE)</f>
        <v>244</v>
      </c>
      <c r="P216" t="str">
        <f>_xlfn.XLOOKUP($B216,Table3[Store_ID],Table3[Store_Name])</f>
        <v>Moore, Padilla and Butler</v>
      </c>
      <c r="Q216" t="str" cm="1">
        <f t="array" ref="Q216">_xlfn.XLOOKUP($B216,Store_Dim!$A$2:$A$21,Table3[Region])</f>
        <v>South</v>
      </c>
      <c r="R216" t="str" cm="1">
        <f t="array" ref="R216">_xlfn.XLOOKUP($B216,Store_Dim!$A$2:$A$21,Table3[Store_Type])</f>
        <v>Flagship</v>
      </c>
      <c r="S216">
        <f>VLOOKUP(Table7[[#This Row],[Customer ID]],Table6[[Customer_ID]:[Total_Amount]],8,FALSE)</f>
        <v>1023.678</v>
      </c>
    </row>
    <row r="217" spans="1:19" x14ac:dyDescent="0.3">
      <c r="A217" t="s">
        <v>696</v>
      </c>
      <c r="B217" t="str">
        <f>_xlfn.XLOOKUP(Table7[[#This Row],[Customer ID]],Table6[Customer_ID],Table6[Store_ID])</f>
        <v>STORE8</v>
      </c>
      <c r="C217" t="str">
        <f>_xlfn.XLOOKUP(Table7[[#This Row],[Customer ID]],Table6[Customer_ID],Table6[Product_ID])</f>
        <v>PROD86</v>
      </c>
      <c r="D217" t="str">
        <f>VLOOKUP(Table7[[#This Row],[Customer ID]],Table4[#All],2,FALSE)</f>
        <v>Kathryn Garcia</v>
      </c>
      <c r="E217">
        <f>VLOOKUP($A217,Table4[],3,FALSE)</f>
        <v>44</v>
      </c>
      <c r="F217" t="str">
        <f>VLOOKUP($A217,Table4[],4,FALSE)</f>
        <v>Male</v>
      </c>
      <c r="G217" t="str">
        <f>VLOOKUP($A217,Table4[],5,FALSE)</f>
        <v>Morrismouth</v>
      </c>
      <c r="H217" t="str">
        <f>VLOOKUP($A217,Table4[],6,FALSE)</f>
        <v>California</v>
      </c>
      <c r="I217" t="str">
        <f>VLOOKUP($A217,Table4[],8,FALSE)</f>
        <v>Platinum</v>
      </c>
      <c r="J217" t="str">
        <f>VLOOKUP($C217,Table1[],2,FALSE)</f>
        <v>Kitchen Cutting Board</v>
      </c>
      <c r="K217" t="str">
        <f>VLOOKUP($C217,Table1[],3,FALSE)</f>
        <v>Home</v>
      </c>
      <c r="L217" t="str">
        <f>VLOOKUP($C217,Table1[],4,FALSE)</f>
        <v>Kitchen</v>
      </c>
      <c r="M217" t="str">
        <f>VLOOKUP($C217,Table1[],5,FALSE)</f>
        <v>Taylor, Dodson and Johnston</v>
      </c>
      <c r="N217">
        <f>VLOOKUP($C217,Table1[],6,FALSE)</f>
        <v>176.07</v>
      </c>
      <c r="O217">
        <f>VLOOKUP($C217,Table1[],7,FALSE)</f>
        <v>82</v>
      </c>
      <c r="P217" t="str">
        <f>_xlfn.XLOOKUP($B217,Table3[Store_ID],Table3[Store_Name])</f>
        <v>Bean, Jones and Park</v>
      </c>
      <c r="Q217" t="str" cm="1">
        <f t="array" ref="Q217">_xlfn.XLOOKUP($B217,Store_Dim!$A$2:$A$21,Table3[Region])</f>
        <v>West</v>
      </c>
      <c r="R217" t="str" cm="1">
        <f t="array" ref="R217">_xlfn.XLOOKUP($B217,Store_Dim!$A$2:$A$21,Table3[Store_Type])</f>
        <v>Online</v>
      </c>
      <c r="S217">
        <f>VLOOKUP(Table7[[#This Row],[Customer ID]],Table6[[Customer_ID]:[Total_Amount]],8,FALSE)</f>
        <v>253.09200000000001</v>
      </c>
    </row>
    <row r="218" spans="1:19" x14ac:dyDescent="0.3">
      <c r="A218" t="s">
        <v>699</v>
      </c>
      <c r="B218" t="str">
        <f>_xlfn.XLOOKUP(Table7[[#This Row],[Customer ID]],Table6[Customer_ID],Table6[Store_ID])</f>
        <v>STORE19</v>
      </c>
      <c r="C218" t="str">
        <f>_xlfn.XLOOKUP(Table7[[#This Row],[Customer ID]],Table6[Customer_ID],Table6[Product_ID])</f>
        <v>PROD43</v>
      </c>
      <c r="D218" t="str">
        <f>VLOOKUP(Table7[[#This Row],[Customer ID]],Table4[#All],2,FALSE)</f>
        <v>Kathy Copeland</v>
      </c>
      <c r="E218">
        <f>VLOOKUP($A218,Table4[],3,FALSE)</f>
        <v>42</v>
      </c>
      <c r="F218" t="str">
        <f>VLOOKUP($A218,Table4[],4,FALSE)</f>
        <v>Male</v>
      </c>
      <c r="G218" t="str">
        <f>VLOOKUP($A218,Table4[],5,FALSE)</f>
        <v>North Christinemouth</v>
      </c>
      <c r="H218" t="str">
        <f>VLOOKUP($A218,Table4[],6,FALSE)</f>
        <v>Missouri</v>
      </c>
      <c r="I218" t="str">
        <f>VLOOKUP($A218,Table4[],8,FALSE)</f>
        <v>Silver</v>
      </c>
      <c r="J218" t="str">
        <f>VLOOKUP($C218,Table1[],2,FALSE)</f>
        <v>USB External Hard Drive</v>
      </c>
      <c r="K218" t="str">
        <f>VLOOKUP($C218,Table1[],3,FALSE)</f>
        <v>Electronics</v>
      </c>
      <c r="L218" t="str">
        <f>VLOOKUP($C218,Table1[],4,FALSE)</f>
        <v>Computer</v>
      </c>
      <c r="M218" t="str">
        <f>VLOOKUP($C218,Table1[],5,FALSE)</f>
        <v>Robinson Inc</v>
      </c>
      <c r="N218">
        <f>VLOOKUP($C218,Table1[],6,FALSE)</f>
        <v>253.33</v>
      </c>
      <c r="O218">
        <f>VLOOKUP($C218,Table1[],7,FALSE)</f>
        <v>266</v>
      </c>
      <c r="P218" t="str">
        <f>_xlfn.XLOOKUP($B218,Table3[Store_ID],Table3[Store_Name])</f>
        <v>Mann-Austin</v>
      </c>
      <c r="Q218" t="str" cm="1">
        <f t="array" ref="Q218">_xlfn.XLOOKUP($B218,Store_Dim!$A$2:$A$21,Table3[Region])</f>
        <v>East</v>
      </c>
      <c r="R218" t="str" cm="1">
        <f t="array" ref="R218">_xlfn.XLOOKUP($B218,Store_Dim!$A$2:$A$21,Table3[Store_Type])</f>
        <v>Online</v>
      </c>
      <c r="S218">
        <f>VLOOKUP(Table7[[#This Row],[Customer ID]],Table6[[Customer_ID]:[Total_Amount]],8,FALSE)</f>
        <v>641.91689999999994</v>
      </c>
    </row>
    <row r="219" spans="1:19" x14ac:dyDescent="0.3">
      <c r="A219" t="s">
        <v>702</v>
      </c>
      <c r="B219" t="str">
        <f>_xlfn.XLOOKUP(Table7[[#This Row],[Customer ID]],Table6[Customer_ID],Table6[Store_ID])</f>
        <v>STORE3</v>
      </c>
      <c r="C219" t="str">
        <f>_xlfn.XLOOKUP(Table7[[#This Row],[Customer ID]],Table6[Customer_ID],Table6[Product_ID])</f>
        <v>PROD16</v>
      </c>
      <c r="D219" t="str">
        <f>VLOOKUP(Table7[[#This Row],[Customer ID]],Table4[#All],2,FALSE)</f>
        <v>Julia Jackson</v>
      </c>
      <c r="E219">
        <f>VLOOKUP($A219,Table4[],3,FALSE)</f>
        <v>46</v>
      </c>
      <c r="F219" t="str">
        <f>VLOOKUP($A219,Table4[],4,FALSE)</f>
        <v>Male</v>
      </c>
      <c r="G219" t="str">
        <f>VLOOKUP($A219,Table4[],5,FALSE)</f>
        <v>Edwardland</v>
      </c>
      <c r="H219" t="str">
        <f>VLOOKUP($A219,Table4[],6,FALSE)</f>
        <v>California</v>
      </c>
      <c r="I219" t="str">
        <f>VLOOKUP($A219,Table4[],8,FALSE)</f>
        <v>Platinum</v>
      </c>
      <c r="J219" t="str">
        <f>VLOOKUP($C219,Table1[],2,FALSE)</f>
        <v>Beard Grooming Kit</v>
      </c>
      <c r="K219" t="str">
        <f>VLOOKUP($C219,Table1[],3,FALSE)</f>
        <v>Beauty</v>
      </c>
      <c r="L219" t="str">
        <f>VLOOKUP($C219,Table1[],4,FALSE)</f>
        <v>Grooming</v>
      </c>
      <c r="M219" t="str">
        <f>VLOOKUP($C219,Table1[],5,FALSE)</f>
        <v>Erickson-Green</v>
      </c>
      <c r="N219">
        <f>VLOOKUP($C219,Table1[],6,FALSE)</f>
        <v>337.42</v>
      </c>
      <c r="O219">
        <f>VLOOKUP($C219,Table1[],7,FALSE)</f>
        <v>256</v>
      </c>
      <c r="P219" t="str">
        <f>_xlfn.XLOOKUP($B219,Table3[Store_ID],Table3[Store_Name])</f>
        <v>Johnson-Wright</v>
      </c>
      <c r="Q219" t="str" cm="1">
        <f t="array" ref="Q219">_xlfn.XLOOKUP($B219,Store_Dim!$A$2:$A$21,Table3[Region])</f>
        <v>North</v>
      </c>
      <c r="R219" t="str" cm="1">
        <f t="array" ref="R219">_xlfn.XLOOKUP($B219,Store_Dim!$A$2:$A$21,Table3[Store_Type])</f>
        <v>Outlet</v>
      </c>
      <c r="S219">
        <f>VLOOKUP(Table7[[#This Row],[Customer ID]],Table6[[Customer_ID]:[Total_Amount]],8,FALSE)</f>
        <v>354.32639999999998</v>
      </c>
    </row>
    <row r="220" spans="1:19" x14ac:dyDescent="0.3">
      <c r="A220" t="s">
        <v>705</v>
      </c>
      <c r="B220" t="str">
        <f>_xlfn.XLOOKUP(Table7[[#This Row],[Customer ID]],Table6[Customer_ID],Table6[Store_ID])</f>
        <v>STORE0</v>
      </c>
      <c r="C220" t="str">
        <f>_xlfn.XLOOKUP(Table7[[#This Row],[Customer ID]],Table6[Customer_ID],Table6[Product_ID])</f>
        <v>PROD37</v>
      </c>
      <c r="D220" t="str">
        <f>VLOOKUP(Table7[[#This Row],[Customer ID]],Table4[#All],2,FALSE)</f>
        <v>Jordan Wells</v>
      </c>
      <c r="E220">
        <f>VLOOKUP($A220,Table4[],3,FALSE)</f>
        <v>47</v>
      </c>
      <c r="F220" t="str">
        <f>VLOOKUP($A220,Table4[],4,FALSE)</f>
        <v>Female</v>
      </c>
      <c r="G220" t="str">
        <f>VLOOKUP($A220,Table4[],5,FALSE)</f>
        <v xml:space="preserve">Phillipschester   </v>
      </c>
      <c r="H220" t="str">
        <f>VLOOKUP($A220,Table4[],6,FALSE)</f>
        <v>New Jersey</v>
      </c>
      <c r="I220" t="str">
        <f>VLOOKUP($A220,Table4[],8,FALSE)</f>
        <v>Gold</v>
      </c>
      <c r="J220" t="str">
        <f>VLOOKUP($C220,Table1[],2,FALSE)</f>
        <v>Men's Casual Sneakers</v>
      </c>
      <c r="K220" t="str">
        <f>VLOOKUP($C220,Table1[],3,FALSE)</f>
        <v>Clothing</v>
      </c>
      <c r="L220" t="str">
        <f>VLOOKUP($C220,Table1[],4,FALSE)</f>
        <v>Footwear</v>
      </c>
      <c r="M220" t="str">
        <f>VLOOKUP($C220,Table1[],5,FALSE)</f>
        <v>Hogan-Lee</v>
      </c>
      <c r="N220">
        <f>VLOOKUP($C220,Table1[],6,FALSE)</f>
        <v>353.47</v>
      </c>
      <c r="O220">
        <f>VLOOKUP($C220,Table1[],7,FALSE)</f>
        <v>214</v>
      </c>
      <c r="P220" t="str">
        <f>_xlfn.XLOOKUP($B220,Table3[Store_ID],Table3[Store_Name])</f>
        <v>Rivera-Warner</v>
      </c>
      <c r="Q220" t="str" cm="1">
        <f t="array" ref="Q220">_xlfn.XLOOKUP($B220,Store_Dim!$A$2:$A$21,Table3[Region])</f>
        <v>East</v>
      </c>
      <c r="R220" t="str" cm="1">
        <f t="array" ref="R220">_xlfn.XLOOKUP($B220,Store_Dim!$A$2:$A$21,Table3[Store_Type])</f>
        <v>Flagship</v>
      </c>
      <c r="S220">
        <f>VLOOKUP(Table7[[#This Row],[Customer ID]],Table6[[Customer_ID]:[Total_Amount]],8,FALSE)</f>
        <v>2599.5947999999999</v>
      </c>
    </row>
    <row r="221" spans="1:19" x14ac:dyDescent="0.3">
      <c r="A221" t="s">
        <v>707</v>
      </c>
      <c r="B221" t="str">
        <f>_xlfn.XLOOKUP(Table7[[#This Row],[Customer ID]],Table6[Customer_ID],Table6[Store_ID])</f>
        <v>STORE14</v>
      </c>
      <c r="C221" t="str">
        <f>_xlfn.XLOOKUP(Table7[[#This Row],[Customer ID]],Table6[Customer_ID],Table6[Product_ID])</f>
        <v>PROD29</v>
      </c>
      <c r="D221" t="str">
        <f>VLOOKUP(Table7[[#This Row],[Customer ID]],Table4[#All],2,FALSE)</f>
        <v>George Davis</v>
      </c>
      <c r="E221">
        <f>VLOOKUP($A221,Table4[],3,FALSE)</f>
        <v>50</v>
      </c>
      <c r="F221" t="str">
        <f>VLOOKUP($A221,Table4[],4,FALSE)</f>
        <v>Female</v>
      </c>
      <c r="G221" t="str">
        <f>VLOOKUP($A221,Table4[],5,FALSE)</f>
        <v xml:space="preserve">    lake lisa</v>
      </c>
      <c r="H221" t="str">
        <f>VLOOKUP($A221,Table4[],6,FALSE)</f>
        <v>Massachusetts</v>
      </c>
      <c r="I221" t="str">
        <f>VLOOKUP($A221,Table4[],8,FALSE)</f>
        <v>Bronze</v>
      </c>
      <c r="J221" t="str">
        <f>VLOOKUP($C221,Table1[],2,FALSE)</f>
        <v>Fabric Sofa Throw Blanket</v>
      </c>
      <c r="K221" t="str">
        <f>VLOOKUP($C221,Table1[],3,FALSE)</f>
        <v>Home</v>
      </c>
      <c r="L221" t="str">
        <f>VLOOKUP($C221,Table1[],4,FALSE)</f>
        <v>Decor</v>
      </c>
      <c r="M221" t="str">
        <f>VLOOKUP($C221,Table1[],5,FALSE)</f>
        <v>Hoffman Group</v>
      </c>
      <c r="N221">
        <f>VLOOKUP($C221,Table1[],6,FALSE)</f>
        <v>218.48</v>
      </c>
      <c r="O221">
        <f>VLOOKUP($C221,Table1[],7,FALSE)</f>
        <v>276</v>
      </c>
      <c r="P221" t="str">
        <f>_xlfn.XLOOKUP($B221,Table3[Store_ID],Table3[Store_Name])</f>
        <v>Mcdonald Inc</v>
      </c>
      <c r="Q221" t="str" cm="1">
        <f t="array" ref="Q221">_xlfn.XLOOKUP($B221,Store_Dim!$A$2:$A$21,Table3[Region])</f>
        <v>South</v>
      </c>
      <c r="R221" t="str" cm="1">
        <f t="array" ref="R221">_xlfn.XLOOKUP($B221,Store_Dim!$A$2:$A$21,Table3[Store_Type])</f>
        <v>Outlet</v>
      </c>
      <c r="S221">
        <f>VLOOKUP(Table7[[#This Row],[Customer ID]],Table6[[Customer_ID]:[Total_Amount]],8,FALSE)</f>
        <v>1127.0219999999999</v>
      </c>
    </row>
    <row r="222" spans="1:19" x14ac:dyDescent="0.3">
      <c r="A222" t="s">
        <v>710</v>
      </c>
      <c r="B222" t="str">
        <f>_xlfn.XLOOKUP(Table7[[#This Row],[Customer ID]],Table6[Customer_ID],Table6[Store_ID])</f>
        <v>STORE8</v>
      </c>
      <c r="C222" t="str">
        <f>_xlfn.XLOOKUP(Table7[[#This Row],[Customer ID]],Table6[Customer_ID],Table6[Product_ID])</f>
        <v>PROD83</v>
      </c>
      <c r="D222" t="str">
        <f>VLOOKUP(Table7[[#This Row],[Customer ID]],Table4[#All],2,FALSE)</f>
        <v>Lisa Young</v>
      </c>
      <c r="E222">
        <f>VLOOKUP($A222,Table4[],3,FALSE)</f>
        <v>38</v>
      </c>
      <c r="F222" t="str">
        <f>VLOOKUP($A222,Table4[],4,FALSE)</f>
        <v>Male</v>
      </c>
      <c r="G222" t="str">
        <f>VLOOKUP($A222,Table4[],5,FALSE)</f>
        <v>Maybury</v>
      </c>
      <c r="H222" t="str">
        <f>VLOOKUP($A222,Table4[],6,FALSE)</f>
        <v>Georgia</v>
      </c>
      <c r="I222" t="str">
        <f>VLOOKUP($A222,Table4[],8,FALSE)</f>
        <v>Platinum</v>
      </c>
      <c r="J222" t="str">
        <f>VLOOKUP($C222,Table1[],2,FALSE)</f>
        <v>Hydrating Face Cleanser</v>
      </c>
      <c r="K222" t="str">
        <f>VLOOKUP($C222,Table1[],3,FALSE)</f>
        <v>Beauty</v>
      </c>
      <c r="L222" t="str">
        <f>VLOOKUP($C222,Table1[],4,FALSE)</f>
        <v>Skincare</v>
      </c>
      <c r="M222" t="str">
        <f>VLOOKUP($C222,Table1[],5,FALSE)</f>
        <v>Butler Group</v>
      </c>
      <c r="N222">
        <f>VLOOKUP($C222,Table1[],6,FALSE)</f>
        <v>305.49</v>
      </c>
      <c r="O222">
        <f>VLOOKUP($C222,Table1[],7,FALSE)</f>
        <v>159</v>
      </c>
      <c r="P222" t="str">
        <f>_xlfn.XLOOKUP($B222,Table3[Store_ID],Table3[Store_Name])</f>
        <v>Bean, Jones and Park</v>
      </c>
      <c r="Q222" t="str" cm="1">
        <f t="array" ref="Q222">_xlfn.XLOOKUP($B222,Store_Dim!$A$2:$A$21,Table3[Region])</f>
        <v>West</v>
      </c>
      <c r="R222" t="str" cm="1">
        <f t="array" ref="R222">_xlfn.XLOOKUP($B222,Store_Dim!$A$2:$A$21,Table3[Store_Type])</f>
        <v>Online</v>
      </c>
      <c r="S222">
        <f>VLOOKUP(Table7[[#This Row],[Customer ID]],Table6[[Customer_ID]:[Total_Amount]],8,FALSE)</f>
        <v>1512.924</v>
      </c>
    </row>
    <row r="223" spans="1:19" x14ac:dyDescent="0.3">
      <c r="A223" t="s">
        <v>713</v>
      </c>
      <c r="B223" t="str">
        <f>_xlfn.XLOOKUP(Table7[[#This Row],[Customer ID]],Table6[Customer_ID],Table6[Store_ID])</f>
        <v>STORE6</v>
      </c>
      <c r="C223" t="str">
        <f>_xlfn.XLOOKUP(Table7[[#This Row],[Customer ID]],Table6[Customer_ID],Table6[Product_ID])</f>
        <v>PROD46</v>
      </c>
      <c r="D223" t="str">
        <f>VLOOKUP(Table7[[#This Row],[Customer ID]],Table4[#All],2,FALSE)</f>
        <v>Alejandro Doyle</v>
      </c>
      <c r="E223">
        <f>VLOOKUP($A223,Table4[],3,FALSE)</f>
        <v>35</v>
      </c>
      <c r="F223" t="str">
        <f>VLOOKUP($A223,Table4[],4,FALSE)</f>
        <v>Male</v>
      </c>
      <c r="G223" t="str">
        <f>VLOOKUP($A223,Table4[],5,FALSE)</f>
        <v>East Crystalton</v>
      </c>
      <c r="H223" t="str">
        <f>VLOOKUP($A223,Table4[],6,FALSE)</f>
        <v>New Mexico</v>
      </c>
      <c r="I223" t="str">
        <f>VLOOKUP($A223,Table4[],8,FALSE)</f>
        <v>Platinum</v>
      </c>
      <c r="J223" t="str">
        <f>VLOOKUP($C223,Table1[],2,FALSE)</f>
        <v>Men's Winter Jacket</v>
      </c>
      <c r="K223" t="str">
        <f>VLOOKUP($C223,Table1[],3,FALSE)</f>
        <v>Clothing</v>
      </c>
      <c r="L223" t="str">
        <f>VLOOKUP($C223,Table1[],4,FALSE)</f>
        <v>Outerwear</v>
      </c>
      <c r="M223" t="str">
        <f>VLOOKUP($C223,Table1[],5,FALSE)</f>
        <v>Kelly, Smith and Perez</v>
      </c>
      <c r="N223">
        <f>VLOOKUP($C223,Table1[],6,FALSE)</f>
        <v>167.34</v>
      </c>
      <c r="O223">
        <f>VLOOKUP($C223,Table1[],7,FALSE)</f>
        <v>296</v>
      </c>
      <c r="P223" t="str">
        <f>_xlfn.XLOOKUP($B223,Table3[Store_ID],Table3[Store_Name])</f>
        <v>Benson-Elliott</v>
      </c>
      <c r="Q223" t="str" cm="1">
        <f t="array" ref="Q223">_xlfn.XLOOKUP($B223,Store_Dim!$A$2:$A$21,Table3[Region])</f>
        <v>East</v>
      </c>
      <c r="R223" t="str" cm="1">
        <f t="array" ref="R223">_xlfn.XLOOKUP($B223,Store_Dim!$A$2:$A$21,Table3[Store_Type])</f>
        <v>Online</v>
      </c>
      <c r="S223">
        <f>VLOOKUP(Table7[[#This Row],[Customer ID]],Table6[[Customer_ID]:[Total_Amount]],8,FALSE)</f>
        <v>1032.3599999999999</v>
      </c>
    </row>
    <row r="224" spans="1:19" x14ac:dyDescent="0.3">
      <c r="A224" t="s">
        <v>716</v>
      </c>
      <c r="B224" t="str">
        <f>_xlfn.XLOOKUP(Table7[[#This Row],[Customer ID]],Table6[Customer_ID],Table6[Store_ID])</f>
        <v>STORE2</v>
      </c>
      <c r="C224" t="str">
        <f>_xlfn.XLOOKUP(Table7[[#This Row],[Customer ID]],Table6[Customer_ID],Table6[Product_ID])</f>
        <v>PROD72</v>
      </c>
      <c r="D224" t="str">
        <f>VLOOKUP(Table7[[#This Row],[Customer ID]],Table4[#All],2,FALSE)</f>
        <v>Robert Harris</v>
      </c>
      <c r="E224">
        <f>VLOOKUP($A224,Table4[],3,FALSE)</f>
        <v>50</v>
      </c>
      <c r="F224" t="str">
        <f>VLOOKUP($A224,Table4[],4,FALSE)</f>
        <v>Male</v>
      </c>
      <c r="G224" t="str">
        <f>VLOOKUP($A224,Table4[],5,FALSE)</f>
        <v>East jeremy</v>
      </c>
      <c r="H224" t="str">
        <f>VLOOKUP($A224,Table4[],6,FALSE)</f>
        <v>Iowa</v>
      </c>
      <c r="I224" t="str">
        <f>VLOOKUP($A224,Table4[],8,FALSE)</f>
        <v>Platinum</v>
      </c>
      <c r="J224" t="str">
        <f>VLOOKUP($C224,Table1[],2,FALSE)</f>
        <v>Professional Jump Rope</v>
      </c>
      <c r="K224" t="str">
        <f>VLOOKUP($C224,Table1[],3,FALSE)</f>
        <v>Sports</v>
      </c>
      <c r="L224" t="str">
        <f>VLOOKUP($C224,Table1[],4,FALSE)</f>
        <v>Fitness</v>
      </c>
      <c r="M224" t="str">
        <f>VLOOKUP($C224,Table1[],5,FALSE)</f>
        <v>Davis PLC</v>
      </c>
      <c r="N224">
        <f>VLOOKUP($C224,Table1[],6,FALSE)</f>
        <v>477.61</v>
      </c>
      <c r="O224">
        <f>VLOOKUP($C224,Table1[],7,FALSE)</f>
        <v>300</v>
      </c>
      <c r="P224" t="str">
        <f>_xlfn.XLOOKUP($B224,Table3[Store_ID],Table3[Store_Name])</f>
        <v>Black-Horn</v>
      </c>
      <c r="Q224" t="str" cm="1">
        <f t="array" ref="Q224">_xlfn.XLOOKUP($B224,Store_Dim!$A$2:$A$21,Table3[Region])</f>
        <v>South</v>
      </c>
      <c r="R224" t="str" cm="1">
        <f t="array" ref="R224">_xlfn.XLOOKUP($B224,Store_Dim!$A$2:$A$21,Table3[Store_Type])</f>
        <v>Outlet</v>
      </c>
      <c r="S224">
        <f>VLOOKUP(Table7[[#This Row],[Customer ID]],Table6[[Customer_ID]:[Total_Amount]],8,FALSE)</f>
        <v>1398.2841000000001</v>
      </c>
    </row>
    <row r="225" spans="1:19" x14ac:dyDescent="0.3">
      <c r="A225" t="s">
        <v>718</v>
      </c>
      <c r="B225" t="str">
        <f>_xlfn.XLOOKUP(Table7[[#This Row],[Customer ID]],Table6[Customer_ID],Table6[Store_ID])</f>
        <v>STORE8</v>
      </c>
      <c r="C225" t="str">
        <f>_xlfn.XLOOKUP(Table7[[#This Row],[Customer ID]],Table6[Customer_ID],Table6[Product_ID])</f>
        <v>PROD39</v>
      </c>
      <c r="D225" t="str">
        <f>VLOOKUP(Table7[[#This Row],[Customer ID]],Table4[#All],2,FALSE)</f>
        <v>Anthony Morgan</v>
      </c>
      <c r="E225">
        <f>VLOOKUP($A225,Table4[],3,FALSE)</f>
        <v>29</v>
      </c>
      <c r="F225" t="str">
        <f>VLOOKUP($A225,Table4[],4,FALSE)</f>
        <v>Male</v>
      </c>
      <c r="G225" t="str">
        <f>VLOOKUP($A225,Table4[],5,FALSE)</f>
        <v>New Anthonyfurt</v>
      </c>
      <c r="H225" t="str">
        <f>VLOOKUP($A225,Table4[],6,FALSE)</f>
        <v>Missouri</v>
      </c>
      <c r="I225" t="str">
        <f>VLOOKUP($A225,Table4[],8,FALSE)</f>
        <v>Silver</v>
      </c>
      <c r="J225" t="str">
        <f>VLOOKUP($C225,Table1[],2,FALSE)</f>
        <v>Portable Power Bank</v>
      </c>
      <c r="K225" t="str">
        <f>VLOOKUP($C225,Table1[],3,FALSE)</f>
        <v>Electronics</v>
      </c>
      <c r="L225" t="str">
        <f>VLOOKUP($C225,Table1[],4,FALSE)</f>
        <v>Mobile</v>
      </c>
      <c r="M225" t="str">
        <f>VLOOKUP($C225,Table1[],5,FALSE)</f>
        <v>Cummings and Sons</v>
      </c>
      <c r="N225">
        <f>VLOOKUP($C225,Table1[],6,FALSE)</f>
        <v>326.06</v>
      </c>
      <c r="O225">
        <f>VLOOKUP($C225,Table1[],7,FALSE)</f>
        <v>301</v>
      </c>
      <c r="P225" t="str">
        <f>_xlfn.XLOOKUP($B225,Table3[Store_ID],Table3[Store_Name])</f>
        <v>Bean, Jones and Park</v>
      </c>
      <c r="Q225" t="str" cm="1">
        <f t="array" ref="Q225">_xlfn.XLOOKUP($B225,Store_Dim!$A$2:$A$21,Table3[Region])</f>
        <v>West</v>
      </c>
      <c r="R225" t="str" cm="1">
        <f t="array" ref="R225">_xlfn.XLOOKUP($B225,Store_Dim!$A$2:$A$21,Table3[Store_Type])</f>
        <v>Online</v>
      </c>
      <c r="S225">
        <f>VLOOKUP(Table7[[#This Row],[Customer ID]],Table6[[Customer_ID]:[Total_Amount]],8,FALSE)</f>
        <v>425.41759999999999</v>
      </c>
    </row>
    <row r="226" spans="1:19" x14ac:dyDescent="0.3">
      <c r="A226" t="s">
        <v>721</v>
      </c>
      <c r="B226" t="str">
        <f>_xlfn.XLOOKUP(Table7[[#This Row],[Customer ID]],Table6[Customer_ID],Table6[Store_ID])</f>
        <v>STORE7</v>
      </c>
      <c r="C226" t="str">
        <f>_xlfn.XLOOKUP(Table7[[#This Row],[Customer ID]],Table6[Customer_ID],Table6[Product_ID])</f>
        <v>PROD19</v>
      </c>
      <c r="D226" t="str">
        <f>VLOOKUP(Table7[[#This Row],[Customer ID]],Table4[#All],2,FALSE)</f>
        <v>Elizabeth Stanley</v>
      </c>
      <c r="E226">
        <f>VLOOKUP($A226,Table4[],3,FALSE)</f>
        <v>46</v>
      </c>
      <c r="F226" t="str">
        <f>VLOOKUP($A226,Table4[],4,FALSE)</f>
        <v>Female</v>
      </c>
      <c r="G226" t="str">
        <f>VLOOKUP($A226,Table4[],5,FALSE)</f>
        <v>Bethanyton</v>
      </c>
      <c r="H226" t="str">
        <f>VLOOKUP($A226,Table4[],6,FALSE)</f>
        <v>Utah</v>
      </c>
      <c r="I226" t="str">
        <f>VLOOKUP($A226,Table4[],8,FALSE)</f>
        <v>Platinum</v>
      </c>
      <c r="J226" t="str">
        <f>VLOOKUP($C226,Table1[],2,FALSE)</f>
        <v>Knee Support Brace</v>
      </c>
      <c r="K226" t="str">
        <f>VLOOKUP($C226,Table1[],3,FALSE)</f>
        <v>Sports</v>
      </c>
      <c r="L226" t="str">
        <f>VLOOKUP($C226,Table1[],4,FALSE)</f>
        <v>Equipment</v>
      </c>
      <c r="M226" t="str">
        <f>VLOOKUP($C226,Table1[],5,FALSE)</f>
        <v>May-Reese</v>
      </c>
      <c r="N226">
        <f>VLOOKUP($C226,Table1[],6,FALSE)</f>
        <v>21.34</v>
      </c>
      <c r="O226">
        <f>VLOOKUP($C226,Table1[],7,FALSE)</f>
        <v>65</v>
      </c>
      <c r="P226" t="str">
        <f>_xlfn.XLOOKUP($B226,Table3[Store_ID],Table3[Store_Name])</f>
        <v>Martinez-Mullins</v>
      </c>
      <c r="Q226" t="str" cm="1">
        <f t="array" ref="Q226">_xlfn.XLOOKUP($B226,Store_Dim!$A$2:$A$21,Table3[Region])</f>
        <v>South</v>
      </c>
      <c r="R226" t="str" cm="1">
        <f t="array" ref="R226">_xlfn.XLOOKUP($B226,Store_Dim!$A$2:$A$21,Table3[Store_Type])</f>
        <v>Online</v>
      </c>
      <c r="S226">
        <f>VLOOKUP(Table7[[#This Row],[Customer ID]],Table6[[Customer_ID]:[Total_Amount]],8,FALSE)</f>
        <v>553.18960000000004</v>
      </c>
    </row>
    <row r="227" spans="1:19" x14ac:dyDescent="0.3">
      <c r="A227" t="s">
        <v>724</v>
      </c>
      <c r="B227" t="str">
        <f>_xlfn.XLOOKUP(Table7[[#This Row],[Customer ID]],Table6[Customer_ID],Table6[Store_ID])</f>
        <v>STORE8</v>
      </c>
      <c r="C227" t="str">
        <f>_xlfn.XLOOKUP(Table7[[#This Row],[Customer ID]],Table6[Customer_ID],Table6[Product_ID])</f>
        <v>PROD49</v>
      </c>
      <c r="D227" t="str">
        <f>VLOOKUP(Table7[[#This Row],[Customer ID]],Table4[#All],2,FALSE)</f>
        <v>Alexis Castaneda</v>
      </c>
      <c r="E227">
        <f>VLOOKUP($A227,Table4[],3,FALSE)</f>
        <v>54</v>
      </c>
      <c r="F227" t="str">
        <f>VLOOKUP($A227,Table4[],4,FALSE)</f>
        <v>Male</v>
      </c>
      <c r="G227" t="str">
        <f>VLOOKUP($A227,Table4[],5,FALSE)</f>
        <v>Morrisbury</v>
      </c>
      <c r="H227" t="str">
        <f>VLOOKUP($A227,Table4[],6,FALSE)</f>
        <v>Alaska</v>
      </c>
      <c r="I227" t="str">
        <f>VLOOKUP($A227,Table4[],8,FALSE)</f>
        <v>Gold</v>
      </c>
      <c r="J227" t="str">
        <f>VLOOKUP($C227,Table1[],2,FALSE)</f>
        <v>Men's Roll-On Perfume</v>
      </c>
      <c r="K227" t="str">
        <f>VLOOKUP($C227,Table1[],3,FALSE)</f>
        <v>Beauty</v>
      </c>
      <c r="L227" t="str">
        <f>VLOOKUP($C227,Table1[],4,FALSE)</f>
        <v>Fragrance</v>
      </c>
      <c r="M227" t="str">
        <f>VLOOKUP($C227,Table1[],5,FALSE)</f>
        <v>Sullivan and Sons</v>
      </c>
      <c r="N227">
        <f>VLOOKUP($C227,Table1[],6,FALSE)</f>
        <v>43.29</v>
      </c>
      <c r="O227">
        <f>VLOOKUP($C227,Table1[],7,FALSE)</f>
        <v>267</v>
      </c>
      <c r="P227" t="str">
        <f>_xlfn.XLOOKUP($B227,Table3[Store_ID],Table3[Store_Name])</f>
        <v>Bean, Jones and Park</v>
      </c>
      <c r="Q227" t="str" cm="1">
        <f t="array" ref="Q227">_xlfn.XLOOKUP($B227,Store_Dim!$A$2:$A$21,Table3[Region])</f>
        <v>West</v>
      </c>
      <c r="R227" t="str" cm="1">
        <f t="array" ref="R227">_xlfn.XLOOKUP($B227,Store_Dim!$A$2:$A$21,Table3[Store_Type])</f>
        <v>Online</v>
      </c>
      <c r="S227">
        <f>VLOOKUP(Table7[[#This Row],[Customer ID]],Table6[[Customer_ID]:[Total_Amount]],8,FALSE)</f>
        <v>1352.076</v>
      </c>
    </row>
    <row r="228" spans="1:19" x14ac:dyDescent="0.3">
      <c r="A228" t="s">
        <v>726</v>
      </c>
      <c r="B228" t="str">
        <f>_xlfn.XLOOKUP(Table7[[#This Row],[Customer ID]],Table6[Customer_ID],Table6[Store_ID])</f>
        <v>STORE7</v>
      </c>
      <c r="C228" t="str">
        <f>_xlfn.XLOOKUP(Table7[[#This Row],[Customer ID]],Table6[Customer_ID],Table6[Product_ID])</f>
        <v>PROD93</v>
      </c>
      <c r="D228" t="str">
        <f>VLOOKUP(Table7[[#This Row],[Customer ID]],Table4[#All],2,FALSE)</f>
        <v>Gregory Pham</v>
      </c>
      <c r="E228">
        <f>VLOOKUP($A228,Table4[],3,FALSE)</f>
        <v>63</v>
      </c>
      <c r="F228" t="str">
        <f>VLOOKUP($A228,Table4[],4,FALSE)</f>
        <v>Female</v>
      </c>
      <c r="G228" t="str">
        <f>VLOOKUP($A228,Table4[],5,FALSE)</f>
        <v>Pollardton</v>
      </c>
      <c r="H228" t="str">
        <f>VLOOKUP($A228,Table4[],6,FALSE)</f>
        <v>Kansas</v>
      </c>
      <c r="I228" t="str">
        <f>VLOOKUP($A228,Table4[],8,FALSE)</f>
        <v>Gold</v>
      </c>
      <c r="J228" t="str">
        <f>VLOOKUP($C228,Table1[],2,FALSE)</f>
        <v>USB-C Laptop Charger</v>
      </c>
      <c r="K228" t="str">
        <f>VLOOKUP($C228,Table1[],3,FALSE)</f>
        <v>Electronics</v>
      </c>
      <c r="L228" t="str">
        <f>VLOOKUP($C228,Table1[],4,FALSE)</f>
        <v>Computer</v>
      </c>
      <c r="M228" t="str">
        <f>VLOOKUP($C228,Table1[],5,FALSE)</f>
        <v>Martin LLC</v>
      </c>
      <c r="N228">
        <f>VLOOKUP($C228,Table1[],6,FALSE)</f>
        <v>377.52</v>
      </c>
      <c r="O228">
        <f>VLOOKUP($C228,Table1[],7,FALSE)</f>
        <v>485</v>
      </c>
      <c r="P228" t="str">
        <f>_xlfn.XLOOKUP($B228,Table3[Store_ID],Table3[Store_Name])</f>
        <v>Martinez-Mullins</v>
      </c>
      <c r="Q228" t="str" cm="1">
        <f t="array" ref="Q228">_xlfn.XLOOKUP($B228,Store_Dim!$A$2:$A$21,Table3[Region])</f>
        <v>South</v>
      </c>
      <c r="R228" t="str" cm="1">
        <f t="array" ref="R228">_xlfn.XLOOKUP($B228,Store_Dim!$A$2:$A$21,Table3[Store_Type])</f>
        <v>Online</v>
      </c>
      <c r="S228">
        <f>VLOOKUP(Table7[[#This Row],[Customer ID]],Table6[[Customer_ID]:[Total_Amount]],8,FALSE)</f>
        <v>359.50400000000002</v>
      </c>
    </row>
    <row r="229" spans="1:19" x14ac:dyDescent="0.3">
      <c r="A229" t="s">
        <v>729</v>
      </c>
      <c r="B229" t="str">
        <f>_xlfn.XLOOKUP(Table7[[#This Row],[Customer ID]],Table6[Customer_ID],Table6[Store_ID])</f>
        <v>STORE8</v>
      </c>
      <c r="C229" t="str">
        <f>_xlfn.XLOOKUP(Table7[[#This Row],[Customer ID]],Table6[Customer_ID],Table6[Product_ID])</f>
        <v>PROD4</v>
      </c>
      <c r="D229" t="str">
        <f>VLOOKUP(Table7[[#This Row],[Customer ID]],Table4[#All],2,FALSE)</f>
        <v>Casey Flores</v>
      </c>
      <c r="E229">
        <f>VLOOKUP($A229,Table4[],3,FALSE)</f>
        <v>52</v>
      </c>
      <c r="F229" t="str">
        <f>VLOOKUP($A229,Table4[],4,FALSE)</f>
        <v>Female</v>
      </c>
      <c r="G229" t="str">
        <f>VLOOKUP($A229,Table4[],5,FALSE)</f>
        <v>Lake Michael</v>
      </c>
      <c r="H229" t="str">
        <f>VLOOKUP($A229,Table4[],6,FALSE)</f>
        <v>Utah</v>
      </c>
      <c r="I229" t="str">
        <f>VLOOKUP($A229,Table4[],8,FALSE)</f>
        <v>Gold</v>
      </c>
      <c r="J229" t="str">
        <f>VLOOKUP($C229,Table1[],2,FALSE)</f>
        <v>Women's Yoga Pants</v>
      </c>
      <c r="K229" t="str">
        <f>VLOOKUP($C229,Table1[],3,FALSE)</f>
        <v>Clothing</v>
      </c>
      <c r="L229" t="str">
        <f>VLOOKUP($C229,Table1[],4,FALSE)</f>
        <v>Bottoms</v>
      </c>
      <c r="M229" t="str">
        <f>VLOOKUP($C229,Table1[],5,FALSE)</f>
        <v>Gonzales-Davis</v>
      </c>
      <c r="N229">
        <f>VLOOKUP($C229,Table1[],6,FALSE)</f>
        <v>306.45999999999998</v>
      </c>
      <c r="O229">
        <f>VLOOKUP($C229,Table1[],7,FALSE)</f>
        <v>487</v>
      </c>
      <c r="P229" t="str">
        <f>_xlfn.XLOOKUP($B229,Table3[Store_ID],Table3[Store_Name])</f>
        <v>Bean, Jones and Park</v>
      </c>
      <c r="Q229" t="str" cm="1">
        <f t="array" ref="Q229">_xlfn.XLOOKUP($B229,Store_Dim!$A$2:$A$21,Table3[Region])</f>
        <v>West</v>
      </c>
      <c r="R229" t="str" cm="1">
        <f t="array" ref="R229">_xlfn.XLOOKUP($B229,Store_Dim!$A$2:$A$21,Table3[Store_Type])</f>
        <v>Online</v>
      </c>
      <c r="S229">
        <f>VLOOKUP(Table7[[#This Row],[Customer ID]],Table6[[Customer_ID]:[Total_Amount]],8,FALSE)</f>
        <v>524.76480000000004</v>
      </c>
    </row>
    <row r="230" spans="1:19" x14ac:dyDescent="0.3">
      <c r="A230" t="s">
        <v>731</v>
      </c>
      <c r="B230" t="str">
        <f>_xlfn.XLOOKUP(Table7[[#This Row],[Customer ID]],Table6[Customer_ID],Table6[Store_ID])</f>
        <v>STORE9</v>
      </c>
      <c r="C230" t="str">
        <f>_xlfn.XLOOKUP(Table7[[#This Row],[Customer ID]],Table6[Customer_ID],Table6[Product_ID])</f>
        <v>PROD52</v>
      </c>
      <c r="D230" t="str">
        <f>VLOOKUP(Table7[[#This Row],[Customer ID]],Table4[#All],2,FALSE)</f>
        <v>Tanner Thompson</v>
      </c>
      <c r="E230">
        <f>VLOOKUP($A230,Table4[],3,FALSE)</f>
        <v>32</v>
      </c>
      <c r="F230" t="str">
        <f>VLOOKUP($A230,Table4[],4,FALSE)</f>
        <v>Female</v>
      </c>
      <c r="G230" t="str">
        <f>VLOOKUP($A230,Table4[],5,FALSE)</f>
        <v>Port Lisashire</v>
      </c>
      <c r="H230" t="str">
        <f>VLOOKUP($A230,Table4[],6,FALSE)</f>
        <v>Maryland</v>
      </c>
      <c r="I230" t="str">
        <f>VLOOKUP($A230,Table4[],8,FALSE)</f>
        <v>Bronze</v>
      </c>
      <c r="J230" t="str">
        <f>VLOOKUP($C230,Table1[],2,FALSE)</f>
        <v>Rugby Ball</v>
      </c>
      <c r="K230" t="str">
        <f>VLOOKUP($C230,Table1[],3,FALSE)</f>
        <v>Sports</v>
      </c>
      <c r="L230" t="str">
        <f>VLOOKUP($C230,Table1[],4,FALSE)</f>
        <v>Team Sports</v>
      </c>
      <c r="M230" t="str">
        <f>VLOOKUP($C230,Table1[],5,FALSE)</f>
        <v>Harris Inc</v>
      </c>
      <c r="N230">
        <f>VLOOKUP($C230,Table1[],6,FALSE)</f>
        <v>212.26</v>
      </c>
      <c r="O230">
        <f>VLOOKUP($C230,Table1[],7,FALSE)</f>
        <v>82</v>
      </c>
      <c r="P230" t="str">
        <f>_xlfn.XLOOKUP($B230,Table3[Store_ID],Table3[Store_Name])</f>
        <v>Moore, Padilla and Butler</v>
      </c>
      <c r="Q230" t="str" cm="1">
        <f t="array" ref="Q230">_xlfn.XLOOKUP($B230,Store_Dim!$A$2:$A$21,Table3[Region])</f>
        <v>South</v>
      </c>
      <c r="R230" t="str" cm="1">
        <f t="array" ref="R230">_xlfn.XLOOKUP($B230,Store_Dim!$A$2:$A$21,Table3[Store_Type])</f>
        <v>Flagship</v>
      </c>
      <c r="S230">
        <f>VLOOKUP(Table7[[#This Row],[Customer ID]],Table6[[Customer_ID]:[Total_Amount]],8,FALSE)</f>
        <v>1182.8481999999999</v>
      </c>
    </row>
    <row r="231" spans="1:19" x14ac:dyDescent="0.3">
      <c r="A231" t="s">
        <v>734</v>
      </c>
      <c r="B231" t="str">
        <f>_xlfn.XLOOKUP(Table7[[#This Row],[Customer ID]],Table6[Customer_ID],Table6[Store_ID])</f>
        <v>STORE13</v>
      </c>
      <c r="C231" t="str">
        <f>_xlfn.XLOOKUP(Table7[[#This Row],[Customer ID]],Table6[Customer_ID],Table6[Product_ID])</f>
        <v>PROD68</v>
      </c>
      <c r="D231" t="str">
        <f>VLOOKUP(Table7[[#This Row],[Customer ID]],Table4[#All],2,FALSE)</f>
        <v>Timothy Sanders</v>
      </c>
      <c r="E231">
        <f>VLOOKUP($A231,Table4[],3,FALSE)</f>
        <v>29</v>
      </c>
      <c r="F231" t="str">
        <f>VLOOKUP($A231,Table4[],4,FALSE)</f>
        <v>Male</v>
      </c>
      <c r="G231" t="str">
        <f>VLOOKUP($A231,Table4[],5,FALSE)</f>
        <v>Aaronmouth</v>
      </c>
      <c r="H231" t="str">
        <f>VLOOKUP($A231,Table4[],6,FALSE)</f>
        <v>Florida</v>
      </c>
      <c r="I231" t="str">
        <f>VLOOKUP($A231,Table4[],8,FALSE)</f>
        <v>Bronze</v>
      </c>
      <c r="J231" t="str">
        <f>VLOOKUP($C231,Table1[],2,FALSE)</f>
        <v>Wooden Nightstand</v>
      </c>
      <c r="K231" t="str">
        <f>VLOOKUP($C231,Table1[],3,FALSE)</f>
        <v>Home</v>
      </c>
      <c r="L231" t="str">
        <f>VLOOKUP($C231,Table1[],4,FALSE)</f>
        <v>Furniture</v>
      </c>
      <c r="M231" t="str">
        <f>VLOOKUP($C231,Table1[],5,FALSE)</f>
        <v>Wolfe, Ross and Hester</v>
      </c>
      <c r="N231">
        <f>VLOOKUP($C231,Table1[],6,FALSE)</f>
        <v>243.7</v>
      </c>
      <c r="O231">
        <f>VLOOKUP($C231,Table1[],7,FALSE)</f>
        <v>130</v>
      </c>
      <c r="P231" t="str">
        <f>_xlfn.XLOOKUP($B231,Table3[Store_ID],Table3[Store_Name])</f>
        <v>Gardner, Humphrey and Contreras</v>
      </c>
      <c r="Q231" t="str" cm="1">
        <f t="array" ref="Q231">_xlfn.XLOOKUP($B231,Store_Dim!$A$2:$A$21,Table3[Region])</f>
        <v>East</v>
      </c>
      <c r="R231" t="str" cm="1">
        <f t="array" ref="R231">_xlfn.XLOOKUP($B231,Store_Dim!$A$2:$A$21,Table3[Store_Type])</f>
        <v>Flagship</v>
      </c>
      <c r="S231">
        <f>VLOOKUP(Table7[[#This Row],[Customer ID]],Table6[[Customer_ID]:[Total_Amount]],8,FALSE)</f>
        <v>237.6524</v>
      </c>
    </row>
    <row r="232" spans="1:19" x14ac:dyDescent="0.3">
      <c r="A232" t="s">
        <v>737</v>
      </c>
      <c r="B232" t="str">
        <f>_xlfn.XLOOKUP(Table7[[#This Row],[Customer ID]],Table6[Customer_ID],Table6[Store_ID])</f>
        <v>STORE17</v>
      </c>
      <c r="C232" t="str">
        <f>_xlfn.XLOOKUP(Table7[[#This Row],[Customer ID]],Table6[Customer_ID],Table6[Product_ID])</f>
        <v>PROD31</v>
      </c>
      <c r="D232" t="str">
        <f>VLOOKUP(Table7[[#This Row],[Customer ID]],Table4[#All],2,FALSE)</f>
        <v>Timothy Juarez</v>
      </c>
      <c r="E232">
        <f>VLOOKUP($A232,Table4[],3,FALSE)</f>
        <v>22</v>
      </c>
      <c r="F232" t="str">
        <f>VLOOKUP($A232,Table4[],4,FALSE)</f>
        <v>Female</v>
      </c>
      <c r="G232" t="str">
        <f>VLOOKUP($A232,Table4[],5,FALSE)</f>
        <v>Grahamstad</v>
      </c>
      <c r="H232" t="str">
        <f>VLOOKUP($A232,Table4[],6,FALSE)</f>
        <v>South Carolina</v>
      </c>
      <c r="I232" t="str">
        <f>VLOOKUP($A232,Table4[],8,FALSE)</f>
        <v>Bronze</v>
      </c>
      <c r="J232" t="str">
        <f>VLOOKUP($C232,Table1[],2,FALSE)</f>
        <v>Basketball</v>
      </c>
      <c r="K232" t="str">
        <f>VLOOKUP($C232,Table1[],3,FALSE)</f>
        <v>Sports</v>
      </c>
      <c r="L232" t="str">
        <f>VLOOKUP($C232,Table1[],4,FALSE)</f>
        <v>Team Sports</v>
      </c>
      <c r="M232" t="str">
        <f>VLOOKUP($C232,Table1[],5,FALSE)</f>
        <v>Nolan-Snow</v>
      </c>
      <c r="N232">
        <f>VLOOKUP($C232,Table1[],6,FALSE)</f>
        <v>204.39</v>
      </c>
      <c r="O232">
        <f>VLOOKUP($C232,Table1[],7,FALSE)</f>
        <v>281</v>
      </c>
      <c r="P232" t="str">
        <f>_xlfn.XLOOKUP($B232,Table3[Store_ID],Table3[Store_Name])</f>
        <v>Holloway Ltd</v>
      </c>
      <c r="Q232" t="str" cm="1">
        <f t="array" ref="Q232">_xlfn.XLOOKUP($B232,Store_Dim!$A$2:$A$21,Table3[Region])</f>
        <v>North</v>
      </c>
      <c r="R232" t="str" cm="1">
        <f t="array" ref="R232">_xlfn.XLOOKUP($B232,Store_Dim!$A$2:$A$21,Table3[Store_Type])</f>
        <v>Flagship</v>
      </c>
      <c r="S232">
        <f>VLOOKUP(Table7[[#This Row],[Customer ID]],Table6[[Customer_ID]:[Total_Amount]],8,FALSE)</f>
        <v>1239.5606</v>
      </c>
    </row>
    <row r="233" spans="1:19" x14ac:dyDescent="0.3">
      <c r="A233" t="s">
        <v>740</v>
      </c>
      <c r="B233" t="str">
        <f>_xlfn.XLOOKUP(Table7[[#This Row],[Customer ID]],Table6[Customer_ID],Table6[Store_ID])</f>
        <v>STORE0</v>
      </c>
      <c r="C233" t="str">
        <f>_xlfn.XLOOKUP(Table7[[#This Row],[Customer ID]],Table6[Customer_ID],Table6[Product_ID])</f>
        <v>PROD95</v>
      </c>
      <c r="D233" t="str">
        <f>VLOOKUP(Table7[[#This Row],[Customer ID]],Table4[#All],2,FALSE)</f>
        <v>Christy Hill</v>
      </c>
      <c r="E233">
        <f>VLOOKUP($A233,Table4[],3,FALSE)</f>
        <v>27</v>
      </c>
      <c r="F233" t="str">
        <f>VLOOKUP($A233,Table4[],4,FALSE)</f>
        <v>Female</v>
      </c>
      <c r="G233" t="str">
        <f>VLOOKUP($A233,Table4[],5,FALSE)</f>
        <v>Tammyton</v>
      </c>
      <c r="H233" t="str">
        <f>VLOOKUP($A233,Table4[],6,FALSE)</f>
        <v>New Jersey</v>
      </c>
      <c r="I233" t="str">
        <f>VLOOKUP($A233,Table4[],8,FALSE)</f>
        <v>Platinum</v>
      </c>
      <c r="J233" t="str">
        <f>VLOOKUP($C233,Table1[],2,FALSE)</f>
        <v>Sports Stopwatch Basic</v>
      </c>
      <c r="K233" t="str">
        <f>VLOOKUP($C233,Table1[],3,FALSE)</f>
        <v>Sports</v>
      </c>
      <c r="L233" t="str">
        <f>VLOOKUP($C233,Table1[],4,FALSE)</f>
        <v>Accessories</v>
      </c>
      <c r="M233" t="str">
        <f>VLOOKUP($C233,Table1[],5,FALSE)</f>
        <v>Wilson Group</v>
      </c>
      <c r="N233">
        <f>VLOOKUP($C233,Table1[],6,FALSE)</f>
        <v>60.65</v>
      </c>
      <c r="O233">
        <f>VLOOKUP($C233,Table1[],7,FALSE)</f>
        <v>75</v>
      </c>
      <c r="P233" t="str">
        <f>_xlfn.XLOOKUP($B233,Table3[Store_ID],Table3[Store_Name])</f>
        <v>Rivera-Warner</v>
      </c>
      <c r="Q233" t="str" cm="1">
        <f t="array" ref="Q233">_xlfn.XLOOKUP($B233,Store_Dim!$A$2:$A$21,Table3[Region])</f>
        <v>East</v>
      </c>
      <c r="R233" t="str" cm="1">
        <f t="array" ref="R233">_xlfn.XLOOKUP($B233,Store_Dim!$A$2:$A$21,Table3[Store_Type])</f>
        <v>Flagship</v>
      </c>
      <c r="S233">
        <f>VLOOKUP(Table7[[#This Row],[Customer ID]],Table6[[Customer_ID]:[Total_Amount]],8,FALSE)</f>
        <v>470.61419999999998</v>
      </c>
    </row>
    <row r="234" spans="1:19" x14ac:dyDescent="0.3">
      <c r="A234" t="s">
        <v>743</v>
      </c>
      <c r="B234" t="str">
        <f>_xlfn.XLOOKUP(Table7[[#This Row],[Customer ID]],Table6[Customer_ID],Table6[Store_ID])</f>
        <v>STORE0</v>
      </c>
      <c r="C234" t="str">
        <f>_xlfn.XLOOKUP(Table7[[#This Row],[Customer ID]],Table6[Customer_ID],Table6[Product_ID])</f>
        <v>PROD88</v>
      </c>
      <c r="D234" t="str">
        <f>VLOOKUP(Table7[[#This Row],[Customer ID]],Table4[#All],2,FALSE)</f>
        <v>Michelle Gonzalez</v>
      </c>
      <c r="E234">
        <f>VLOOKUP($A234,Table4[],3,FALSE)</f>
        <v>59</v>
      </c>
      <c r="F234" t="str">
        <f>VLOOKUP($A234,Table4[],4,FALSE)</f>
        <v>Male</v>
      </c>
      <c r="G234" t="str">
        <f>VLOOKUP($A234,Table4[],5,FALSE)</f>
        <v>Clarkport</v>
      </c>
      <c r="H234" t="str">
        <f>VLOOKUP($A234,Table4[],6,FALSE)</f>
        <v>West Virginia</v>
      </c>
      <c r="I234" t="str">
        <f>VLOOKUP($A234,Table4[],8,FALSE)</f>
        <v>Silver</v>
      </c>
      <c r="J234" t="str">
        <f>VLOOKUP($C234,Table1[],2,FALSE)</f>
        <v>Sports Wrist Sweatbands</v>
      </c>
      <c r="K234" t="str">
        <f>VLOOKUP($C234,Table1[],3,FALSE)</f>
        <v>Sports</v>
      </c>
      <c r="L234" t="str">
        <f>VLOOKUP($C234,Table1[],4,FALSE)</f>
        <v>Accessories</v>
      </c>
      <c r="M234" t="str">
        <f>VLOOKUP($C234,Table1[],5,FALSE)</f>
        <v>Olsen-Daniels</v>
      </c>
      <c r="N234">
        <f>VLOOKUP($C234,Table1[],6,FALSE)</f>
        <v>131.24</v>
      </c>
      <c r="O234">
        <f>VLOOKUP($C234,Table1[],7,FALSE)</f>
        <v>232</v>
      </c>
      <c r="P234" t="str">
        <f>_xlfn.XLOOKUP($B234,Table3[Store_ID],Table3[Store_Name])</f>
        <v>Rivera-Warner</v>
      </c>
      <c r="Q234" t="str" cm="1">
        <f t="array" ref="Q234">_xlfn.XLOOKUP($B234,Store_Dim!$A$2:$A$21,Table3[Region])</f>
        <v>East</v>
      </c>
      <c r="R234" t="str" cm="1">
        <f t="array" ref="R234">_xlfn.XLOOKUP($B234,Store_Dim!$A$2:$A$21,Table3[Store_Type])</f>
        <v>Flagship</v>
      </c>
      <c r="S234">
        <f>VLOOKUP(Table7[[#This Row],[Customer ID]],Table6[[Customer_ID]:[Total_Amount]],8,FALSE)</f>
        <v>1154.6808000000001</v>
      </c>
    </row>
    <row r="235" spans="1:19" x14ac:dyDescent="0.3">
      <c r="A235" t="s">
        <v>746</v>
      </c>
      <c r="B235" t="str">
        <f>_xlfn.XLOOKUP(Table7[[#This Row],[Customer ID]],Table6[Customer_ID],Table6[Store_ID])</f>
        <v>STORE7</v>
      </c>
      <c r="C235" t="str">
        <f>_xlfn.XLOOKUP(Table7[[#This Row],[Customer ID]],Table6[Customer_ID],Table6[Product_ID])</f>
        <v>PROD98</v>
      </c>
      <c r="D235" t="str">
        <f>VLOOKUP(Table7[[#This Row],[Customer ID]],Table4[#All],2,FALSE)</f>
        <v>Nathaniel Hill</v>
      </c>
      <c r="E235">
        <f>VLOOKUP($A235,Table4[],3,FALSE)</f>
        <v>43</v>
      </c>
      <c r="F235" t="str">
        <f>VLOOKUP($A235,Table4[],4,FALSE)</f>
        <v>Female</v>
      </c>
      <c r="G235" t="str">
        <f>VLOOKUP($A235,Table4[],5,FALSE)</f>
        <v>Lake Mark</v>
      </c>
      <c r="H235" t="str">
        <f>VLOOKUP($A235,Table4[],6,FALSE)</f>
        <v>Kansas</v>
      </c>
      <c r="I235" t="str">
        <f>VLOOKUP($A235,Table4[],8,FALSE)</f>
        <v>Gold</v>
      </c>
      <c r="J235" t="str">
        <f>VLOOKUP($C235,Table1[],2,FALSE)</f>
        <v>Portable Bluetooth Speaker</v>
      </c>
      <c r="K235" t="str">
        <f>VLOOKUP($C235,Table1[],3,FALSE)</f>
        <v>Electronics</v>
      </c>
      <c r="L235" t="str">
        <f>VLOOKUP($C235,Table1[],4,FALSE)</f>
        <v>Audio</v>
      </c>
      <c r="M235" t="str">
        <f>VLOOKUP($C235,Table1[],5,FALSE)</f>
        <v>Flores-King</v>
      </c>
      <c r="N235">
        <f>VLOOKUP($C235,Table1[],6,FALSE)</f>
        <v>431.67</v>
      </c>
      <c r="O235">
        <f>VLOOKUP($C235,Table1[],7,FALSE)</f>
        <v>73</v>
      </c>
      <c r="P235" t="str">
        <f>_xlfn.XLOOKUP($B235,Table3[Store_ID],Table3[Store_Name])</f>
        <v>Martinez-Mullins</v>
      </c>
      <c r="Q235" t="str" cm="1">
        <f t="array" ref="Q235">_xlfn.XLOOKUP($B235,Store_Dim!$A$2:$A$21,Table3[Region])</f>
        <v>South</v>
      </c>
      <c r="R235" t="str" cm="1">
        <f t="array" ref="R235">_xlfn.XLOOKUP($B235,Store_Dim!$A$2:$A$21,Table3[Store_Type])</f>
        <v>Online</v>
      </c>
      <c r="S235">
        <f>VLOOKUP(Table7[[#This Row],[Customer ID]],Table6[[Customer_ID]:[Total_Amount]],8,FALSE)</f>
        <v>2084.0720000000001</v>
      </c>
    </row>
    <row r="236" spans="1:19" x14ac:dyDescent="0.3">
      <c r="A236" t="s">
        <v>749</v>
      </c>
      <c r="B236" t="str">
        <f>_xlfn.XLOOKUP(Table7[[#This Row],[Customer ID]],Table6[Customer_ID],Table6[Store_ID])</f>
        <v>STORE7</v>
      </c>
      <c r="C236" t="str">
        <f>_xlfn.XLOOKUP(Table7[[#This Row],[Customer ID]],Table6[Customer_ID],Table6[Product_ID])</f>
        <v>PROD91</v>
      </c>
      <c r="D236" t="str">
        <f>VLOOKUP(Table7[[#This Row],[Customer ID]],Table4[#All],2,FALSE)</f>
        <v>Jon Ortiz</v>
      </c>
      <c r="E236">
        <f>VLOOKUP($A236,Table4[],3,FALSE)</f>
        <v>28</v>
      </c>
      <c r="F236" t="str">
        <f>VLOOKUP($A236,Table4[],4,FALSE)</f>
        <v>Female</v>
      </c>
      <c r="G236" t="str">
        <f>VLOOKUP($A236,Table4[],5,FALSE)</f>
        <v>South Angelaport</v>
      </c>
      <c r="H236" t="str">
        <f>VLOOKUP($A236,Table4[],6,FALSE)</f>
        <v>Delaware</v>
      </c>
      <c r="I236" t="str">
        <f>VLOOKUP($A236,Table4[],8,FALSE)</f>
        <v>Bronze</v>
      </c>
      <c r="J236" t="str">
        <f>VLOOKUP($C236,Table1[],2,FALSE)</f>
        <v>Women's High Heels</v>
      </c>
      <c r="K236" t="str">
        <f>VLOOKUP($C236,Table1[],3,FALSE)</f>
        <v>Clothing</v>
      </c>
      <c r="L236" t="str">
        <f>VLOOKUP($C236,Table1[],4,FALSE)</f>
        <v>Footwear</v>
      </c>
      <c r="M236" t="str">
        <f>VLOOKUP($C236,Table1[],5,FALSE)</f>
        <v>Smith-Charles</v>
      </c>
      <c r="N236">
        <f>VLOOKUP($C236,Table1[],6,FALSE)</f>
        <v>438.25</v>
      </c>
      <c r="O236">
        <f>VLOOKUP($C236,Table1[],7,FALSE)</f>
        <v>496</v>
      </c>
      <c r="P236" t="str">
        <f>_xlfn.XLOOKUP($B236,Table3[Store_ID],Table3[Store_Name])</f>
        <v>Martinez-Mullins</v>
      </c>
      <c r="Q236" t="str" cm="1">
        <f t="array" ref="Q236">_xlfn.XLOOKUP($B236,Store_Dim!$A$2:$A$21,Table3[Region])</f>
        <v>South</v>
      </c>
      <c r="R236" t="str" cm="1">
        <f t="array" ref="R236">_xlfn.XLOOKUP($B236,Store_Dim!$A$2:$A$21,Table3[Store_Type])</f>
        <v>Online</v>
      </c>
      <c r="S236">
        <f>VLOOKUP(Table7[[#This Row],[Customer ID]],Table6[[Customer_ID]:[Total_Amount]],8,FALSE)</f>
        <v>929.02079999999989</v>
      </c>
    </row>
    <row r="237" spans="1:19" x14ac:dyDescent="0.3">
      <c r="A237" t="s">
        <v>752</v>
      </c>
      <c r="B237" t="str">
        <f>_xlfn.XLOOKUP(Table7[[#This Row],[Customer ID]],Table6[Customer_ID],Table6[Store_ID])</f>
        <v>STORE14</v>
      </c>
      <c r="C237" t="str">
        <f>_xlfn.XLOOKUP(Table7[[#This Row],[Customer ID]],Table6[Customer_ID],Table6[Product_ID])</f>
        <v>PROD16</v>
      </c>
      <c r="D237" t="str">
        <f>VLOOKUP(Table7[[#This Row],[Customer ID]],Table4[#All],2,FALSE)</f>
        <v>Joshua Wilson</v>
      </c>
      <c r="E237">
        <f>VLOOKUP($A237,Table4[],3,FALSE)</f>
        <v>42</v>
      </c>
      <c r="F237" t="str">
        <f>VLOOKUP($A237,Table4[],4,FALSE)</f>
        <v>Female</v>
      </c>
      <c r="G237" t="str">
        <f>VLOOKUP($A237,Table4[],5,FALSE)</f>
        <v>North Larryport</v>
      </c>
      <c r="H237" t="str">
        <f>VLOOKUP($A237,Table4[],6,FALSE)</f>
        <v>Virginia</v>
      </c>
      <c r="I237" t="str">
        <f>VLOOKUP($A237,Table4[],8,FALSE)</f>
        <v>Bronze</v>
      </c>
      <c r="J237" t="str">
        <f>VLOOKUP($C237,Table1[],2,FALSE)</f>
        <v>Beard Grooming Kit</v>
      </c>
      <c r="K237" t="str">
        <f>VLOOKUP($C237,Table1[],3,FALSE)</f>
        <v>Beauty</v>
      </c>
      <c r="L237" t="str">
        <f>VLOOKUP($C237,Table1[],4,FALSE)</f>
        <v>Grooming</v>
      </c>
      <c r="M237" t="str">
        <f>VLOOKUP($C237,Table1[],5,FALSE)</f>
        <v>Erickson-Green</v>
      </c>
      <c r="N237">
        <f>VLOOKUP($C237,Table1[],6,FALSE)</f>
        <v>337.42</v>
      </c>
      <c r="O237">
        <f>VLOOKUP($C237,Table1[],7,FALSE)</f>
        <v>256</v>
      </c>
      <c r="P237" t="str">
        <f>_xlfn.XLOOKUP($B237,Table3[Store_ID],Table3[Store_Name])</f>
        <v>Mcdonald Inc</v>
      </c>
      <c r="Q237" t="str" cm="1">
        <f t="array" ref="Q237">_xlfn.XLOOKUP($B237,Store_Dim!$A$2:$A$21,Table3[Region])</f>
        <v>South</v>
      </c>
      <c r="R237" t="str" cm="1">
        <f t="array" ref="R237">_xlfn.XLOOKUP($B237,Store_Dim!$A$2:$A$21,Table3[Store_Type])</f>
        <v>Outlet</v>
      </c>
      <c r="S237">
        <f>VLOOKUP(Table7[[#This Row],[Customer ID]],Table6[[Customer_ID]:[Total_Amount]],8,FALSE)</f>
        <v>2801.768</v>
      </c>
    </row>
    <row r="238" spans="1:19" x14ac:dyDescent="0.3">
      <c r="A238" t="s">
        <v>755</v>
      </c>
      <c r="B238" t="str">
        <f>_xlfn.XLOOKUP(Table7[[#This Row],[Customer ID]],Table6[Customer_ID],Table6[Store_ID])</f>
        <v>STORE4</v>
      </c>
      <c r="C238" t="str">
        <f>_xlfn.XLOOKUP(Table7[[#This Row],[Customer ID]],Table6[Customer_ID],Table6[Product_ID])</f>
        <v>PROD88</v>
      </c>
      <c r="D238" t="str">
        <f>VLOOKUP(Table7[[#This Row],[Customer ID]],Table4[#All],2,FALSE)</f>
        <v>Wesley Short</v>
      </c>
      <c r="E238">
        <f>VLOOKUP($A238,Table4[],3,FALSE)</f>
        <v>41</v>
      </c>
      <c r="F238" t="str">
        <f>VLOOKUP($A238,Table4[],4,FALSE)</f>
        <v>Female</v>
      </c>
      <c r="G238" t="str">
        <f>VLOOKUP($A238,Table4[],5,FALSE)</f>
        <v>Susanstad</v>
      </c>
      <c r="H238" t="str">
        <f>VLOOKUP($A238,Table4[],6,FALSE)</f>
        <v>Montana</v>
      </c>
      <c r="I238" t="str">
        <f>VLOOKUP($A238,Table4[],8,FALSE)</f>
        <v>Gold</v>
      </c>
      <c r="J238" t="str">
        <f>VLOOKUP($C238,Table1[],2,FALSE)</f>
        <v>Sports Wrist Sweatbands</v>
      </c>
      <c r="K238" t="str">
        <f>VLOOKUP($C238,Table1[],3,FALSE)</f>
        <v>Sports</v>
      </c>
      <c r="L238" t="str">
        <f>VLOOKUP($C238,Table1[],4,FALSE)</f>
        <v>Accessories</v>
      </c>
      <c r="M238" t="str">
        <f>VLOOKUP($C238,Table1[],5,FALSE)</f>
        <v>Olsen-Daniels</v>
      </c>
      <c r="N238">
        <f>VLOOKUP($C238,Table1[],6,FALSE)</f>
        <v>131.24</v>
      </c>
      <c r="O238">
        <f>VLOOKUP($C238,Table1[],7,FALSE)</f>
        <v>232</v>
      </c>
      <c r="P238" t="str">
        <f>_xlfn.XLOOKUP($B238,Table3[Store_ID],Table3[Store_Name])</f>
        <v>Alexander Group</v>
      </c>
      <c r="Q238" t="str" cm="1">
        <f t="array" ref="Q238">_xlfn.XLOOKUP($B238,Store_Dim!$A$2:$A$21,Table3[Region])</f>
        <v>South</v>
      </c>
      <c r="R238" t="str" cm="1">
        <f t="array" ref="R238">_xlfn.XLOOKUP($B238,Store_Dim!$A$2:$A$21,Table3[Store_Type])</f>
        <v>Online</v>
      </c>
      <c r="S238">
        <f>VLOOKUP(Table7[[#This Row],[Customer ID]],Table6[[Customer_ID]:[Total_Amount]],8,FALSE)</f>
        <v>2552.5367999999999</v>
      </c>
    </row>
    <row r="239" spans="1:19" x14ac:dyDescent="0.3">
      <c r="A239" t="s">
        <v>758</v>
      </c>
      <c r="B239" t="str">
        <f>_xlfn.XLOOKUP(Table7[[#This Row],[Customer ID]],Table6[Customer_ID],Table6[Store_ID])</f>
        <v>STORE18</v>
      </c>
      <c r="C239" t="str">
        <f>_xlfn.XLOOKUP(Table7[[#This Row],[Customer ID]],Table6[Customer_ID],Table6[Product_ID])</f>
        <v>PROD43</v>
      </c>
      <c r="D239" t="str">
        <f>VLOOKUP(Table7[[#This Row],[Customer ID]],Table4[#All],2,FALSE)</f>
        <v>Steven Smith</v>
      </c>
      <c r="E239">
        <f>VLOOKUP($A239,Table4[],3,FALSE)</f>
        <v>40</v>
      </c>
      <c r="F239" t="str">
        <f>VLOOKUP($A239,Table4[],4,FALSE)</f>
        <v>Male</v>
      </c>
      <c r="G239" t="str">
        <f>VLOOKUP($A239,Table4[],5,FALSE)</f>
        <v>Port Krista</v>
      </c>
      <c r="H239" t="str">
        <f>VLOOKUP($A239,Table4[],6,FALSE)</f>
        <v>West Virginia</v>
      </c>
      <c r="I239" t="str">
        <f>VLOOKUP($A239,Table4[],8,FALSE)</f>
        <v>Platinum</v>
      </c>
      <c r="J239" t="str">
        <f>VLOOKUP($C239,Table1[],2,FALSE)</f>
        <v>USB External Hard Drive</v>
      </c>
      <c r="K239" t="str">
        <f>VLOOKUP($C239,Table1[],3,FALSE)</f>
        <v>Electronics</v>
      </c>
      <c r="L239" t="str">
        <f>VLOOKUP($C239,Table1[],4,FALSE)</f>
        <v>Computer</v>
      </c>
      <c r="M239" t="str">
        <f>VLOOKUP($C239,Table1[],5,FALSE)</f>
        <v>Robinson Inc</v>
      </c>
      <c r="N239">
        <f>VLOOKUP($C239,Table1[],6,FALSE)</f>
        <v>253.33</v>
      </c>
      <c r="O239">
        <f>VLOOKUP($C239,Table1[],7,FALSE)</f>
        <v>266</v>
      </c>
      <c r="P239" t="str">
        <f>_xlfn.XLOOKUP($B239,Table3[Store_ID],Table3[Store_Name])</f>
        <v>Guerrero-Schmitt</v>
      </c>
      <c r="Q239" t="str" cm="1">
        <f t="array" ref="Q239">_xlfn.XLOOKUP($B239,Store_Dim!$A$2:$A$21,Table3[Region])</f>
        <v>East</v>
      </c>
      <c r="R239" t="str" cm="1">
        <f t="array" ref="R239">_xlfn.XLOOKUP($B239,Store_Dim!$A$2:$A$21,Table3[Store_Type])</f>
        <v>Flagship</v>
      </c>
      <c r="S239">
        <f>VLOOKUP(Table7[[#This Row],[Customer ID]],Table6[[Customer_ID]:[Total_Amount]],8,FALSE)</f>
        <v>3745.8047999999999</v>
      </c>
    </row>
    <row r="240" spans="1:19" x14ac:dyDescent="0.3">
      <c r="A240" t="s">
        <v>761</v>
      </c>
      <c r="B240" t="str">
        <f>_xlfn.XLOOKUP(Table7[[#This Row],[Customer ID]],Table6[Customer_ID],Table6[Store_ID])</f>
        <v>STORE13</v>
      </c>
      <c r="C240" t="str">
        <f>_xlfn.XLOOKUP(Table7[[#This Row],[Customer ID]],Table6[Customer_ID],Table6[Product_ID])</f>
        <v>PROD60</v>
      </c>
      <c r="D240" t="str">
        <f>VLOOKUP(Table7[[#This Row],[Customer ID]],Table4[#All],2,FALSE)</f>
        <v>Maria Hill</v>
      </c>
      <c r="E240">
        <f>VLOOKUP($A240,Table4[],3,FALSE)</f>
        <v>58</v>
      </c>
      <c r="F240" t="str">
        <f>VLOOKUP($A240,Table4[],4,FALSE)</f>
        <v>Female</v>
      </c>
      <c r="G240" t="str">
        <f>VLOOKUP($A240,Table4[],5,FALSE)</f>
        <v>Zamoraborough</v>
      </c>
      <c r="H240" t="str">
        <f>VLOOKUP($A240,Table4[],6,FALSE)</f>
        <v>Nevada</v>
      </c>
      <c r="I240" t="str">
        <f>VLOOKUP($A240,Table4[],8,FALSE)</f>
        <v>Platinum</v>
      </c>
      <c r="J240" t="str">
        <f>VLOOKUP($C240,Table1[],2,FALSE)</f>
        <v>Luxury Perfume Spray</v>
      </c>
      <c r="K240" t="str">
        <f>VLOOKUP($C240,Table1[],3,FALSE)</f>
        <v>Beauty</v>
      </c>
      <c r="L240" t="str">
        <f>VLOOKUP($C240,Table1[],4,FALSE)</f>
        <v>Fragrance</v>
      </c>
      <c r="M240" t="str">
        <f>VLOOKUP($C240,Table1[],5,FALSE)</f>
        <v>Gibson, Green and Lopez</v>
      </c>
      <c r="N240">
        <f>VLOOKUP($C240,Table1[],6,FALSE)</f>
        <v>482.75</v>
      </c>
      <c r="O240">
        <f>VLOOKUP($C240,Table1[],7,FALSE)</f>
        <v>444</v>
      </c>
      <c r="P240" t="str">
        <f>_xlfn.XLOOKUP($B240,Table3[Store_ID],Table3[Store_Name])</f>
        <v>Gardner, Humphrey and Contreras</v>
      </c>
      <c r="Q240" t="str" cm="1">
        <f t="array" ref="Q240">_xlfn.XLOOKUP($B240,Store_Dim!$A$2:$A$21,Table3[Region])</f>
        <v>East</v>
      </c>
      <c r="R240" t="str" cm="1">
        <f t="array" ref="R240">_xlfn.XLOOKUP($B240,Store_Dim!$A$2:$A$21,Table3[Store_Type])</f>
        <v>Flagship</v>
      </c>
      <c r="S240">
        <f>VLOOKUP(Table7[[#This Row],[Customer ID]],Table6[[Customer_ID]:[Total_Amount]],8,FALSE)</f>
        <v>1782.4512</v>
      </c>
    </row>
    <row r="241" spans="1:19" x14ac:dyDescent="0.3">
      <c r="A241" t="s">
        <v>764</v>
      </c>
      <c r="B241" t="str">
        <f>_xlfn.XLOOKUP(Table7[[#This Row],[Customer ID]],Table6[Customer_ID],Table6[Store_ID])</f>
        <v>STORE18</v>
      </c>
      <c r="C241" t="str">
        <f>_xlfn.XLOOKUP(Table7[[#This Row],[Customer ID]],Table6[Customer_ID],Table6[Product_ID])</f>
        <v>PROD92</v>
      </c>
      <c r="D241" t="str">
        <f>VLOOKUP(Table7[[#This Row],[Customer ID]],Table4[#All],2,FALSE)</f>
        <v>William Hull</v>
      </c>
      <c r="E241">
        <f>VLOOKUP($A241,Table4[],3,FALSE)</f>
        <v>59</v>
      </c>
      <c r="F241" t="str">
        <f>VLOOKUP($A241,Table4[],4,FALSE)</f>
        <v>Female</v>
      </c>
      <c r="G241" t="str">
        <f>VLOOKUP($A241,Table4[],5,FALSE)</f>
        <v>Heathfort</v>
      </c>
      <c r="H241" t="str">
        <f>VLOOKUP($A241,Table4[],6,FALSE)</f>
        <v>Michigan</v>
      </c>
      <c r="I241" t="str">
        <f>VLOOKUP($A241,Table4[],8,FALSE)</f>
        <v>Platinum</v>
      </c>
      <c r="J241" t="str">
        <f>VLOOKUP($C241,Table1[],2,FALSE)</f>
        <v>Microwave Oven</v>
      </c>
      <c r="K241" t="str">
        <f>VLOOKUP($C241,Table1[],3,FALSE)</f>
        <v>Home</v>
      </c>
      <c r="L241" t="str">
        <f>VLOOKUP($C241,Table1[],4,FALSE)</f>
        <v>Appliances</v>
      </c>
      <c r="M241" t="str">
        <f>VLOOKUP($C241,Table1[],5,FALSE)</f>
        <v>Green, Powell and Palmer</v>
      </c>
      <c r="N241">
        <f>VLOOKUP($C241,Table1[],6,FALSE)</f>
        <v>447.43</v>
      </c>
      <c r="O241">
        <f>VLOOKUP($C241,Table1[],7,FALSE)</f>
        <v>191</v>
      </c>
      <c r="P241" t="str">
        <f>_xlfn.XLOOKUP($B241,Table3[Store_ID],Table3[Store_Name])</f>
        <v>Guerrero-Schmitt</v>
      </c>
      <c r="Q241" t="str" cm="1">
        <f t="array" ref="Q241">_xlfn.XLOOKUP($B241,Store_Dim!$A$2:$A$21,Table3[Region])</f>
        <v>East</v>
      </c>
      <c r="R241" t="str" cm="1">
        <f t="array" ref="R241">_xlfn.XLOOKUP($B241,Store_Dim!$A$2:$A$21,Table3[Store_Type])</f>
        <v>Flagship</v>
      </c>
      <c r="S241">
        <f>VLOOKUP(Table7[[#This Row],[Customer ID]],Table6[[Customer_ID]:[Total_Amount]],8,FALSE)</f>
        <v>403.06560000000002</v>
      </c>
    </row>
    <row r="242" spans="1:19" x14ac:dyDescent="0.3">
      <c r="A242" t="s">
        <v>767</v>
      </c>
      <c r="B242" t="str">
        <f>_xlfn.XLOOKUP(Table7[[#This Row],[Customer ID]],Table6[Customer_ID],Table6[Store_ID])</f>
        <v>STORE15</v>
      </c>
      <c r="C242" t="str">
        <f>_xlfn.XLOOKUP(Table7[[#This Row],[Customer ID]],Table6[Customer_ID],Table6[Product_ID])</f>
        <v>PROD15</v>
      </c>
      <c r="D242" t="str">
        <f>VLOOKUP(Table7[[#This Row],[Customer ID]],Table4[#All],2,FALSE)</f>
        <v>Mr. William Horton</v>
      </c>
      <c r="E242">
        <f>VLOOKUP($A242,Table4[],3,FALSE)</f>
        <v>31</v>
      </c>
      <c r="F242" t="str">
        <f>VLOOKUP($A242,Table4[],4,FALSE)</f>
        <v>Male</v>
      </c>
      <c r="G242" t="str">
        <f>VLOOKUP($A242,Table4[],5,FALSE)</f>
        <v>Dawsonchester</v>
      </c>
      <c r="H242" t="str">
        <f>VLOOKUP($A242,Table4[],6,FALSE)</f>
        <v>Virginia</v>
      </c>
      <c r="I242" t="str">
        <f>VLOOKUP($A242,Table4[],8,FALSE)</f>
        <v>Platinum</v>
      </c>
      <c r="J242" t="str">
        <f>VLOOKUP($C242,Table1[],2,FALSE)</f>
        <v>4K Home Projector</v>
      </c>
      <c r="K242" t="str">
        <f>VLOOKUP($C242,Table1[],3,FALSE)</f>
        <v>Electronics</v>
      </c>
      <c r="L242" t="str">
        <f>VLOOKUP($C242,Table1[],4,FALSE)</f>
        <v>Appliances</v>
      </c>
      <c r="M242" t="str">
        <f>VLOOKUP($C242,Table1[],5,FALSE)</f>
        <v>Thomas LLC</v>
      </c>
      <c r="N242">
        <f>VLOOKUP($C242,Table1[],6,FALSE)</f>
        <v>465.34</v>
      </c>
      <c r="O242">
        <f>VLOOKUP($C242,Table1[],7,FALSE)</f>
        <v>301</v>
      </c>
      <c r="P242" t="str">
        <f>_xlfn.XLOOKUP($B242,Table3[Store_ID],Table3[Store_Name])</f>
        <v>Shelton PLC</v>
      </c>
      <c r="Q242" t="str" cm="1">
        <f t="array" ref="Q242">_xlfn.XLOOKUP($B242,Store_Dim!$A$2:$A$21,Table3[Region])</f>
        <v>North</v>
      </c>
      <c r="R242" t="str" cm="1">
        <f t="array" ref="R242">_xlfn.XLOOKUP($B242,Store_Dim!$A$2:$A$21,Table3[Store_Type])</f>
        <v>Flagship</v>
      </c>
      <c r="S242">
        <f>VLOOKUP(Table7[[#This Row],[Customer ID]],Table6[[Customer_ID]:[Total_Amount]],8,FALSE)</f>
        <v>1492.7882</v>
      </c>
    </row>
    <row r="243" spans="1:19" x14ac:dyDescent="0.3">
      <c r="A243" t="s">
        <v>770</v>
      </c>
      <c r="B243" t="str">
        <f>_xlfn.XLOOKUP(Table7[[#This Row],[Customer ID]],Table6[Customer_ID],Table6[Store_ID])</f>
        <v>STORE4</v>
      </c>
      <c r="C243" t="str">
        <f>_xlfn.XLOOKUP(Table7[[#This Row],[Customer ID]],Table6[Customer_ID],Table6[Product_ID])</f>
        <v>PROD81</v>
      </c>
      <c r="D243" t="str">
        <f>VLOOKUP(Table7[[#This Row],[Customer ID]],Table4[#All],2,FALSE)</f>
        <v>William Jackson</v>
      </c>
      <c r="E243">
        <f>VLOOKUP($A243,Table4[],3,FALSE)</f>
        <v>58</v>
      </c>
      <c r="F243" t="str">
        <f>VLOOKUP($A243,Table4[],4,FALSE)</f>
        <v>Female</v>
      </c>
      <c r="G243" t="str">
        <f>VLOOKUP($A243,Table4[],5,FALSE)</f>
        <v>New Tina</v>
      </c>
      <c r="H243" t="str">
        <f>VLOOKUP($A243,Table4[],6,FALSE)</f>
        <v>Connecticut</v>
      </c>
      <c r="I243" t="str">
        <f>VLOOKUP($A243,Table4[],8,FALSE)</f>
        <v>Silver</v>
      </c>
      <c r="J243" t="str">
        <f>VLOOKUP($C243,Table1[],2,FALSE)</f>
        <v>Badminton Racket Set</v>
      </c>
      <c r="K243" t="str">
        <f>VLOOKUP($C243,Table1[],3,FALSE)</f>
        <v>Sports</v>
      </c>
      <c r="L243" t="str">
        <f>VLOOKUP($C243,Table1[],4,FALSE)</f>
        <v>Equipment</v>
      </c>
      <c r="M243" t="str">
        <f>VLOOKUP($C243,Table1[],5,FALSE)</f>
        <v>Robinson-Brown</v>
      </c>
      <c r="N243">
        <f>VLOOKUP($C243,Table1[],6,FALSE)</f>
        <v>285.54000000000002</v>
      </c>
      <c r="O243">
        <f>VLOOKUP($C243,Table1[],7,FALSE)</f>
        <v>358</v>
      </c>
      <c r="P243" t="str">
        <f>_xlfn.XLOOKUP($B243,Table3[Store_ID],Table3[Store_Name])</f>
        <v>Alexander Group</v>
      </c>
      <c r="Q243" t="str" cm="1">
        <f t="array" ref="Q243">_xlfn.XLOOKUP($B243,Store_Dim!$A$2:$A$21,Table3[Region])</f>
        <v>South</v>
      </c>
      <c r="R243" t="str" cm="1">
        <f t="array" ref="R243">_xlfn.XLOOKUP($B243,Store_Dim!$A$2:$A$21,Table3[Store_Type])</f>
        <v>Online</v>
      </c>
      <c r="S243">
        <f>VLOOKUP(Table7[[#This Row],[Customer ID]],Table6[[Customer_ID]:[Total_Amount]],8,FALSE)</f>
        <v>3756.8876</v>
      </c>
    </row>
    <row r="244" spans="1:19" x14ac:dyDescent="0.3">
      <c r="A244" t="s">
        <v>773</v>
      </c>
      <c r="B244" t="str">
        <f>_xlfn.XLOOKUP(Table7[[#This Row],[Customer ID]],Table6[Customer_ID],Table6[Store_ID])</f>
        <v>STORE19</v>
      </c>
      <c r="C244" t="str">
        <f>_xlfn.XLOOKUP(Table7[[#This Row],[Customer ID]],Table6[Customer_ID],Table6[Product_ID])</f>
        <v>PROD69</v>
      </c>
      <c r="D244" t="str">
        <f>VLOOKUP(Table7[[#This Row],[Customer ID]],Table4[#All],2,FALSE)</f>
        <v>Brian Hammond</v>
      </c>
      <c r="E244">
        <f>VLOOKUP($A244,Table4[],3,FALSE)</f>
        <v>56</v>
      </c>
      <c r="F244" t="str">
        <f>VLOOKUP($A244,Table4[],4,FALSE)</f>
        <v>Female</v>
      </c>
      <c r="G244" t="str">
        <f>VLOOKUP($A244,Table4[],5,FALSE)</f>
        <v>North Nicholas</v>
      </c>
      <c r="H244" t="str">
        <f>VLOOKUP($A244,Table4[],6,FALSE)</f>
        <v>Texas</v>
      </c>
      <c r="I244" t="str">
        <f>VLOOKUP($A244,Table4[],8,FALSE)</f>
        <v>Gold</v>
      </c>
      <c r="J244" t="str">
        <f>VLOOKUP($C244,Table1[],2,FALSE)</f>
        <v>Men's Sports Shorts</v>
      </c>
      <c r="K244" t="str">
        <f>VLOOKUP($C244,Table1[],3,FALSE)</f>
        <v>Clothing</v>
      </c>
      <c r="L244" t="str">
        <f>VLOOKUP($C244,Table1[],4,FALSE)</f>
        <v>Bottoms</v>
      </c>
      <c r="M244" t="str">
        <f>VLOOKUP($C244,Table1[],5,FALSE)</f>
        <v>Fitzpatrick Ltd</v>
      </c>
      <c r="N244">
        <f>VLOOKUP($C244,Table1[],6,FALSE)</f>
        <v>218.22</v>
      </c>
      <c r="O244">
        <f>VLOOKUP($C244,Table1[],7,FALSE)</f>
        <v>224</v>
      </c>
      <c r="P244" t="str">
        <f>_xlfn.XLOOKUP($B244,Table3[Store_ID],Table3[Store_Name])</f>
        <v>Mann-Austin</v>
      </c>
      <c r="Q244" t="str" cm="1">
        <f t="array" ref="Q244">_xlfn.XLOOKUP($B244,Store_Dim!$A$2:$A$21,Table3[Region])</f>
        <v>East</v>
      </c>
      <c r="R244" t="str" cm="1">
        <f t="array" ref="R244">_xlfn.XLOOKUP($B244,Store_Dim!$A$2:$A$21,Table3[Store_Type])</f>
        <v>Online</v>
      </c>
      <c r="S244">
        <f>VLOOKUP(Table7[[#This Row],[Customer ID]],Table6[[Customer_ID]:[Total_Amount]],8,FALSE)</f>
        <v>193.55719999999999</v>
      </c>
    </row>
    <row r="245" spans="1:19" x14ac:dyDescent="0.3">
      <c r="A245" t="s">
        <v>776</v>
      </c>
      <c r="B245" t="str">
        <f>_xlfn.XLOOKUP(Table7[[#This Row],[Customer ID]],Table6[Customer_ID],Table6[Store_ID])</f>
        <v>STORE10</v>
      </c>
      <c r="C245" t="str">
        <f>_xlfn.XLOOKUP(Table7[[#This Row],[Customer ID]],Table6[Customer_ID],Table6[Product_ID])</f>
        <v>PROD50</v>
      </c>
      <c r="D245" t="str">
        <f>VLOOKUP(Table7[[#This Row],[Customer ID]],Table4[#All],2,FALSE)</f>
        <v>Nancy Page</v>
      </c>
      <c r="E245">
        <f>VLOOKUP($A245,Table4[],3,FALSE)</f>
        <v>19</v>
      </c>
      <c r="F245" t="str">
        <f>VLOOKUP($A245,Table4[],4,FALSE)</f>
        <v>Male</v>
      </c>
      <c r="G245" t="str">
        <f>VLOOKUP($A245,Table4[],5,FALSE)</f>
        <v>West Julia</v>
      </c>
      <c r="H245" t="str">
        <f>VLOOKUP($A245,Table4[],6,FALSE)</f>
        <v>Utah</v>
      </c>
      <c r="I245" t="str">
        <f>VLOOKUP($A245,Table4[],8,FALSE)</f>
        <v>Bronze</v>
      </c>
      <c r="J245" t="str">
        <f>VLOOKUP($C245,Table1[],2,FALSE)</f>
        <v>Boxing Hand Wraps</v>
      </c>
      <c r="K245" t="str">
        <f>VLOOKUP($C245,Table1[],3,FALSE)</f>
        <v>Sports</v>
      </c>
      <c r="L245" t="str">
        <f>VLOOKUP($C245,Table1[],4,FALSE)</f>
        <v>Fitness</v>
      </c>
      <c r="M245" t="str">
        <f>VLOOKUP($C245,Table1[],5,FALSE)</f>
        <v>Smith-King</v>
      </c>
      <c r="N245">
        <f>VLOOKUP($C245,Table1[],6,FALSE)</f>
        <v>190.29</v>
      </c>
      <c r="O245">
        <f>VLOOKUP($C245,Table1[],7,FALSE)</f>
        <v>260</v>
      </c>
      <c r="P245" t="str">
        <f>_xlfn.XLOOKUP($B245,Table3[Store_ID],Table3[Store_Name])</f>
        <v>Hill, Wagner and Ballard</v>
      </c>
      <c r="Q245" t="str" cm="1">
        <f t="array" ref="Q245">_xlfn.XLOOKUP($B245,Store_Dim!$A$2:$A$21,Table3[Region])</f>
        <v>East</v>
      </c>
      <c r="R245" t="str" cm="1">
        <f t="array" ref="R245">_xlfn.XLOOKUP($B245,Store_Dim!$A$2:$A$21,Table3[Store_Type])</f>
        <v>Online</v>
      </c>
      <c r="S245">
        <f>VLOOKUP(Table7[[#This Row],[Customer ID]],Table6[[Customer_ID]:[Total_Amount]],8,FALSE)</f>
        <v>792.32599999999991</v>
      </c>
    </row>
    <row r="246" spans="1:19" x14ac:dyDescent="0.3">
      <c r="A246" t="s">
        <v>779</v>
      </c>
      <c r="B246" t="str">
        <f>_xlfn.XLOOKUP(Table7[[#This Row],[Customer ID]],Table6[Customer_ID],Table6[Store_ID])</f>
        <v>STORE9</v>
      </c>
      <c r="C246" t="str">
        <f>_xlfn.XLOOKUP(Table7[[#This Row],[Customer ID]],Table6[Customer_ID],Table6[Product_ID])</f>
        <v>PROD39</v>
      </c>
      <c r="D246" t="str">
        <f>VLOOKUP(Table7[[#This Row],[Customer ID]],Table4[#All],2,FALSE)</f>
        <v>Laura Soto</v>
      </c>
      <c r="E246">
        <f>VLOOKUP($A246,Table4[],3,FALSE)</f>
        <v>57</v>
      </c>
      <c r="F246" t="str">
        <f>VLOOKUP($A246,Table4[],4,FALSE)</f>
        <v>Female</v>
      </c>
      <c r="G246" t="str">
        <f>VLOOKUP($A246,Table4[],5,FALSE)</f>
        <v>Rodriguezton</v>
      </c>
      <c r="H246" t="str">
        <f>VLOOKUP($A246,Table4[],6,FALSE)</f>
        <v>Michigan</v>
      </c>
      <c r="I246" t="str">
        <f>VLOOKUP($A246,Table4[],8,FALSE)</f>
        <v>Platinum</v>
      </c>
      <c r="J246" t="str">
        <f>VLOOKUP($C246,Table1[],2,FALSE)</f>
        <v>Portable Power Bank</v>
      </c>
      <c r="K246" t="str">
        <f>VLOOKUP($C246,Table1[],3,FALSE)</f>
        <v>Electronics</v>
      </c>
      <c r="L246" t="str">
        <f>VLOOKUP($C246,Table1[],4,FALSE)</f>
        <v>Mobile</v>
      </c>
      <c r="M246" t="str">
        <f>VLOOKUP($C246,Table1[],5,FALSE)</f>
        <v>Cummings and Sons</v>
      </c>
      <c r="N246">
        <f>VLOOKUP($C246,Table1[],6,FALSE)</f>
        <v>326.06</v>
      </c>
      <c r="O246">
        <f>VLOOKUP($C246,Table1[],7,FALSE)</f>
        <v>301</v>
      </c>
      <c r="P246" t="str">
        <f>_xlfn.XLOOKUP($B246,Table3[Store_ID],Table3[Store_Name])</f>
        <v>Moore, Padilla and Butler</v>
      </c>
      <c r="Q246" t="str" cm="1">
        <f t="array" ref="Q246">_xlfn.XLOOKUP($B246,Store_Dim!$A$2:$A$21,Table3[Region])</f>
        <v>South</v>
      </c>
      <c r="R246" t="str" cm="1">
        <f t="array" ref="R246">_xlfn.XLOOKUP($B246,Store_Dim!$A$2:$A$21,Table3[Store_Type])</f>
        <v>Flagship</v>
      </c>
      <c r="S246">
        <f>VLOOKUP(Table7[[#This Row],[Customer ID]],Table6[[Customer_ID]:[Total_Amount]],8,FALSE)</f>
        <v>1874.787</v>
      </c>
    </row>
    <row r="247" spans="1:19" x14ac:dyDescent="0.3">
      <c r="A247" t="s">
        <v>782</v>
      </c>
      <c r="B247" t="str">
        <f>_xlfn.XLOOKUP(Table7[[#This Row],[Customer ID]],Table6[Customer_ID],Table6[Store_ID])</f>
        <v>STORE1</v>
      </c>
      <c r="C247" t="str">
        <f>_xlfn.XLOOKUP(Table7[[#This Row],[Customer ID]],Table6[Customer_ID],Table6[Product_ID])</f>
        <v>PROD72</v>
      </c>
      <c r="D247" t="str">
        <f>VLOOKUP(Table7[[#This Row],[Customer ID]],Table4[#All],2,FALSE)</f>
        <v>Mary Russell</v>
      </c>
      <c r="E247">
        <f>VLOOKUP($A247,Table4[],3,FALSE)</f>
        <v>58</v>
      </c>
      <c r="F247" t="str">
        <f>VLOOKUP($A247,Table4[],4,FALSE)</f>
        <v>Male</v>
      </c>
      <c r="G247" t="str">
        <f>VLOOKUP($A247,Table4[],5,FALSE)</f>
        <v>South Regina</v>
      </c>
      <c r="H247" t="str">
        <f>VLOOKUP($A247,Table4[],6,FALSE)</f>
        <v>Arkansas</v>
      </c>
      <c r="I247" t="str">
        <f>VLOOKUP($A247,Table4[],8,FALSE)</f>
        <v>Bronze</v>
      </c>
      <c r="J247" t="str">
        <f>VLOOKUP($C247,Table1[],2,FALSE)</f>
        <v>Professional Jump Rope</v>
      </c>
      <c r="K247" t="str">
        <f>VLOOKUP($C247,Table1[],3,FALSE)</f>
        <v>Sports</v>
      </c>
      <c r="L247" t="str">
        <f>VLOOKUP($C247,Table1[],4,FALSE)</f>
        <v>Fitness</v>
      </c>
      <c r="M247" t="str">
        <f>VLOOKUP($C247,Table1[],5,FALSE)</f>
        <v>Davis PLC</v>
      </c>
      <c r="N247">
        <f>VLOOKUP($C247,Table1[],6,FALSE)</f>
        <v>477.61</v>
      </c>
      <c r="O247">
        <f>VLOOKUP($C247,Table1[],7,FALSE)</f>
        <v>300</v>
      </c>
      <c r="P247" t="str">
        <f>_xlfn.XLOOKUP($B247,Table3[Store_ID],Table3[Store_Name])</f>
        <v>Martinez, Adkins and Johnson</v>
      </c>
      <c r="Q247" t="str" cm="1">
        <f t="array" ref="Q247">_xlfn.XLOOKUP($B247,Store_Dim!$A$2:$A$21,Table3[Region])</f>
        <v>North</v>
      </c>
      <c r="R247" t="str" cm="1">
        <f t="array" ref="R247">_xlfn.XLOOKUP($B247,Store_Dim!$A$2:$A$21,Table3[Store_Type])</f>
        <v>Flagship</v>
      </c>
      <c r="S247">
        <f>VLOOKUP(Table7[[#This Row],[Customer ID]],Table6[[Customer_ID]:[Total_Amount]],8,FALSE)</f>
        <v>2281.8532</v>
      </c>
    </row>
    <row r="248" spans="1:19" x14ac:dyDescent="0.3">
      <c r="A248" t="s">
        <v>785</v>
      </c>
      <c r="B248" t="str">
        <f>_xlfn.XLOOKUP(Table7[[#This Row],[Customer ID]],Table6[Customer_ID],Table6[Store_ID])</f>
        <v>STORE4</v>
      </c>
      <c r="C248" t="str">
        <f>_xlfn.XLOOKUP(Table7[[#This Row],[Customer ID]],Table6[Customer_ID],Table6[Product_ID])</f>
        <v>PROD10</v>
      </c>
      <c r="D248" t="str">
        <f>VLOOKUP(Table7[[#This Row],[Customer ID]],Table4[#All],2,FALSE)</f>
        <v>Douglas Rhodes</v>
      </c>
      <c r="E248">
        <f>VLOOKUP($A248,Table4[],3,FALSE)</f>
        <v>32</v>
      </c>
      <c r="F248" t="str">
        <f>VLOOKUP($A248,Table4[],4,FALSE)</f>
        <v>Male</v>
      </c>
      <c r="G248" t="str">
        <f>VLOOKUP($A248,Table4[],5,FALSE)</f>
        <v>Mikehaven</v>
      </c>
      <c r="H248" t="str">
        <f>VLOOKUP($A248,Table4[],6,FALSE)</f>
        <v>New Hampshire</v>
      </c>
      <c r="I248" t="str">
        <f>VLOOKUP($A248,Table4[],8,FALSE)</f>
        <v>Platinum</v>
      </c>
      <c r="J248" t="str">
        <f>VLOOKUP($C248,Table1[],2,FALSE)</f>
        <v>Ceramic Kitchen Bowl Set</v>
      </c>
      <c r="K248" t="str">
        <f>VLOOKUP($C248,Table1[],3,FALSE)</f>
        <v>Home</v>
      </c>
      <c r="L248" t="str">
        <f>VLOOKUP($C248,Table1[],4,FALSE)</f>
        <v>Kitchen</v>
      </c>
      <c r="M248" t="str">
        <f>VLOOKUP($C248,Table1[],5,FALSE)</f>
        <v>Hamilton Group</v>
      </c>
      <c r="N248">
        <f>VLOOKUP($C248,Table1[],6,FALSE)</f>
        <v>298.86</v>
      </c>
      <c r="O248">
        <f>VLOOKUP($C248,Table1[],7,FALSE)</f>
        <v>308</v>
      </c>
      <c r="P248" t="str">
        <f>_xlfn.XLOOKUP($B248,Table3[Store_ID],Table3[Store_Name])</f>
        <v>Alexander Group</v>
      </c>
      <c r="Q248" t="str" cm="1">
        <f t="array" ref="Q248">_xlfn.XLOOKUP($B248,Store_Dim!$A$2:$A$21,Table3[Region])</f>
        <v>South</v>
      </c>
      <c r="R248" t="str" cm="1">
        <f t="array" ref="R248">_xlfn.XLOOKUP($B248,Store_Dim!$A$2:$A$21,Table3[Store_Type])</f>
        <v>Online</v>
      </c>
      <c r="S248">
        <f>VLOOKUP(Table7[[#This Row],[Customer ID]],Table6[[Customer_ID]:[Total_Amount]],8,FALSE)</f>
        <v>629.96500000000003</v>
      </c>
    </row>
    <row r="249" spans="1:19" x14ac:dyDescent="0.3">
      <c r="A249" t="s">
        <v>788</v>
      </c>
      <c r="B249" t="str">
        <f>_xlfn.XLOOKUP(Table7[[#This Row],[Customer ID]],Table6[Customer_ID],Table6[Store_ID])</f>
        <v>STORE2</v>
      </c>
      <c r="C249" t="str">
        <f>_xlfn.XLOOKUP(Table7[[#This Row],[Customer ID]],Table6[Customer_ID],Table6[Product_ID])</f>
        <v>PROD35</v>
      </c>
      <c r="D249" t="str">
        <f>VLOOKUP(Table7[[#This Row],[Customer ID]],Table4[#All],2,FALSE)</f>
        <v>Nicholas Webb</v>
      </c>
      <c r="E249">
        <f>VLOOKUP($A249,Table4[],3,FALSE)</f>
        <v>19</v>
      </c>
      <c r="F249" t="str">
        <f>VLOOKUP($A249,Table4[],4,FALSE)</f>
        <v>Male</v>
      </c>
      <c r="G249" t="str">
        <f>VLOOKUP($A249,Table4[],5,FALSE)</f>
        <v>Lake Timothy</v>
      </c>
      <c r="H249" t="str">
        <f>VLOOKUP($A249,Table4[],6,FALSE)</f>
        <v>Nevada</v>
      </c>
      <c r="I249" t="str">
        <f>VLOOKUP($A249,Table4[],8,FALSE)</f>
        <v>Gold</v>
      </c>
      <c r="J249" t="str">
        <f>VLOOKUP($C249,Table1[],2,FALSE)</f>
        <v>Bedroom Table Lamp</v>
      </c>
      <c r="K249" t="str">
        <f>VLOOKUP($C249,Table1[],3,FALSE)</f>
        <v>Home</v>
      </c>
      <c r="L249" t="str">
        <f>VLOOKUP($C249,Table1[],4,FALSE)</f>
        <v>Lighting</v>
      </c>
      <c r="M249" t="str">
        <f>VLOOKUP($C249,Table1[],5,FALSE)</f>
        <v>Jones LLC</v>
      </c>
      <c r="N249">
        <f>VLOOKUP($C249,Table1[],6,FALSE)</f>
        <v>382.22</v>
      </c>
      <c r="O249">
        <f>VLOOKUP($C249,Table1[],7,FALSE)</f>
        <v>329</v>
      </c>
      <c r="P249" t="str">
        <f>_xlfn.XLOOKUP($B249,Table3[Store_ID],Table3[Store_Name])</f>
        <v>Black-Horn</v>
      </c>
      <c r="Q249" t="str" cm="1">
        <f t="array" ref="Q249">_xlfn.XLOOKUP($B249,Store_Dim!$A$2:$A$21,Table3[Region])</f>
        <v>South</v>
      </c>
      <c r="R249" t="str" cm="1">
        <f t="array" ref="R249">_xlfn.XLOOKUP($B249,Store_Dim!$A$2:$A$21,Table3[Store_Type])</f>
        <v>Outlet</v>
      </c>
      <c r="S249">
        <f>VLOOKUP(Table7[[#This Row],[Customer ID]],Table6[[Customer_ID]:[Total_Amount]],8,FALSE)</f>
        <v>589.798</v>
      </c>
    </row>
    <row r="250" spans="1:19" x14ac:dyDescent="0.3">
      <c r="A250" t="s">
        <v>791</v>
      </c>
      <c r="B250" t="str">
        <f>_xlfn.XLOOKUP(Table7[[#This Row],[Customer ID]],Table6[Customer_ID],Table6[Store_ID])</f>
        <v>STORE10</v>
      </c>
      <c r="C250" t="str">
        <f>_xlfn.XLOOKUP(Table7[[#This Row],[Customer ID]],Table6[Customer_ID],Table6[Product_ID])</f>
        <v>PROD19</v>
      </c>
      <c r="D250" t="str">
        <f>VLOOKUP(Table7[[#This Row],[Customer ID]],Table4[#All],2,FALSE)</f>
        <v>Lauren George</v>
      </c>
      <c r="E250">
        <f>VLOOKUP($A250,Table4[],3,FALSE)</f>
        <v>41</v>
      </c>
      <c r="F250" t="str">
        <f>VLOOKUP($A250,Table4[],4,FALSE)</f>
        <v>Female</v>
      </c>
      <c r="G250" t="str">
        <f>VLOOKUP($A250,Table4[],5,FALSE)</f>
        <v>Garciamouth</v>
      </c>
      <c r="H250" t="str">
        <f>VLOOKUP($A250,Table4[],6,FALSE)</f>
        <v>New York</v>
      </c>
      <c r="I250" t="str">
        <f>VLOOKUP($A250,Table4[],8,FALSE)</f>
        <v>Gold</v>
      </c>
      <c r="J250" t="str">
        <f>VLOOKUP($C250,Table1[],2,FALSE)</f>
        <v>Knee Support Brace</v>
      </c>
      <c r="K250" t="str">
        <f>VLOOKUP($C250,Table1[],3,FALSE)</f>
        <v>Sports</v>
      </c>
      <c r="L250" t="str">
        <f>VLOOKUP($C250,Table1[],4,FALSE)</f>
        <v>Equipment</v>
      </c>
      <c r="M250" t="str">
        <f>VLOOKUP($C250,Table1[],5,FALSE)</f>
        <v>May-Reese</v>
      </c>
      <c r="N250">
        <f>VLOOKUP($C250,Table1[],6,FALSE)</f>
        <v>21.34</v>
      </c>
      <c r="O250">
        <f>VLOOKUP($C250,Table1[],7,FALSE)</f>
        <v>65</v>
      </c>
      <c r="P250" t="str">
        <f>_xlfn.XLOOKUP($B250,Table3[Store_ID],Table3[Store_Name])</f>
        <v>Hill, Wagner and Ballard</v>
      </c>
      <c r="Q250" t="str" cm="1">
        <f t="array" ref="Q250">_xlfn.XLOOKUP($B250,Store_Dim!$A$2:$A$21,Table3[Region])</f>
        <v>East</v>
      </c>
      <c r="R250" t="str" cm="1">
        <f t="array" ref="R250">_xlfn.XLOOKUP($B250,Store_Dim!$A$2:$A$21,Table3[Store_Type])</f>
        <v>Online</v>
      </c>
      <c r="S250">
        <f>VLOOKUP(Table7[[#This Row],[Customer ID]],Table6[[Customer_ID]:[Total_Amount]],8,FALSE)</f>
        <v>820.89920000000006</v>
      </c>
    </row>
    <row r="251" spans="1:19" x14ac:dyDescent="0.3">
      <c r="A251" t="s">
        <v>794</v>
      </c>
      <c r="B251" t="str">
        <f>_xlfn.XLOOKUP(Table7[[#This Row],[Customer ID]],Table6[Customer_ID],Table6[Store_ID])</f>
        <v>STORE13</v>
      </c>
      <c r="C251" t="str">
        <f>_xlfn.XLOOKUP(Table7[[#This Row],[Customer ID]],Table6[Customer_ID],Table6[Product_ID])</f>
        <v>PROD55</v>
      </c>
      <c r="D251" t="str">
        <f>VLOOKUP(Table7[[#This Row],[Customer ID]],Table4[#All],2,FALSE)</f>
        <v>Veronica Newman</v>
      </c>
      <c r="E251">
        <f>VLOOKUP($A251,Table4[],3,FALSE)</f>
        <v>48</v>
      </c>
      <c r="F251" t="str">
        <f>VLOOKUP($A251,Table4[],4,FALSE)</f>
        <v>Male</v>
      </c>
      <c r="G251" t="str">
        <f>VLOOKUP($A251,Table4[],5,FALSE)</f>
        <v>New Daniel</v>
      </c>
      <c r="H251" t="str">
        <f>VLOOKUP($A251,Table4[],6,FALSE)</f>
        <v>Delaware</v>
      </c>
      <c r="I251" t="str">
        <f>VLOOKUP($A251,Table4[],8,FALSE)</f>
        <v>Platinum</v>
      </c>
      <c r="J251" t="str">
        <f>VLOOKUP($C251,Table1[],2,FALSE)</f>
        <v>Ceramic Plant Pot</v>
      </c>
      <c r="K251" t="str">
        <f>VLOOKUP($C251,Table1[],3,FALSE)</f>
        <v>Home</v>
      </c>
      <c r="L251" t="str">
        <f>VLOOKUP($C251,Table1[],4,FALSE)</f>
        <v>Decor</v>
      </c>
      <c r="M251" t="str">
        <f>VLOOKUP($C251,Table1[],5,FALSE)</f>
        <v>Hatfield, Baird and Torres</v>
      </c>
      <c r="N251">
        <f>VLOOKUP($C251,Table1[],6,FALSE)</f>
        <v>81.75</v>
      </c>
      <c r="O251">
        <f>VLOOKUP($C251,Table1[],7,FALSE)</f>
        <v>331</v>
      </c>
      <c r="P251" t="str">
        <f>_xlfn.XLOOKUP($B251,Table3[Store_ID],Table3[Store_Name])</f>
        <v>Gardner, Humphrey and Contreras</v>
      </c>
      <c r="Q251" t="str" cm="1">
        <f t="array" ref="Q251">_xlfn.XLOOKUP($B251,Store_Dim!$A$2:$A$21,Table3[Region])</f>
        <v>East</v>
      </c>
      <c r="R251" t="str" cm="1">
        <f t="array" ref="R251">_xlfn.XLOOKUP($B251,Store_Dim!$A$2:$A$21,Table3[Store_Type])</f>
        <v>Flagship</v>
      </c>
      <c r="S251">
        <f>VLOOKUP(Table7[[#This Row],[Customer ID]],Table6[[Customer_ID]:[Total_Amount]],8,FALSE)</f>
        <v>148.49160000000001</v>
      </c>
    </row>
    <row r="252" spans="1:19" x14ac:dyDescent="0.3">
      <c r="A252" t="s">
        <v>797</v>
      </c>
      <c r="B252" t="str">
        <f>_xlfn.XLOOKUP(Table7[[#This Row],[Customer ID]],Table6[Customer_ID],Table6[Store_ID])</f>
        <v>STORE9</v>
      </c>
      <c r="C252" t="str">
        <f>_xlfn.XLOOKUP(Table7[[#This Row],[Customer ID]],Table6[Customer_ID],Table6[Product_ID])</f>
        <v>PROD9</v>
      </c>
      <c r="D252" t="str">
        <f>VLOOKUP(Table7[[#This Row],[Customer ID]],Table4[#All],2,FALSE)</f>
        <v>Tyler Garner</v>
      </c>
      <c r="E252">
        <f>VLOOKUP($A252,Table4[],3,FALSE)</f>
        <v>64</v>
      </c>
      <c r="F252" t="str">
        <f>VLOOKUP($A252,Table4[],4,FALSE)</f>
        <v>Male</v>
      </c>
      <c r="G252" t="str">
        <f>VLOOKUP($A252,Table4[],5,FALSE)</f>
        <v>Port Coreyfort</v>
      </c>
      <c r="H252" t="str">
        <f>VLOOKUP($A252,Table4[],6,FALSE)</f>
        <v>Alabama</v>
      </c>
      <c r="I252" t="str">
        <f>VLOOKUP($A252,Table4[],8,FALSE)</f>
        <v>Silver</v>
      </c>
      <c r="J252" t="str">
        <f>VLOOKUP($C252,Table1[],2,FALSE)</f>
        <v>Adjustable Dumbbell Set</v>
      </c>
      <c r="K252" t="str">
        <f>VLOOKUP($C252,Table1[],3,FALSE)</f>
        <v>Sports</v>
      </c>
      <c r="L252" t="str">
        <f>VLOOKUP($C252,Table1[],4,FALSE)</f>
        <v>Fitness</v>
      </c>
      <c r="M252" t="str">
        <f>VLOOKUP($C252,Table1[],5,FALSE)</f>
        <v>Hill PLC</v>
      </c>
      <c r="N252">
        <f>VLOOKUP($C252,Table1[],6,FALSE)</f>
        <v>495.72</v>
      </c>
      <c r="O252">
        <f>VLOOKUP($C252,Table1[],7,FALSE)</f>
        <v>323</v>
      </c>
      <c r="P252" t="str">
        <f>_xlfn.XLOOKUP($B252,Table3[Store_ID],Table3[Store_Name])</f>
        <v>Moore, Padilla and Butler</v>
      </c>
      <c r="Q252" t="str" cm="1">
        <f t="array" ref="Q252">_xlfn.XLOOKUP($B252,Store_Dim!$A$2:$A$21,Table3[Region])</f>
        <v>South</v>
      </c>
      <c r="R252" t="str" cm="1">
        <f t="array" ref="R252">_xlfn.XLOOKUP($B252,Store_Dim!$A$2:$A$21,Table3[Store_Type])</f>
        <v>Flagship</v>
      </c>
      <c r="S252">
        <f>VLOOKUP(Table7[[#This Row],[Customer ID]],Table6[[Customer_ID]:[Total_Amount]],8,FALSE)</f>
        <v>750.20309999999995</v>
      </c>
    </row>
    <row r="253" spans="1:19" x14ac:dyDescent="0.3">
      <c r="A253" t="s">
        <v>800</v>
      </c>
      <c r="B253" t="str">
        <f>_xlfn.XLOOKUP(Table7[[#This Row],[Customer ID]],Table6[Customer_ID],Table6[Store_ID])</f>
        <v>STORE16</v>
      </c>
      <c r="C253" t="str">
        <f>_xlfn.XLOOKUP(Table7[[#This Row],[Customer ID]],Table6[Customer_ID],Table6[Product_ID])</f>
        <v>PROD13</v>
      </c>
      <c r="D253" t="str">
        <f>VLOOKUP(Table7[[#This Row],[Customer ID]],Table4[#All],2,FALSE)</f>
        <v>John Mccoy</v>
      </c>
      <c r="E253">
        <f>VLOOKUP($A253,Table4[],3,FALSE)</f>
        <v>26</v>
      </c>
      <c r="F253" t="str">
        <f>VLOOKUP($A253,Table4[],4,FALSE)</f>
        <v>Male</v>
      </c>
      <c r="G253" t="str">
        <f>VLOOKUP($A253,Table4[],5,FALSE)</f>
        <v>Robinborough</v>
      </c>
      <c r="H253" t="str">
        <f>VLOOKUP($A253,Table4[],6,FALSE)</f>
        <v>South Dakota</v>
      </c>
      <c r="I253" t="str">
        <f>VLOOKUP($A253,Table4[],8,FALSE)</f>
        <v>Silver</v>
      </c>
      <c r="J253" t="str">
        <f>VLOOKUP($C253,Table1[],2,FALSE)</f>
        <v>USB-C Fast Charger</v>
      </c>
      <c r="K253" t="str">
        <f>VLOOKUP($C253,Table1[],3,FALSE)</f>
        <v>Electronics</v>
      </c>
      <c r="L253" t="str">
        <f>VLOOKUP($C253,Table1[],4,FALSE)</f>
        <v>Accessories</v>
      </c>
      <c r="M253" t="str">
        <f>VLOOKUP($C253,Table1[],5,FALSE)</f>
        <v>Dawson-Perkins</v>
      </c>
      <c r="N253">
        <f>VLOOKUP($C253,Table1[],6,FALSE)</f>
        <v>242.23</v>
      </c>
      <c r="O253">
        <f>VLOOKUP($C253,Table1[],7,FALSE)</f>
        <v>453</v>
      </c>
      <c r="P253" t="str">
        <f>_xlfn.XLOOKUP($B253,Table3[Store_ID],Table3[Store_Name])</f>
        <v>Frederick-Wright</v>
      </c>
      <c r="Q253" t="str" cm="1">
        <f t="array" ref="Q253">_xlfn.XLOOKUP($B253,Store_Dim!$A$2:$A$21,Table3[Region])</f>
        <v>West</v>
      </c>
      <c r="R253" t="str" cm="1">
        <f t="array" ref="R253">_xlfn.XLOOKUP($B253,Store_Dim!$A$2:$A$21,Table3[Store_Type])</f>
        <v>Flagship</v>
      </c>
      <c r="S253">
        <f>VLOOKUP(Table7[[#This Row],[Customer ID]],Table6[[Customer_ID]:[Total_Amount]],8,FALSE)</f>
        <v>568.61479999999995</v>
      </c>
    </row>
    <row r="254" spans="1:19" x14ac:dyDescent="0.3">
      <c r="A254" t="s">
        <v>803</v>
      </c>
      <c r="B254" t="str">
        <f>_xlfn.XLOOKUP(Table7[[#This Row],[Customer ID]],Table6[Customer_ID],Table6[Store_ID])</f>
        <v>STORE9</v>
      </c>
      <c r="C254" t="str">
        <f>_xlfn.XLOOKUP(Table7[[#This Row],[Customer ID]],Table6[Customer_ID],Table6[Product_ID])</f>
        <v>PROD71</v>
      </c>
      <c r="D254" t="str">
        <f>VLOOKUP(Table7[[#This Row],[Customer ID]],Table4[#All],2,FALSE)</f>
        <v>Dr. Ashley Yates Md</v>
      </c>
      <c r="E254">
        <f>VLOOKUP($A254,Table4[],3,FALSE)</f>
        <v>32</v>
      </c>
      <c r="F254" t="str">
        <f>VLOOKUP($A254,Table4[],4,FALSE)</f>
        <v>Male</v>
      </c>
      <c r="G254" t="str">
        <f>VLOOKUP($A254,Table4[],5,FALSE)</f>
        <v>New Maria</v>
      </c>
      <c r="H254" t="str">
        <f>VLOOKUP($A254,Table4[],6,FALSE)</f>
        <v>Wisconsin</v>
      </c>
      <c r="I254" t="str">
        <f>VLOOKUP($A254,Table4[],8,FALSE)</f>
        <v>Bronze</v>
      </c>
      <c r="J254" t="str">
        <f>VLOOKUP($C254,Table1[],2,FALSE)</f>
        <v>Hair Repair Oil Treatment</v>
      </c>
      <c r="K254" t="str">
        <f>VLOOKUP($C254,Table1[],3,FALSE)</f>
        <v>Beauty</v>
      </c>
      <c r="L254" t="str">
        <f>VLOOKUP($C254,Table1[],4,FALSE)</f>
        <v>Haircare</v>
      </c>
      <c r="M254" t="str">
        <f>VLOOKUP($C254,Table1[],5,FALSE)</f>
        <v>Hopkins Ltd</v>
      </c>
      <c r="N254">
        <f>VLOOKUP($C254,Table1[],6,FALSE)</f>
        <v>214.32</v>
      </c>
      <c r="O254">
        <f>VLOOKUP($C254,Table1[],7,FALSE)</f>
        <v>383</v>
      </c>
      <c r="P254" t="str">
        <f>_xlfn.XLOOKUP($B254,Table3[Store_ID],Table3[Store_Name])</f>
        <v>Moore, Padilla and Butler</v>
      </c>
      <c r="Q254" t="str" cm="1">
        <f t="array" ref="Q254">_xlfn.XLOOKUP($B254,Store_Dim!$A$2:$A$21,Table3[Region])</f>
        <v>South</v>
      </c>
      <c r="R254" t="str" cm="1">
        <f t="array" ref="R254">_xlfn.XLOOKUP($B254,Store_Dim!$A$2:$A$21,Table3[Store_Type])</f>
        <v>Flagship</v>
      </c>
      <c r="S254">
        <f>VLOOKUP(Table7[[#This Row],[Customer ID]],Table6[[Customer_ID]:[Total_Amount]],8,FALSE)</f>
        <v>272.79750000000001</v>
      </c>
    </row>
    <row r="255" spans="1:19" x14ac:dyDescent="0.3">
      <c r="A255" t="s">
        <v>805</v>
      </c>
      <c r="B255" t="str">
        <f>_xlfn.XLOOKUP(Table7[[#This Row],[Customer ID]],Table6[Customer_ID],Table6[Store_ID])</f>
        <v>STORE7</v>
      </c>
      <c r="C255" t="str">
        <f>_xlfn.XLOOKUP(Table7[[#This Row],[Customer ID]],Table6[Customer_ID],Table6[Product_ID])</f>
        <v>PROD23</v>
      </c>
      <c r="D255" t="str">
        <f>VLOOKUP(Table7[[#This Row],[Customer ID]],Table4[#All],2,FALSE)</f>
        <v>Linda Kline</v>
      </c>
      <c r="E255">
        <f>VLOOKUP($A255,Table4[],3,FALSE)</f>
        <v>34</v>
      </c>
      <c r="F255" t="str">
        <f>VLOOKUP($A255,Table4[],4,FALSE)</f>
        <v>Male</v>
      </c>
      <c r="G255" t="str">
        <f>VLOOKUP($A255,Table4[],5,FALSE)</f>
        <v>Masseyland</v>
      </c>
      <c r="H255" t="str">
        <f>VLOOKUP($A255,Table4[],6,FALSE)</f>
        <v>Alaska</v>
      </c>
      <c r="I255" t="str">
        <f>VLOOKUP($A255,Table4[],8,FALSE)</f>
        <v>Silver</v>
      </c>
      <c r="J255" t="str">
        <f>VLOOKUP($C255,Table1[],2,FALSE)</f>
        <v>Men's Formal Shirt</v>
      </c>
      <c r="K255" t="str">
        <f>VLOOKUP($C255,Table1[],3,FALSE)</f>
        <v>Clothing</v>
      </c>
      <c r="L255" t="str">
        <f>VLOOKUP($C255,Table1[],4,FALSE)</f>
        <v>Tops</v>
      </c>
      <c r="M255" t="str">
        <f>VLOOKUP($C255,Table1[],5,FALSE)</f>
        <v>Moon, Mora and Santos</v>
      </c>
      <c r="N255">
        <f>VLOOKUP($C255,Table1[],6,FALSE)</f>
        <v>282.99</v>
      </c>
      <c r="O255">
        <f>VLOOKUP($C255,Table1[],7,FALSE)</f>
        <v>360</v>
      </c>
      <c r="P255" t="str">
        <f>_xlfn.XLOOKUP($B255,Table3[Store_ID],Table3[Store_Name])</f>
        <v>Martinez-Mullins</v>
      </c>
      <c r="Q255" t="str" cm="1">
        <f t="array" ref="Q255">_xlfn.XLOOKUP($B255,Store_Dim!$A$2:$A$21,Table3[Region])</f>
        <v>South</v>
      </c>
      <c r="R255" t="str" cm="1">
        <f t="array" ref="R255">_xlfn.XLOOKUP($B255,Store_Dim!$A$2:$A$21,Table3[Store_Type])</f>
        <v>Online</v>
      </c>
      <c r="S255">
        <f>VLOOKUP(Table7[[#This Row],[Customer ID]],Table6[[Customer_ID]:[Total_Amount]],8,FALSE)</f>
        <v>1022.2128</v>
      </c>
    </row>
    <row r="256" spans="1:19" x14ac:dyDescent="0.3">
      <c r="A256" t="s">
        <v>808</v>
      </c>
      <c r="B256" t="str">
        <f>_xlfn.XLOOKUP(Table7[[#This Row],[Customer ID]],Table6[Customer_ID],Table6[Store_ID])</f>
        <v>STORE10</v>
      </c>
      <c r="C256" t="str">
        <f>_xlfn.XLOOKUP(Table7[[#This Row],[Customer ID]],Table6[Customer_ID],Table6[Product_ID])</f>
        <v>PROD53</v>
      </c>
      <c r="D256" t="str">
        <f>VLOOKUP(Table7[[#This Row],[Customer ID]],Table4[#All],2,FALSE)</f>
        <v>Damon Perez</v>
      </c>
      <c r="E256">
        <f>VLOOKUP($A256,Table4[],3,FALSE)</f>
        <v>21</v>
      </c>
      <c r="F256" t="str">
        <f>VLOOKUP($A256,Table4[],4,FALSE)</f>
        <v>Male</v>
      </c>
      <c r="G256" t="str">
        <f>VLOOKUP($A256,Table4[],5,FALSE)</f>
        <v>Jasonton</v>
      </c>
      <c r="H256" t="str">
        <f>VLOOKUP($A256,Table4[],6,FALSE)</f>
        <v>Ohio</v>
      </c>
      <c r="I256" t="str">
        <f>VLOOKUP($A256,Table4[],8,FALSE)</f>
        <v>Gold</v>
      </c>
      <c r="J256" t="str">
        <f>VLOOKUP($C256,Table1[],2,FALSE)</f>
        <v>Men's Track Pants</v>
      </c>
      <c r="K256" t="str">
        <f>VLOOKUP($C256,Table1[],3,FALSE)</f>
        <v>Clothing</v>
      </c>
      <c r="L256" t="str">
        <f>VLOOKUP($C256,Table1[],4,FALSE)</f>
        <v>Bottoms</v>
      </c>
      <c r="M256" t="str">
        <f>VLOOKUP($C256,Table1[],5,FALSE)</f>
        <v>Hamilton, Woods and Walker</v>
      </c>
      <c r="N256">
        <f>VLOOKUP($C256,Table1[],6,FALSE)</f>
        <v>386.56</v>
      </c>
      <c r="O256">
        <f>VLOOKUP($C256,Table1[],7,FALSE)</f>
        <v>125</v>
      </c>
      <c r="P256" t="str">
        <f>_xlfn.XLOOKUP($B256,Table3[Store_ID],Table3[Store_Name])</f>
        <v>Hill, Wagner and Ballard</v>
      </c>
      <c r="Q256" t="str" cm="1">
        <f t="array" ref="Q256">_xlfn.XLOOKUP($B256,Store_Dim!$A$2:$A$21,Table3[Region])</f>
        <v>East</v>
      </c>
      <c r="R256" t="str" cm="1">
        <f t="array" ref="R256">_xlfn.XLOOKUP($B256,Store_Dim!$A$2:$A$21,Table3[Store_Type])</f>
        <v>Online</v>
      </c>
      <c r="S256">
        <f>VLOOKUP(Table7[[#This Row],[Customer ID]],Table6[[Customer_ID]:[Total_Amount]],8,FALSE)</f>
        <v>1440.18</v>
      </c>
    </row>
    <row r="257" spans="1:19" x14ac:dyDescent="0.3">
      <c r="A257" t="s">
        <v>811</v>
      </c>
      <c r="B257" t="str">
        <f>_xlfn.XLOOKUP(Table7[[#This Row],[Customer ID]],Table6[Customer_ID],Table6[Store_ID])</f>
        <v>STORE6</v>
      </c>
      <c r="C257" t="str">
        <f>_xlfn.XLOOKUP(Table7[[#This Row],[Customer ID]],Table6[Customer_ID],Table6[Product_ID])</f>
        <v>PROD34</v>
      </c>
      <c r="D257" t="str">
        <f>VLOOKUP(Table7[[#This Row],[Customer ID]],Table4[#All],2,FALSE)</f>
        <v>Kristen Fischer</v>
      </c>
      <c r="E257">
        <f>VLOOKUP($A257,Table4[],3,FALSE)</f>
        <v>57</v>
      </c>
      <c r="F257" t="str">
        <f>VLOOKUP($A257,Table4[],4,FALSE)</f>
        <v>Male</v>
      </c>
      <c r="G257" t="str">
        <f>VLOOKUP($A257,Table4[],5,FALSE)</f>
        <v>Lake Christopher</v>
      </c>
      <c r="H257" t="str">
        <f>VLOOKUP($A257,Table4[],6,FALSE)</f>
        <v>Arkansas</v>
      </c>
      <c r="I257" t="str">
        <f>VLOOKUP($A257,Table4[],8,FALSE)</f>
        <v>Platinum</v>
      </c>
      <c r="J257" t="str">
        <f>VLOOKUP($C257,Table1[],2,FALSE)</f>
        <v>Gaming Mechanical Keyboard</v>
      </c>
      <c r="K257" t="str">
        <f>VLOOKUP($C257,Table1[],3,FALSE)</f>
        <v>Electronics</v>
      </c>
      <c r="L257" t="str">
        <f>VLOOKUP($C257,Table1[],4,FALSE)</f>
        <v>Computer</v>
      </c>
      <c r="M257" t="str">
        <f>VLOOKUP($C257,Table1[],5,FALSE)</f>
        <v>Lucero LLC</v>
      </c>
      <c r="N257">
        <f>VLOOKUP($C257,Table1[],6,FALSE)</f>
        <v>419.28</v>
      </c>
      <c r="O257">
        <f>VLOOKUP($C257,Table1[],7,FALSE)</f>
        <v>86</v>
      </c>
      <c r="P257" t="str">
        <f>_xlfn.XLOOKUP($B257,Table3[Store_ID],Table3[Store_Name])</f>
        <v>Benson-Elliott</v>
      </c>
      <c r="Q257" t="str" cm="1">
        <f t="array" ref="Q257">_xlfn.XLOOKUP($B257,Store_Dim!$A$2:$A$21,Table3[Region])</f>
        <v>East</v>
      </c>
      <c r="R257" t="str" cm="1">
        <f t="array" ref="R257">_xlfn.XLOOKUP($B257,Store_Dim!$A$2:$A$21,Table3[Store_Type])</f>
        <v>Online</v>
      </c>
      <c r="S257">
        <f>VLOOKUP(Table7[[#This Row],[Customer ID]],Table6[[Customer_ID]:[Total_Amount]],8,FALSE)</f>
        <v>109.5624</v>
      </c>
    </row>
    <row r="258" spans="1:19" x14ac:dyDescent="0.3">
      <c r="A258" t="s">
        <v>814</v>
      </c>
      <c r="B258" t="str">
        <f>_xlfn.XLOOKUP(Table7[[#This Row],[Customer ID]],Table6[Customer_ID],Table6[Store_ID])</f>
        <v>STORE7</v>
      </c>
      <c r="C258" t="str">
        <f>_xlfn.XLOOKUP(Table7[[#This Row],[Customer ID]],Table6[Customer_ID],Table6[Product_ID])</f>
        <v>PROD85</v>
      </c>
      <c r="D258" t="str">
        <f>VLOOKUP(Table7[[#This Row],[Customer ID]],Table4[#All],2,FALSE)</f>
        <v>Christopher David</v>
      </c>
      <c r="E258">
        <f>VLOOKUP($A258,Table4[],3,FALSE)</f>
        <v>42</v>
      </c>
      <c r="F258" t="str">
        <f>VLOOKUP($A258,Table4[],4,FALSE)</f>
        <v>Male</v>
      </c>
      <c r="G258" t="str">
        <f>VLOOKUP($A258,Table4[],5,FALSE)</f>
        <v>Karenmouth</v>
      </c>
      <c r="H258" t="str">
        <f>VLOOKUP($A258,Table4[],6,FALSE)</f>
        <v>Massachusetts</v>
      </c>
      <c r="I258" t="str">
        <f>VLOOKUP($A258,Table4[],8,FALSE)</f>
        <v>Silver</v>
      </c>
      <c r="J258" t="str">
        <f>VLOOKUP($C258,Table1[],2,FALSE)</f>
        <v>Women's Beanie Hat</v>
      </c>
      <c r="K258" t="str">
        <f>VLOOKUP($C258,Table1[],3,FALSE)</f>
        <v>Clothing</v>
      </c>
      <c r="L258" t="str">
        <f>VLOOKUP($C258,Table1[],4,FALSE)</f>
        <v>Accessories</v>
      </c>
      <c r="M258" t="str">
        <f>VLOOKUP($C258,Table1[],5,FALSE)</f>
        <v>Richardson-Carrillo</v>
      </c>
      <c r="N258">
        <f>VLOOKUP($C258,Table1[],6,FALSE)</f>
        <v>119.57</v>
      </c>
      <c r="O258">
        <f>VLOOKUP($C258,Table1[],7,FALSE)</f>
        <v>210</v>
      </c>
      <c r="P258" t="str">
        <f>_xlfn.XLOOKUP($B258,Table3[Store_ID],Table3[Store_Name])</f>
        <v>Martinez-Mullins</v>
      </c>
      <c r="Q258" t="str" cm="1">
        <f t="array" ref="Q258">_xlfn.XLOOKUP($B258,Store_Dim!$A$2:$A$21,Table3[Region])</f>
        <v>South</v>
      </c>
      <c r="R258" t="str" cm="1">
        <f t="array" ref="R258">_xlfn.XLOOKUP($B258,Store_Dim!$A$2:$A$21,Table3[Store_Type])</f>
        <v>Online</v>
      </c>
      <c r="S258">
        <f>VLOOKUP(Table7[[#This Row],[Customer ID]],Table6[[Customer_ID]:[Total_Amount]],8,FALSE)</f>
        <v>3239.3580000000002</v>
      </c>
    </row>
    <row r="259" spans="1:19" x14ac:dyDescent="0.3">
      <c r="A259" t="s">
        <v>817</v>
      </c>
      <c r="B259" t="str">
        <f>_xlfn.XLOOKUP(Table7[[#This Row],[Customer ID]],Table6[Customer_ID],Table6[Store_ID])</f>
        <v>STORE14</v>
      </c>
      <c r="C259" t="str">
        <f>_xlfn.XLOOKUP(Table7[[#This Row],[Customer ID]],Table6[Customer_ID],Table6[Product_ID])</f>
        <v>PROD88</v>
      </c>
      <c r="D259" t="str">
        <f>VLOOKUP(Table7[[#This Row],[Customer ID]],Table4[#All],2,FALSE)</f>
        <v>Sarah Stewart</v>
      </c>
      <c r="E259">
        <f>VLOOKUP($A259,Table4[],3,FALSE)</f>
        <v>24</v>
      </c>
      <c r="F259" t="str">
        <f>VLOOKUP($A259,Table4[],4,FALSE)</f>
        <v>Female</v>
      </c>
      <c r="G259" t="str">
        <f>VLOOKUP($A259,Table4[],5,FALSE)</f>
        <v>East Richard</v>
      </c>
      <c r="H259" t="str">
        <f>VLOOKUP($A259,Table4[],6,FALSE)</f>
        <v>Texas</v>
      </c>
      <c r="I259" t="str">
        <f>VLOOKUP($A259,Table4[],8,FALSE)</f>
        <v>Platinum</v>
      </c>
      <c r="J259" t="str">
        <f>VLOOKUP($C259,Table1[],2,FALSE)</f>
        <v>Sports Wrist Sweatbands</v>
      </c>
      <c r="K259" t="str">
        <f>VLOOKUP($C259,Table1[],3,FALSE)</f>
        <v>Sports</v>
      </c>
      <c r="L259" t="str">
        <f>VLOOKUP($C259,Table1[],4,FALSE)</f>
        <v>Accessories</v>
      </c>
      <c r="M259" t="str">
        <f>VLOOKUP($C259,Table1[],5,FALSE)</f>
        <v>Olsen-Daniels</v>
      </c>
      <c r="N259">
        <f>VLOOKUP($C259,Table1[],6,FALSE)</f>
        <v>131.24</v>
      </c>
      <c r="O259">
        <f>VLOOKUP($C259,Table1[],7,FALSE)</f>
        <v>232</v>
      </c>
      <c r="P259" t="str">
        <f>_xlfn.XLOOKUP($B259,Table3[Store_ID],Table3[Store_Name])</f>
        <v>Mcdonald Inc</v>
      </c>
      <c r="Q259" t="str" cm="1">
        <f t="array" ref="Q259">_xlfn.XLOOKUP($B259,Store_Dim!$A$2:$A$21,Table3[Region])</f>
        <v>South</v>
      </c>
      <c r="R259" t="str" cm="1">
        <f t="array" ref="R259">_xlfn.XLOOKUP($B259,Store_Dim!$A$2:$A$21,Table3[Store_Type])</f>
        <v>Outlet</v>
      </c>
      <c r="S259">
        <f>VLOOKUP(Table7[[#This Row],[Customer ID]],Table6[[Customer_ID]:[Total_Amount]],8,FALSE)</f>
        <v>1657.5455999999999</v>
      </c>
    </row>
    <row r="260" spans="1:19" x14ac:dyDescent="0.3">
      <c r="A260" t="s">
        <v>820</v>
      </c>
      <c r="B260" t="str">
        <f>_xlfn.XLOOKUP(Table7[[#This Row],[Customer ID]],Table6[Customer_ID],Table6[Store_ID])</f>
        <v>STORE18</v>
      </c>
      <c r="C260" t="str">
        <f>_xlfn.XLOOKUP(Table7[[#This Row],[Customer ID]],Table6[Customer_ID],Table6[Product_ID])</f>
        <v>PROD13</v>
      </c>
      <c r="D260" t="str">
        <f>VLOOKUP(Table7[[#This Row],[Customer ID]],Table4[#All],2,FALSE)</f>
        <v>Beth Allen</v>
      </c>
      <c r="E260">
        <f>VLOOKUP($A260,Table4[],3,FALSE)</f>
        <v>32</v>
      </c>
      <c r="F260" t="str">
        <f>VLOOKUP($A260,Table4[],4,FALSE)</f>
        <v>Female</v>
      </c>
      <c r="G260" t="str">
        <f>VLOOKUP($A260,Table4[],5,FALSE)</f>
        <v>South Kathrynmouth</v>
      </c>
      <c r="H260" t="str">
        <f>VLOOKUP($A260,Table4[],6,FALSE)</f>
        <v>Oklahoma</v>
      </c>
      <c r="I260" t="str">
        <f>VLOOKUP($A260,Table4[],8,FALSE)</f>
        <v>Silver</v>
      </c>
      <c r="J260" t="str">
        <f>VLOOKUP($C260,Table1[],2,FALSE)</f>
        <v>USB-C Fast Charger</v>
      </c>
      <c r="K260" t="str">
        <f>VLOOKUP($C260,Table1[],3,FALSE)</f>
        <v>Electronics</v>
      </c>
      <c r="L260" t="str">
        <f>VLOOKUP($C260,Table1[],4,FALSE)</f>
        <v>Accessories</v>
      </c>
      <c r="M260" t="str">
        <f>VLOOKUP($C260,Table1[],5,FALSE)</f>
        <v>Dawson-Perkins</v>
      </c>
      <c r="N260">
        <f>VLOOKUP($C260,Table1[],6,FALSE)</f>
        <v>242.23</v>
      </c>
      <c r="O260">
        <f>VLOOKUP($C260,Table1[],7,FALSE)</f>
        <v>453</v>
      </c>
      <c r="P260" t="str">
        <f>_xlfn.XLOOKUP($B260,Table3[Store_ID],Table3[Store_Name])</f>
        <v>Guerrero-Schmitt</v>
      </c>
      <c r="Q260" t="str" cm="1">
        <f t="array" ref="Q260">_xlfn.XLOOKUP($B260,Store_Dim!$A$2:$A$21,Table3[Region])</f>
        <v>East</v>
      </c>
      <c r="R260" t="str" cm="1">
        <f t="array" ref="R260">_xlfn.XLOOKUP($B260,Store_Dim!$A$2:$A$21,Table3[Store_Type])</f>
        <v>Flagship</v>
      </c>
      <c r="S260">
        <f>VLOOKUP(Table7[[#This Row],[Customer ID]],Table6[[Customer_ID]:[Total_Amount]],8,FALSE)</f>
        <v>897.05280000000005</v>
      </c>
    </row>
    <row r="261" spans="1:19" x14ac:dyDescent="0.3">
      <c r="A261" t="s">
        <v>823</v>
      </c>
      <c r="B261" t="str">
        <f>_xlfn.XLOOKUP(Table7[[#This Row],[Customer ID]],Table6[Customer_ID],Table6[Store_ID])</f>
        <v>STORE13</v>
      </c>
      <c r="C261" t="str">
        <f>_xlfn.XLOOKUP(Table7[[#This Row],[Customer ID]],Table6[Customer_ID],Table6[Product_ID])</f>
        <v>PROD84</v>
      </c>
      <c r="D261" t="str">
        <f>VLOOKUP(Table7[[#This Row],[Customer ID]],Table4[#All],2,FALSE)</f>
        <v>Russell Lamb</v>
      </c>
      <c r="E261">
        <f>VLOOKUP($A261,Table4[],3,FALSE)</f>
        <v>63</v>
      </c>
      <c r="F261" t="str">
        <f>VLOOKUP($A261,Table4[],4,FALSE)</f>
        <v>Female</v>
      </c>
      <c r="G261" t="str">
        <f>VLOOKUP($A261,Table4[],5,FALSE)</f>
        <v>North Jonathon</v>
      </c>
      <c r="H261" t="str">
        <f>VLOOKUP($A261,Table4[],6,FALSE)</f>
        <v>Arizona</v>
      </c>
      <c r="I261" t="str">
        <f>VLOOKUP($A261,Table4[],8,FALSE)</f>
        <v>Platinum</v>
      </c>
      <c r="J261" t="str">
        <f>VLOOKUP($C261,Table1[],2,FALSE)</f>
        <v>Wooden Bookshelf</v>
      </c>
      <c r="K261" t="str">
        <f>VLOOKUP($C261,Table1[],3,FALSE)</f>
        <v>Home</v>
      </c>
      <c r="L261" t="str">
        <f>VLOOKUP($C261,Table1[],4,FALSE)</f>
        <v>Furniture</v>
      </c>
      <c r="M261" t="str">
        <f>VLOOKUP($C261,Table1[],5,FALSE)</f>
        <v>Collins-Stephenson</v>
      </c>
      <c r="N261">
        <f>VLOOKUP($C261,Table1[],6,FALSE)</f>
        <v>388.46</v>
      </c>
      <c r="O261">
        <f>VLOOKUP($C261,Table1[],7,FALSE)</f>
        <v>208</v>
      </c>
      <c r="P261" t="str">
        <f>_xlfn.XLOOKUP($B261,Table3[Store_ID],Table3[Store_Name])</f>
        <v>Gardner, Humphrey and Contreras</v>
      </c>
      <c r="Q261" t="str" cm="1">
        <f t="array" ref="Q261">_xlfn.XLOOKUP($B261,Store_Dim!$A$2:$A$21,Table3[Region])</f>
        <v>East</v>
      </c>
      <c r="R261" t="str" cm="1">
        <f t="array" ref="R261">_xlfn.XLOOKUP($B261,Store_Dim!$A$2:$A$21,Table3[Store_Type])</f>
        <v>Flagship</v>
      </c>
      <c r="S261">
        <f>VLOOKUP(Table7[[#This Row],[Customer ID]],Table6[[Customer_ID]:[Total_Amount]],8,FALSE)</f>
        <v>442.79050000000001</v>
      </c>
    </row>
    <row r="262" spans="1:19" x14ac:dyDescent="0.3">
      <c r="A262" t="s">
        <v>826</v>
      </c>
      <c r="B262" t="str">
        <f>_xlfn.XLOOKUP(Table7[[#This Row],[Customer ID]],Table6[Customer_ID],Table6[Store_ID])</f>
        <v>STORE2</v>
      </c>
      <c r="C262" t="str">
        <f>_xlfn.XLOOKUP(Table7[[#This Row],[Customer ID]],Table6[Customer_ID],Table6[Product_ID])</f>
        <v>PROD42</v>
      </c>
      <c r="D262" t="str">
        <f>VLOOKUP(Table7[[#This Row],[Customer ID]],Table4[#All],2,FALSE)</f>
        <v>Carol Bishop</v>
      </c>
      <c r="E262">
        <f>VLOOKUP($A262,Table4[],3,FALSE)</f>
        <v>27</v>
      </c>
      <c r="F262" t="str">
        <f>VLOOKUP($A262,Table4[],4,FALSE)</f>
        <v>Female</v>
      </c>
      <c r="G262" t="str">
        <f>VLOOKUP($A262,Table4[],5,FALSE)</f>
        <v>Lake Saramouth</v>
      </c>
      <c r="H262" t="str">
        <f>VLOOKUP($A262,Table4[],6,FALSE)</f>
        <v>Oregon</v>
      </c>
      <c r="I262" t="str">
        <f>VLOOKUP($A262,Table4[],8,FALSE)</f>
        <v>Silver</v>
      </c>
      <c r="J262" t="str">
        <f>VLOOKUP($C262,Table1[],2,FALSE)</f>
        <v>Smart Home WiFi Camera</v>
      </c>
      <c r="K262" t="str">
        <f>VLOOKUP($C262,Table1[],3,FALSE)</f>
        <v>Electronics</v>
      </c>
      <c r="L262" t="str">
        <f>VLOOKUP($C262,Table1[],4,FALSE)</f>
        <v>Accessories</v>
      </c>
      <c r="M262" t="str">
        <f>VLOOKUP($C262,Table1[],5,FALSE)</f>
        <v>Holmes LLC</v>
      </c>
      <c r="N262">
        <f>VLOOKUP($C262,Table1[],6,FALSE)</f>
        <v>450.71</v>
      </c>
      <c r="O262">
        <f>VLOOKUP($C262,Table1[],7,FALSE)</f>
        <v>389</v>
      </c>
      <c r="P262" t="str">
        <f>_xlfn.XLOOKUP($B262,Table3[Store_ID],Table3[Store_Name])</f>
        <v>Black-Horn</v>
      </c>
      <c r="Q262" t="str" cm="1">
        <f t="array" ref="Q262">_xlfn.XLOOKUP($B262,Store_Dim!$A$2:$A$21,Table3[Region])</f>
        <v>South</v>
      </c>
      <c r="R262" t="str" cm="1">
        <f t="array" ref="R262">_xlfn.XLOOKUP($B262,Store_Dim!$A$2:$A$21,Table3[Store_Type])</f>
        <v>Outlet</v>
      </c>
      <c r="S262">
        <f>VLOOKUP(Table7[[#This Row],[Customer ID]],Table6[[Customer_ID]:[Total_Amount]],8,FALSE)</f>
        <v>70.470799999999997</v>
      </c>
    </row>
    <row r="263" spans="1:19" x14ac:dyDescent="0.3">
      <c r="A263" t="s">
        <v>829</v>
      </c>
      <c r="B263" t="str">
        <f>_xlfn.XLOOKUP(Table7[[#This Row],[Customer ID]],Table6[Customer_ID],Table6[Store_ID])</f>
        <v>STORE13</v>
      </c>
      <c r="C263" t="str">
        <f>_xlfn.XLOOKUP(Table7[[#This Row],[Customer ID]],Table6[Customer_ID],Table6[Product_ID])</f>
        <v>PROD11</v>
      </c>
      <c r="D263" t="str">
        <f>VLOOKUP(Table7[[#This Row],[Customer ID]],Table4[#All],2,FALSE)</f>
        <v>Katherine Cowan</v>
      </c>
      <c r="E263">
        <f>VLOOKUP($A263,Table4[],3,FALSE)</f>
        <v>60</v>
      </c>
      <c r="F263" t="str">
        <f>VLOOKUP($A263,Table4[],4,FALSE)</f>
        <v>Female</v>
      </c>
      <c r="G263" t="str">
        <f>VLOOKUP($A263,Table4[],5,FALSE)</f>
        <v>New Ana</v>
      </c>
      <c r="H263" t="str">
        <f>VLOOKUP($A263,Table4[],6,FALSE)</f>
        <v>Montana</v>
      </c>
      <c r="I263" t="str">
        <f>VLOOKUP($A263,Table4[],8,FALSE)</f>
        <v>Silver</v>
      </c>
      <c r="J263" t="str">
        <f>VLOOKUP($C263,Table1[],2,FALSE)</f>
        <v>HD Smart TV Stick</v>
      </c>
      <c r="K263" t="str">
        <f>VLOOKUP($C263,Table1[],3,FALSE)</f>
        <v>Electronics</v>
      </c>
      <c r="L263" t="str">
        <f>VLOOKUP($C263,Table1[],4,FALSE)</f>
        <v>Accessories</v>
      </c>
      <c r="M263" t="str">
        <f>VLOOKUP($C263,Table1[],5,FALSE)</f>
        <v>Gibson, Hobbs and Weaver</v>
      </c>
      <c r="N263">
        <f>VLOOKUP($C263,Table1[],6,FALSE)</f>
        <v>449.4</v>
      </c>
      <c r="O263">
        <f>VLOOKUP($C263,Table1[],7,FALSE)</f>
        <v>338</v>
      </c>
      <c r="P263" t="str">
        <f>_xlfn.XLOOKUP($B263,Table3[Store_ID],Table3[Store_Name])</f>
        <v>Gardner, Humphrey and Contreras</v>
      </c>
      <c r="Q263" t="str" cm="1">
        <f t="array" ref="Q263">_xlfn.XLOOKUP($B263,Store_Dim!$A$2:$A$21,Table3[Region])</f>
        <v>East</v>
      </c>
      <c r="R263" t="str" cm="1">
        <f t="array" ref="R263">_xlfn.XLOOKUP($B263,Store_Dim!$A$2:$A$21,Table3[Store_Type])</f>
        <v>Flagship</v>
      </c>
      <c r="S263">
        <f>VLOOKUP(Table7[[#This Row],[Customer ID]],Table6[[Customer_ID]:[Total_Amount]],8,FALSE)</f>
        <v>1568.5425</v>
      </c>
    </row>
    <row r="264" spans="1:19" x14ac:dyDescent="0.3">
      <c r="A264" t="s">
        <v>832</v>
      </c>
      <c r="B264" t="str">
        <f>_xlfn.XLOOKUP(Table7[[#This Row],[Customer ID]],Table6[Customer_ID],Table6[Store_ID])</f>
        <v>STORE7</v>
      </c>
      <c r="C264" t="str">
        <f>_xlfn.XLOOKUP(Table7[[#This Row],[Customer ID]],Table6[Customer_ID],Table6[Product_ID])</f>
        <v>PROD65</v>
      </c>
      <c r="D264" t="str">
        <f>VLOOKUP(Table7[[#This Row],[Customer ID]],Table4[#All],2,FALSE)</f>
        <v>Crystal Davis</v>
      </c>
      <c r="E264">
        <f>VLOOKUP($A264,Table4[],3,FALSE)</f>
        <v>50</v>
      </c>
      <c r="F264" t="str">
        <f>VLOOKUP($A264,Table4[],4,FALSE)</f>
        <v>Male</v>
      </c>
      <c r="G264" t="str">
        <f>VLOOKUP($A264,Table4[],5,FALSE)</f>
        <v>Sallymouth</v>
      </c>
      <c r="H264" t="str">
        <f>VLOOKUP($A264,Table4[],6,FALSE)</f>
        <v>Louisiana</v>
      </c>
      <c r="I264" t="str">
        <f>VLOOKUP($A264,Table4[],8,FALSE)</f>
        <v>Bronze</v>
      </c>
      <c r="J264" t="str">
        <f>VLOOKUP($C264,Table1[],2,FALSE)</f>
        <v>Adjustable Dumbbells 20kg</v>
      </c>
      <c r="K264" t="str">
        <f>VLOOKUP($C264,Table1[],3,FALSE)</f>
        <v>Sports</v>
      </c>
      <c r="L264" t="str">
        <f>VLOOKUP($C264,Table1[],4,FALSE)</f>
        <v>Fitness</v>
      </c>
      <c r="M264" t="str">
        <f>VLOOKUP($C264,Table1[],5,FALSE)</f>
        <v>Montgomery, Benton and Miller</v>
      </c>
      <c r="N264">
        <f>VLOOKUP($C264,Table1[],6,FALSE)</f>
        <v>240.63</v>
      </c>
      <c r="O264">
        <f>VLOOKUP($C264,Table1[],7,FALSE)</f>
        <v>423</v>
      </c>
      <c r="P264" t="str">
        <f>_xlfn.XLOOKUP($B264,Table3[Store_ID],Table3[Store_Name])</f>
        <v>Martinez-Mullins</v>
      </c>
      <c r="Q264" t="str" cm="1">
        <f t="array" ref="Q264">_xlfn.XLOOKUP($B264,Store_Dim!$A$2:$A$21,Table3[Region])</f>
        <v>South</v>
      </c>
      <c r="R264" t="str" cm="1">
        <f t="array" ref="R264">_xlfn.XLOOKUP($B264,Store_Dim!$A$2:$A$21,Table3[Store_Type])</f>
        <v>Online</v>
      </c>
      <c r="S264">
        <f>VLOOKUP(Table7[[#This Row],[Customer ID]],Table6[[Customer_ID]:[Total_Amount]],8,FALSE)</f>
        <v>154.74359999999999</v>
      </c>
    </row>
    <row r="265" spans="1:19" x14ac:dyDescent="0.3">
      <c r="A265" t="s">
        <v>835</v>
      </c>
      <c r="B265" t="str">
        <f>_xlfn.XLOOKUP(Table7[[#This Row],[Customer ID]],Table6[Customer_ID],Table6[Store_ID])</f>
        <v>STORE10</v>
      </c>
      <c r="C265" t="str">
        <f>_xlfn.XLOOKUP(Table7[[#This Row],[Customer ID]],Table6[Customer_ID],Table6[Product_ID])</f>
        <v>PROD22</v>
      </c>
      <c r="D265" t="str">
        <f>VLOOKUP(Table7[[#This Row],[Customer ID]],Table4[#All],2,FALSE)</f>
        <v>Matthew Payne</v>
      </c>
      <c r="E265">
        <f>VLOOKUP($A265,Table4[],3,FALSE)</f>
        <v>25</v>
      </c>
      <c r="F265" t="str">
        <f>VLOOKUP($A265,Table4[],4,FALSE)</f>
        <v>Male</v>
      </c>
      <c r="G265" t="str">
        <f>VLOOKUP($A265,Table4[],5,FALSE)</f>
        <v>Grahamfurt</v>
      </c>
      <c r="H265" t="str">
        <f>VLOOKUP($A265,Table4[],6,FALSE)</f>
        <v>Wyoming</v>
      </c>
      <c r="I265" t="str">
        <f>VLOOKUP($A265,Table4[],8,FALSE)</f>
        <v>Gold</v>
      </c>
      <c r="J265" t="str">
        <f>VLOOKUP($C265,Table1[],2,FALSE)</f>
        <v>Carbon Fiber Tennis Racket</v>
      </c>
      <c r="K265" t="str">
        <f>VLOOKUP($C265,Table1[],3,FALSE)</f>
        <v>Sports</v>
      </c>
      <c r="L265" t="str">
        <f>VLOOKUP($C265,Table1[],4,FALSE)</f>
        <v>Equipment</v>
      </c>
      <c r="M265" t="str">
        <f>VLOOKUP($C265,Table1[],5,FALSE)</f>
        <v>Flores, Pineda and Rodriguez</v>
      </c>
      <c r="N265">
        <f>VLOOKUP($C265,Table1[],6,FALSE)</f>
        <v>484.62</v>
      </c>
      <c r="O265">
        <f>VLOOKUP($C265,Table1[],7,FALSE)</f>
        <v>432</v>
      </c>
      <c r="P265" t="str">
        <f>_xlfn.XLOOKUP($B265,Table3[Store_ID],Table3[Store_Name])</f>
        <v>Hill, Wagner and Ballard</v>
      </c>
      <c r="Q265" t="str" cm="1">
        <f t="array" ref="Q265">_xlfn.XLOOKUP($B265,Store_Dim!$A$2:$A$21,Table3[Region])</f>
        <v>East</v>
      </c>
      <c r="R265" t="str" cm="1">
        <f t="array" ref="R265">_xlfn.XLOOKUP($B265,Store_Dim!$A$2:$A$21,Table3[Store_Type])</f>
        <v>Online</v>
      </c>
      <c r="S265">
        <f>VLOOKUP(Table7[[#This Row],[Customer ID]],Table6[[Customer_ID]:[Total_Amount]],8,FALSE)</f>
        <v>1245.3119999999999</v>
      </c>
    </row>
    <row r="266" spans="1:19" x14ac:dyDescent="0.3">
      <c r="A266" t="s">
        <v>839</v>
      </c>
      <c r="B266" t="str">
        <f>_xlfn.XLOOKUP(Table7[[#This Row],[Customer ID]],Table6[Customer_ID],Table6[Store_ID])</f>
        <v>STORE1</v>
      </c>
      <c r="C266" t="str">
        <f>_xlfn.XLOOKUP(Table7[[#This Row],[Customer ID]],Table6[Customer_ID],Table6[Product_ID])</f>
        <v>PROD87</v>
      </c>
      <c r="D266" t="str">
        <f>VLOOKUP(Table7[[#This Row],[Customer ID]],Table4[#All],2,FALSE)</f>
        <v>Tracy Kelly</v>
      </c>
      <c r="E266">
        <f>VLOOKUP($A266,Table4[],3,FALSE)</f>
        <v>38</v>
      </c>
      <c r="F266" t="str">
        <f>VLOOKUP($A266,Table4[],4,FALSE)</f>
        <v>Male</v>
      </c>
      <c r="G266" t="str">
        <f>VLOOKUP($A266,Table4[],5,FALSE)</f>
        <v>West Jamieport</v>
      </c>
      <c r="H266" t="str">
        <f>VLOOKUP($A266,Table4[],6,FALSE)</f>
        <v>Tennessee</v>
      </c>
      <c r="I266" t="str">
        <f>VLOOKUP($A266,Table4[],8,FALSE)</f>
        <v>Silver</v>
      </c>
      <c r="J266" t="str">
        <f>VLOOKUP($C266,Table1[],2,FALSE)</f>
        <v>LED Bedside Lamp</v>
      </c>
      <c r="K266" t="str">
        <f>VLOOKUP($C266,Table1[],3,FALSE)</f>
        <v>Home</v>
      </c>
      <c r="L266" t="str">
        <f>VLOOKUP($C266,Table1[],4,FALSE)</f>
        <v>Lighting</v>
      </c>
      <c r="M266" t="str">
        <f>VLOOKUP($C266,Table1[],5,FALSE)</f>
        <v>Aguilar, Horton and Lewis</v>
      </c>
      <c r="N266">
        <f>VLOOKUP($C266,Table1[],6,FALSE)</f>
        <v>371.38</v>
      </c>
      <c r="O266">
        <f>VLOOKUP($C266,Table1[],7,FALSE)</f>
        <v>220</v>
      </c>
      <c r="P266" t="str">
        <f>_xlfn.XLOOKUP($B266,Table3[Store_ID],Table3[Store_Name])</f>
        <v>Martinez, Adkins and Johnson</v>
      </c>
      <c r="Q266" t="str" cm="1">
        <f t="array" ref="Q266">_xlfn.XLOOKUP($B266,Store_Dim!$A$2:$A$21,Table3[Region])</f>
        <v>North</v>
      </c>
      <c r="R266" t="str" cm="1">
        <f t="array" ref="R266">_xlfn.XLOOKUP($B266,Store_Dim!$A$2:$A$21,Table3[Store_Type])</f>
        <v>Flagship</v>
      </c>
      <c r="S266">
        <f>VLOOKUP(Table7[[#This Row],[Customer ID]],Table6[[Customer_ID]:[Total_Amount]],8,FALSE)</f>
        <v>437.76</v>
      </c>
    </row>
    <row r="267" spans="1:19" x14ac:dyDescent="0.3">
      <c r="A267" t="s">
        <v>842</v>
      </c>
      <c r="B267" t="str">
        <f>_xlfn.XLOOKUP(Table7[[#This Row],[Customer ID]],Table6[Customer_ID],Table6[Store_ID])</f>
        <v>STORE19</v>
      </c>
      <c r="C267" t="str">
        <f>_xlfn.XLOOKUP(Table7[[#This Row],[Customer ID]],Table6[Customer_ID],Table6[Product_ID])</f>
        <v>PROD15</v>
      </c>
      <c r="D267" t="str">
        <f>VLOOKUP(Table7[[#This Row],[Customer ID]],Table4[#All],2,FALSE)</f>
        <v>Cynthia Payne</v>
      </c>
      <c r="E267">
        <f>VLOOKUP($A267,Table4[],3,FALSE)</f>
        <v>32</v>
      </c>
      <c r="F267" t="str">
        <f>VLOOKUP($A267,Table4[],4,FALSE)</f>
        <v>Female</v>
      </c>
      <c r="G267" t="str">
        <f>VLOOKUP($A267,Table4[],5,FALSE)</f>
        <v>South Gina</v>
      </c>
      <c r="H267" t="str">
        <f>VLOOKUP($A267,Table4[],6,FALSE)</f>
        <v>Kentucky</v>
      </c>
      <c r="I267" t="str">
        <f>VLOOKUP($A267,Table4[],8,FALSE)</f>
        <v>Bronze</v>
      </c>
      <c r="J267" t="str">
        <f>VLOOKUP($C267,Table1[],2,FALSE)</f>
        <v>4K Home Projector</v>
      </c>
      <c r="K267" t="str">
        <f>VLOOKUP($C267,Table1[],3,FALSE)</f>
        <v>Electronics</v>
      </c>
      <c r="L267" t="str">
        <f>VLOOKUP($C267,Table1[],4,FALSE)</f>
        <v>Appliances</v>
      </c>
      <c r="M267" t="str">
        <f>VLOOKUP($C267,Table1[],5,FALSE)</f>
        <v>Thomas LLC</v>
      </c>
      <c r="N267">
        <f>VLOOKUP($C267,Table1[],6,FALSE)</f>
        <v>465.34</v>
      </c>
      <c r="O267">
        <f>VLOOKUP($C267,Table1[],7,FALSE)</f>
        <v>301</v>
      </c>
      <c r="P267" t="str">
        <f>_xlfn.XLOOKUP($B267,Table3[Store_ID],Table3[Store_Name])</f>
        <v>Mann-Austin</v>
      </c>
      <c r="Q267" t="str" cm="1">
        <f t="array" ref="Q267">_xlfn.XLOOKUP($B267,Store_Dim!$A$2:$A$21,Table3[Region])</f>
        <v>East</v>
      </c>
      <c r="R267" t="str" cm="1">
        <f t="array" ref="R267">_xlfn.XLOOKUP($B267,Store_Dim!$A$2:$A$21,Table3[Store_Type])</f>
        <v>Online</v>
      </c>
      <c r="S267">
        <f>VLOOKUP(Table7[[#This Row],[Customer ID]],Table6[[Customer_ID]:[Total_Amount]],8,FALSE)</f>
        <v>286.22519999999997</v>
      </c>
    </row>
    <row r="268" spans="1:19" x14ac:dyDescent="0.3">
      <c r="A268" t="s">
        <v>847</v>
      </c>
      <c r="B268" t="str">
        <f>_xlfn.XLOOKUP(Table7[[#This Row],[Customer ID]],Table6[Customer_ID],Table6[Store_ID])</f>
        <v>STORE8</v>
      </c>
      <c r="C268" t="str">
        <f>_xlfn.XLOOKUP(Table7[[#This Row],[Customer ID]],Table6[Customer_ID],Table6[Product_ID])</f>
        <v>PROD58</v>
      </c>
      <c r="D268" t="str">
        <f>VLOOKUP(Table7[[#This Row],[Customer ID]],Table4[#All],2,FALSE)</f>
        <v>Kevin Orr</v>
      </c>
      <c r="E268">
        <f>VLOOKUP($A268,Table4[],3,FALSE)</f>
        <v>53</v>
      </c>
      <c r="F268" t="str">
        <f>VLOOKUP($A268,Table4[],4,FALSE)</f>
        <v>Female</v>
      </c>
      <c r="G268" t="str">
        <f>VLOOKUP($A268,Table4[],5,FALSE)</f>
        <v>Ryanberg</v>
      </c>
      <c r="H268" t="str">
        <f>VLOOKUP($A268,Table4[],6,FALSE)</f>
        <v>Minnesota</v>
      </c>
      <c r="I268" t="str">
        <f>VLOOKUP($A268,Table4[],8,FALSE)</f>
        <v>Bronze</v>
      </c>
      <c r="J268" t="str">
        <f>VLOOKUP($C268,Table1[],2,FALSE)</f>
        <v>Womens Cotton Scarf</v>
      </c>
      <c r="K268" t="str">
        <f>VLOOKUP($C268,Table1[],3,FALSE)</f>
        <v>Clothing</v>
      </c>
      <c r="L268" t="str">
        <f>VLOOKUP($C268,Table1[],4,FALSE)</f>
        <v>Accessories</v>
      </c>
      <c r="M268" t="str">
        <f>VLOOKUP($C268,Table1[],5,FALSE)</f>
        <v>Shepherd-Gould</v>
      </c>
      <c r="N268">
        <f>VLOOKUP($C268,Table1[],6,FALSE)</f>
        <v>113.83</v>
      </c>
      <c r="O268">
        <f>VLOOKUP($C268,Table1[],7,FALSE)</f>
        <v>485</v>
      </c>
      <c r="P268" t="str">
        <f>_xlfn.XLOOKUP($B268,Table3[Store_ID],Table3[Store_Name])</f>
        <v>Bean, Jones and Park</v>
      </c>
      <c r="Q268" t="str" cm="1">
        <f t="array" ref="Q268">_xlfn.XLOOKUP($B268,Store_Dim!$A$2:$A$21,Table3[Region])</f>
        <v>West</v>
      </c>
      <c r="R268" t="str" cm="1">
        <f t="array" ref="R268">_xlfn.XLOOKUP($B268,Store_Dim!$A$2:$A$21,Table3[Store_Type])</f>
        <v>Online</v>
      </c>
      <c r="S268">
        <f>VLOOKUP(Table7[[#This Row],[Customer ID]],Table6[[Customer_ID]:[Total_Amount]],8,FALSE)</f>
        <v>867.5</v>
      </c>
    </row>
    <row r="269" spans="1:19" x14ac:dyDescent="0.3">
      <c r="A269" t="s">
        <v>850</v>
      </c>
      <c r="B269" t="str">
        <f>_xlfn.XLOOKUP(Table7[[#This Row],[Customer ID]],Table6[Customer_ID],Table6[Store_ID])</f>
        <v>STORE2</v>
      </c>
      <c r="C269" t="str">
        <f>_xlfn.XLOOKUP(Table7[[#This Row],[Customer ID]],Table6[Customer_ID],Table6[Product_ID])</f>
        <v>PROD77</v>
      </c>
      <c r="D269" t="str">
        <f>VLOOKUP(Table7[[#This Row],[Customer ID]],Table4[#All],2,FALSE)</f>
        <v>Tyrone Olson</v>
      </c>
      <c r="E269">
        <f>VLOOKUP($A269,Table4[],3,FALSE)</f>
        <v>45</v>
      </c>
      <c r="F269" t="str">
        <f>VLOOKUP($A269,Table4[],4,FALSE)</f>
        <v>Female</v>
      </c>
      <c r="G269" t="str">
        <f>VLOOKUP($A269,Table4[],5,FALSE)</f>
        <v>Emilytown</v>
      </c>
      <c r="H269" t="str">
        <f>VLOOKUP($A269,Table4[],6,FALSE)</f>
        <v>California</v>
      </c>
      <c r="I269" t="str">
        <f>VLOOKUP($A269,Table4[],8,FALSE)</f>
        <v>Silver</v>
      </c>
      <c r="J269" t="str">
        <f>VLOOKUP($C269,Table1[],2,FALSE)</f>
        <v>WiFi Mesh Router</v>
      </c>
      <c r="K269" t="str">
        <f>VLOOKUP($C269,Table1[],3,FALSE)</f>
        <v>Electronics</v>
      </c>
      <c r="L269" t="str">
        <f>VLOOKUP($C269,Table1[],4,FALSE)</f>
        <v>Appliances</v>
      </c>
      <c r="M269" t="str">
        <f>VLOOKUP($C269,Table1[],5,FALSE)</f>
        <v>White, Reeves and Woods</v>
      </c>
      <c r="N269">
        <f>VLOOKUP($C269,Table1[],6,FALSE)</f>
        <v>480.9</v>
      </c>
      <c r="O269">
        <f>VLOOKUP($C269,Table1[],7,FALSE)</f>
        <v>104</v>
      </c>
      <c r="P269" t="str">
        <f>_xlfn.XLOOKUP($B269,Table3[Store_ID],Table3[Store_Name])</f>
        <v>Black-Horn</v>
      </c>
      <c r="Q269" t="str" cm="1">
        <f t="array" ref="Q269">_xlfn.XLOOKUP($B269,Store_Dim!$A$2:$A$21,Table3[Region])</f>
        <v>South</v>
      </c>
      <c r="R269" t="str" cm="1">
        <f t="array" ref="R269">_xlfn.XLOOKUP($B269,Store_Dim!$A$2:$A$21,Table3[Store_Type])</f>
        <v>Outlet</v>
      </c>
      <c r="S269">
        <f>VLOOKUP(Table7[[#This Row],[Customer ID]],Table6[[Customer_ID]:[Total_Amount]],8,FALSE)</f>
        <v>2670.74</v>
      </c>
    </row>
    <row r="270" spans="1:19" x14ac:dyDescent="0.3">
      <c r="A270" t="s">
        <v>853</v>
      </c>
      <c r="B270" t="str">
        <f>_xlfn.XLOOKUP(Table7[[#This Row],[Customer ID]],Table6[Customer_ID],Table6[Store_ID])</f>
        <v>STORE15</v>
      </c>
      <c r="C270" t="str">
        <f>_xlfn.XLOOKUP(Table7[[#This Row],[Customer ID]],Table6[Customer_ID],Table6[Product_ID])</f>
        <v>PROD19</v>
      </c>
      <c r="D270" t="str">
        <f>VLOOKUP(Table7[[#This Row],[Customer ID]],Table4[#All],2,FALSE)</f>
        <v>Brian Garcia</v>
      </c>
      <c r="E270">
        <f>VLOOKUP($A270,Table4[],3,FALSE)</f>
        <v>31</v>
      </c>
      <c r="F270" t="str">
        <f>VLOOKUP($A270,Table4[],4,FALSE)</f>
        <v>Female</v>
      </c>
      <c r="G270" t="str">
        <f>VLOOKUP($A270,Table4[],5,FALSE)</f>
        <v>Ramosmouth</v>
      </c>
      <c r="H270" t="str">
        <f>VLOOKUP($A270,Table4[],6,FALSE)</f>
        <v>Louisiana</v>
      </c>
      <c r="I270" t="str">
        <f>VLOOKUP($A270,Table4[],8,FALSE)</f>
        <v>Gold</v>
      </c>
      <c r="J270" t="str">
        <f>VLOOKUP($C270,Table1[],2,FALSE)</f>
        <v>Knee Support Brace</v>
      </c>
      <c r="K270" t="str">
        <f>VLOOKUP($C270,Table1[],3,FALSE)</f>
        <v>Sports</v>
      </c>
      <c r="L270" t="str">
        <f>VLOOKUP($C270,Table1[],4,FALSE)</f>
        <v>Equipment</v>
      </c>
      <c r="M270" t="str">
        <f>VLOOKUP($C270,Table1[],5,FALSE)</f>
        <v>May-Reese</v>
      </c>
      <c r="N270">
        <f>VLOOKUP($C270,Table1[],6,FALSE)</f>
        <v>21.34</v>
      </c>
      <c r="O270">
        <f>VLOOKUP($C270,Table1[],7,FALSE)</f>
        <v>65</v>
      </c>
      <c r="P270" t="str">
        <f>_xlfn.XLOOKUP($B270,Table3[Store_ID],Table3[Store_Name])</f>
        <v>Shelton PLC</v>
      </c>
      <c r="Q270" t="str" cm="1">
        <f t="array" ref="Q270">_xlfn.XLOOKUP($B270,Store_Dim!$A$2:$A$21,Table3[Region])</f>
        <v>North</v>
      </c>
      <c r="R270" t="str" cm="1">
        <f t="array" ref="R270">_xlfn.XLOOKUP($B270,Store_Dim!$A$2:$A$21,Table3[Store_Type])</f>
        <v>Flagship</v>
      </c>
      <c r="S270">
        <f>VLOOKUP(Table7[[#This Row],[Customer ID]],Table6[[Customer_ID]:[Total_Amount]],8,FALSE)</f>
        <v>1548.1769999999999</v>
      </c>
    </row>
    <row r="271" spans="1:19" x14ac:dyDescent="0.3">
      <c r="A271" t="s">
        <v>856</v>
      </c>
      <c r="B271" t="str">
        <f>_xlfn.XLOOKUP(Table7[[#This Row],[Customer ID]],Table6[Customer_ID],Table6[Store_ID])</f>
        <v>STORE5</v>
      </c>
      <c r="C271" t="str">
        <f>_xlfn.XLOOKUP(Table7[[#This Row],[Customer ID]],Table6[Customer_ID],Table6[Product_ID])</f>
        <v>PROD74</v>
      </c>
      <c r="D271" t="str">
        <f>VLOOKUP(Table7[[#This Row],[Customer ID]],Table4[#All],2,FALSE)</f>
        <v>Daisy Johnson Dds</v>
      </c>
      <c r="E271">
        <f>VLOOKUP($A271,Table4[],3,FALSE)</f>
        <v>64</v>
      </c>
      <c r="F271" t="str">
        <f>VLOOKUP($A271,Table4[],4,FALSE)</f>
        <v>Male</v>
      </c>
      <c r="G271" t="str">
        <f>VLOOKUP($A271,Table4[],5,FALSE)</f>
        <v>North Stephanie</v>
      </c>
      <c r="H271" t="str">
        <f>VLOOKUP($A271,Table4[],6,FALSE)</f>
        <v>Nebraska</v>
      </c>
      <c r="I271" t="str">
        <f>VLOOKUP($A271,Table4[],8,FALSE)</f>
        <v>Platinum</v>
      </c>
      <c r="J271" t="str">
        <f>VLOOKUP($C271,Table1[],2,FALSE)</f>
        <v>Bluetooth Car Audio System</v>
      </c>
      <c r="K271" t="str">
        <f>VLOOKUP($C271,Table1[],3,FALSE)</f>
        <v>Electronics</v>
      </c>
      <c r="L271" t="str">
        <f>VLOOKUP($C271,Table1[],4,FALSE)</f>
        <v>Audio</v>
      </c>
      <c r="M271" t="str">
        <f>VLOOKUP($C271,Table1[],5,FALSE)</f>
        <v>Bruce-Bowen</v>
      </c>
      <c r="N271">
        <f>VLOOKUP($C271,Table1[],6,FALSE)</f>
        <v>403.71</v>
      </c>
      <c r="O271">
        <f>VLOOKUP($C271,Table1[],7,FALSE)</f>
        <v>159</v>
      </c>
      <c r="P271" t="str">
        <f>_xlfn.XLOOKUP($B271,Table3[Store_ID],Table3[Store_Name])</f>
        <v>Gray Ltd</v>
      </c>
      <c r="Q271" t="str" cm="1">
        <f t="array" ref="Q271">_xlfn.XLOOKUP($B271,Store_Dim!$A$2:$A$21,Table3[Region])</f>
        <v>North</v>
      </c>
      <c r="R271" t="str" cm="1">
        <f t="array" ref="R271">_xlfn.XLOOKUP($B271,Store_Dim!$A$2:$A$21,Table3[Store_Type])</f>
        <v>Outlet</v>
      </c>
      <c r="S271">
        <f>VLOOKUP(Table7[[#This Row],[Customer ID]],Table6[[Customer_ID]:[Total_Amount]],8,FALSE)</f>
        <v>366.95339999999999</v>
      </c>
    </row>
    <row r="272" spans="1:19" x14ac:dyDescent="0.3">
      <c r="A272" t="s">
        <v>858</v>
      </c>
      <c r="B272" t="str">
        <f>_xlfn.XLOOKUP(Table7[[#This Row],[Customer ID]],Table6[Customer_ID],Table6[Store_ID])</f>
        <v>STORE6</v>
      </c>
      <c r="C272" t="str">
        <f>_xlfn.XLOOKUP(Table7[[#This Row],[Customer ID]],Table6[Customer_ID],Table6[Product_ID])</f>
        <v>PROD81</v>
      </c>
      <c r="D272" t="str">
        <f>VLOOKUP(Table7[[#This Row],[Customer ID]],Table4[#All],2,FALSE)</f>
        <v>Adam Rowland</v>
      </c>
      <c r="E272">
        <f>VLOOKUP($A272,Table4[],3,FALSE)</f>
        <v>48</v>
      </c>
      <c r="F272" t="str">
        <f>VLOOKUP($A272,Table4[],4,FALSE)</f>
        <v>Female</v>
      </c>
      <c r="G272" t="str">
        <f>VLOOKUP($A272,Table4[],5,FALSE)</f>
        <v>Welchview</v>
      </c>
      <c r="H272" t="str">
        <f>VLOOKUP($A272,Table4[],6,FALSE)</f>
        <v>California</v>
      </c>
      <c r="I272" t="str">
        <f>VLOOKUP($A272,Table4[],8,FALSE)</f>
        <v>Gold</v>
      </c>
      <c r="J272" t="str">
        <f>VLOOKUP($C272,Table1[],2,FALSE)</f>
        <v>Badminton Racket Set</v>
      </c>
      <c r="K272" t="str">
        <f>VLOOKUP($C272,Table1[],3,FALSE)</f>
        <v>Sports</v>
      </c>
      <c r="L272" t="str">
        <f>VLOOKUP($C272,Table1[],4,FALSE)</f>
        <v>Equipment</v>
      </c>
      <c r="M272" t="str">
        <f>VLOOKUP($C272,Table1[],5,FALSE)</f>
        <v>Robinson-Brown</v>
      </c>
      <c r="N272">
        <f>VLOOKUP($C272,Table1[],6,FALSE)</f>
        <v>285.54000000000002</v>
      </c>
      <c r="O272">
        <f>VLOOKUP($C272,Table1[],7,FALSE)</f>
        <v>358</v>
      </c>
      <c r="P272" t="str">
        <f>_xlfn.XLOOKUP($B272,Table3[Store_ID],Table3[Store_Name])</f>
        <v>Benson-Elliott</v>
      </c>
      <c r="Q272" t="str" cm="1">
        <f t="array" ref="Q272">_xlfn.XLOOKUP($B272,Store_Dim!$A$2:$A$21,Table3[Region])</f>
        <v>East</v>
      </c>
      <c r="R272" t="str" cm="1">
        <f t="array" ref="R272">_xlfn.XLOOKUP($B272,Store_Dim!$A$2:$A$21,Table3[Store_Type])</f>
        <v>Online</v>
      </c>
      <c r="S272">
        <f>VLOOKUP(Table7[[#This Row],[Customer ID]],Table6[[Customer_ID]:[Total_Amount]],8,FALSE)</f>
        <v>1087.6733999999999</v>
      </c>
    </row>
    <row r="273" spans="1:19" x14ac:dyDescent="0.3">
      <c r="A273" t="s">
        <v>861</v>
      </c>
      <c r="B273" t="str">
        <f>_xlfn.XLOOKUP(Table7[[#This Row],[Customer ID]],Table6[Customer_ID],Table6[Store_ID])</f>
        <v>STORE8</v>
      </c>
      <c r="C273" t="str">
        <f>_xlfn.XLOOKUP(Table7[[#This Row],[Customer ID]],Table6[Customer_ID],Table6[Product_ID])</f>
        <v>PROD20</v>
      </c>
      <c r="D273" t="str">
        <f>VLOOKUP(Table7[[#This Row],[Customer ID]],Table4[#All],2,FALSE)</f>
        <v>Samantha Robinson</v>
      </c>
      <c r="E273">
        <f>VLOOKUP($A273,Table4[],3,FALSE)</f>
        <v>23</v>
      </c>
      <c r="F273" t="str">
        <f>VLOOKUP($A273,Table4[],4,FALSE)</f>
        <v>Male</v>
      </c>
      <c r="G273" t="str">
        <f>VLOOKUP($A273,Table4[],5,FALSE)</f>
        <v>North Roy</v>
      </c>
      <c r="H273" t="str">
        <f>VLOOKUP($A273,Table4[],6,FALSE)</f>
        <v>Mississippi</v>
      </c>
      <c r="I273" t="str">
        <f>VLOOKUP($A273,Table4[],8,FALSE)</f>
        <v>Bronze</v>
      </c>
      <c r="J273" t="str">
        <f>VLOOKUP($C273,Table1[],2,FALSE)</f>
        <v>Outdoor Sports Water Bottle</v>
      </c>
      <c r="K273" t="str">
        <f>VLOOKUP($C273,Table1[],3,FALSE)</f>
        <v>Sports</v>
      </c>
      <c r="L273" t="str">
        <f>VLOOKUP($C273,Table1[],4,FALSE)</f>
        <v>Accessories</v>
      </c>
      <c r="M273" t="str">
        <f>VLOOKUP($C273,Table1[],5,FALSE)</f>
        <v>Soto-Ellis</v>
      </c>
      <c r="N273">
        <f>VLOOKUP($C273,Table1[],6,FALSE)</f>
        <v>131.51</v>
      </c>
      <c r="O273">
        <f>VLOOKUP($C273,Table1[],7,FALSE)</f>
        <v>199</v>
      </c>
      <c r="P273" t="str">
        <f>_xlfn.XLOOKUP($B273,Table3[Store_ID],Table3[Store_Name])</f>
        <v>Bean, Jones and Park</v>
      </c>
      <c r="Q273" t="str" cm="1">
        <f t="array" ref="Q273">_xlfn.XLOOKUP($B273,Store_Dim!$A$2:$A$21,Table3[Region])</f>
        <v>West</v>
      </c>
      <c r="R273" t="str" cm="1">
        <f t="array" ref="R273">_xlfn.XLOOKUP($B273,Store_Dim!$A$2:$A$21,Table3[Store_Type])</f>
        <v>Online</v>
      </c>
      <c r="S273">
        <f>VLOOKUP(Table7[[#This Row],[Customer ID]],Table6[[Customer_ID]:[Total_Amount]],8,FALSE)</f>
        <v>166.482</v>
      </c>
    </row>
    <row r="274" spans="1:19" x14ac:dyDescent="0.3">
      <c r="A274" t="s">
        <v>864</v>
      </c>
      <c r="B274" t="str">
        <f>_xlfn.XLOOKUP(Table7[[#This Row],[Customer ID]],Table6[Customer_ID],Table6[Store_ID])</f>
        <v>STORE7</v>
      </c>
      <c r="C274" t="str">
        <f>_xlfn.XLOOKUP(Table7[[#This Row],[Customer ID]],Table6[Customer_ID],Table6[Product_ID])</f>
        <v>PROD47</v>
      </c>
      <c r="D274" t="str">
        <f>VLOOKUP(Table7[[#This Row],[Customer ID]],Table4[#All],2,FALSE)</f>
        <v>Sarah Lane</v>
      </c>
      <c r="E274">
        <f>VLOOKUP($A274,Table4[],3,FALSE)</f>
        <v>38</v>
      </c>
      <c r="F274" t="str">
        <f>VLOOKUP($A274,Table4[],4,FALSE)</f>
        <v>Male</v>
      </c>
      <c r="G274" t="str">
        <f>VLOOKUP($A274,Table4[],5,FALSE)</f>
        <v>Edwardborough</v>
      </c>
      <c r="H274" t="str">
        <f>VLOOKUP($A274,Table4[],6,FALSE)</f>
        <v>Vermont</v>
      </c>
      <c r="I274" t="str">
        <f>VLOOKUP($A274,Table4[],8,FALSE)</f>
        <v>Silver</v>
      </c>
      <c r="J274" t="str">
        <f>VLOOKUP($C274,Table1[],2,FALSE)</f>
        <v>Makeup Brush Set</v>
      </c>
      <c r="K274" t="str">
        <f>VLOOKUP($C274,Table1[],3,FALSE)</f>
        <v>Beauty</v>
      </c>
      <c r="L274" t="str">
        <f>VLOOKUP($C274,Table1[],4,FALSE)</f>
        <v>Makeup</v>
      </c>
      <c r="M274" t="str">
        <f>VLOOKUP($C274,Table1[],5,FALSE)</f>
        <v>Cook Inc</v>
      </c>
      <c r="N274">
        <f>VLOOKUP($C274,Table1[],6,FALSE)</f>
        <v>241.07</v>
      </c>
      <c r="O274">
        <f>VLOOKUP($C274,Table1[],7,FALSE)</f>
        <v>431</v>
      </c>
      <c r="P274" t="str">
        <f>_xlfn.XLOOKUP($B274,Table3[Store_ID],Table3[Store_Name])</f>
        <v>Martinez-Mullins</v>
      </c>
      <c r="Q274" t="str" cm="1">
        <f t="array" ref="Q274">_xlfn.XLOOKUP($B274,Store_Dim!$A$2:$A$21,Table3[Region])</f>
        <v>South</v>
      </c>
      <c r="R274" t="str" cm="1">
        <f t="array" ref="R274">_xlfn.XLOOKUP($B274,Store_Dim!$A$2:$A$21,Table3[Store_Type])</f>
        <v>Online</v>
      </c>
      <c r="S274">
        <f>VLOOKUP(Table7[[#This Row],[Customer ID]],Table6[[Customer_ID]:[Total_Amount]],8,FALSE)</f>
        <v>217.77209999999999</v>
      </c>
    </row>
    <row r="275" spans="1:19" x14ac:dyDescent="0.3">
      <c r="A275" t="s">
        <v>867</v>
      </c>
      <c r="B275" t="str">
        <f>_xlfn.XLOOKUP(Table7[[#This Row],[Customer ID]],Table6[Customer_ID],Table6[Store_ID])</f>
        <v>STORE12</v>
      </c>
      <c r="C275" t="str">
        <f>_xlfn.XLOOKUP(Table7[[#This Row],[Customer ID]],Table6[Customer_ID],Table6[Product_ID])</f>
        <v>PROD69</v>
      </c>
      <c r="D275" t="str">
        <f>VLOOKUP(Table7[[#This Row],[Customer ID]],Table4[#All],2,FALSE)</f>
        <v>Shannon Miller</v>
      </c>
      <c r="E275">
        <f>VLOOKUP($A275,Table4[],3,FALSE)</f>
        <v>22</v>
      </c>
      <c r="F275" t="str">
        <f>VLOOKUP($A275,Table4[],4,FALSE)</f>
        <v>Male</v>
      </c>
      <c r="G275" t="str">
        <f>VLOOKUP($A275,Table4[],5,FALSE)</f>
        <v>North Austinport</v>
      </c>
      <c r="H275" t="str">
        <f>VLOOKUP($A275,Table4[],6,FALSE)</f>
        <v>Kentucky</v>
      </c>
      <c r="I275" t="str">
        <f>VLOOKUP($A275,Table4[],8,FALSE)</f>
        <v>Gold</v>
      </c>
      <c r="J275" t="str">
        <f>VLOOKUP($C275,Table1[],2,FALSE)</f>
        <v>Men's Sports Shorts</v>
      </c>
      <c r="K275" t="str">
        <f>VLOOKUP($C275,Table1[],3,FALSE)</f>
        <v>Clothing</v>
      </c>
      <c r="L275" t="str">
        <f>VLOOKUP($C275,Table1[],4,FALSE)</f>
        <v>Bottoms</v>
      </c>
      <c r="M275" t="str">
        <f>VLOOKUP($C275,Table1[],5,FALSE)</f>
        <v>Fitzpatrick Ltd</v>
      </c>
      <c r="N275">
        <f>VLOOKUP($C275,Table1[],6,FALSE)</f>
        <v>218.22</v>
      </c>
      <c r="O275">
        <f>VLOOKUP($C275,Table1[],7,FALSE)</f>
        <v>224</v>
      </c>
      <c r="P275" t="str">
        <f>_xlfn.XLOOKUP($B275,Table3[Store_ID],Table3[Store_Name])</f>
        <v>Thomas, Bridges and Harris</v>
      </c>
      <c r="Q275" t="str" cm="1">
        <f t="array" ref="Q275">_xlfn.XLOOKUP($B275,Store_Dim!$A$2:$A$21,Table3[Region])</f>
        <v>North</v>
      </c>
      <c r="R275" t="str" cm="1">
        <f t="array" ref="R275">_xlfn.XLOOKUP($B275,Store_Dim!$A$2:$A$21,Table3[Store_Type])</f>
        <v>Online</v>
      </c>
      <c r="S275">
        <f>VLOOKUP(Table7[[#This Row],[Customer ID]],Table6[[Customer_ID]:[Total_Amount]],8,FALSE)</f>
        <v>1519.6104</v>
      </c>
    </row>
    <row r="276" spans="1:19" x14ac:dyDescent="0.3">
      <c r="A276" t="s">
        <v>870</v>
      </c>
      <c r="B276" t="str">
        <f>_xlfn.XLOOKUP(Table7[[#This Row],[Customer ID]],Table6[Customer_ID],Table6[Store_ID])</f>
        <v>STORE19</v>
      </c>
      <c r="C276" t="str">
        <f>_xlfn.XLOOKUP(Table7[[#This Row],[Customer ID]],Table6[Customer_ID],Table6[Product_ID])</f>
        <v>PROD65</v>
      </c>
      <c r="D276" t="str">
        <f>VLOOKUP(Table7[[#This Row],[Customer ID]],Table4[#All],2,FALSE)</f>
        <v>Arthur Warren</v>
      </c>
      <c r="E276">
        <f>VLOOKUP($A276,Table4[],3,FALSE)</f>
        <v>38</v>
      </c>
      <c r="F276" t="str">
        <f>VLOOKUP($A276,Table4[],4,FALSE)</f>
        <v>Male</v>
      </c>
      <c r="G276" t="str">
        <f>VLOOKUP($A276,Table4[],5,FALSE)</f>
        <v>Ericshire</v>
      </c>
      <c r="H276" t="str">
        <f>VLOOKUP($A276,Table4[],6,FALSE)</f>
        <v>Nevada</v>
      </c>
      <c r="I276" t="str">
        <f>VLOOKUP($A276,Table4[],8,FALSE)</f>
        <v>Gold</v>
      </c>
      <c r="J276" t="str">
        <f>VLOOKUP($C276,Table1[],2,FALSE)</f>
        <v>Adjustable Dumbbells 20kg</v>
      </c>
      <c r="K276" t="str">
        <f>VLOOKUP($C276,Table1[],3,FALSE)</f>
        <v>Sports</v>
      </c>
      <c r="L276" t="str">
        <f>VLOOKUP($C276,Table1[],4,FALSE)</f>
        <v>Fitness</v>
      </c>
      <c r="M276" t="str">
        <f>VLOOKUP($C276,Table1[],5,FALSE)</f>
        <v>Montgomery, Benton and Miller</v>
      </c>
      <c r="N276">
        <f>VLOOKUP($C276,Table1[],6,FALSE)</f>
        <v>240.63</v>
      </c>
      <c r="O276">
        <f>VLOOKUP($C276,Table1[],7,FALSE)</f>
        <v>423</v>
      </c>
      <c r="P276" t="str">
        <f>_xlfn.XLOOKUP($B276,Table3[Store_ID],Table3[Store_Name])</f>
        <v>Mann-Austin</v>
      </c>
      <c r="Q276" t="str" cm="1">
        <f t="array" ref="Q276">_xlfn.XLOOKUP($B276,Store_Dim!$A$2:$A$21,Table3[Region])</f>
        <v>East</v>
      </c>
      <c r="R276" t="str" cm="1">
        <f t="array" ref="R276">_xlfn.XLOOKUP($B276,Store_Dim!$A$2:$A$21,Table3[Store_Type])</f>
        <v>Online</v>
      </c>
      <c r="S276">
        <f>VLOOKUP(Table7[[#This Row],[Customer ID]],Table6[[Customer_ID]:[Total_Amount]],8,FALSE)</f>
        <v>677.97</v>
      </c>
    </row>
    <row r="277" spans="1:19" x14ac:dyDescent="0.3">
      <c r="A277" t="s">
        <v>873</v>
      </c>
      <c r="B277" t="str">
        <f>_xlfn.XLOOKUP(Table7[[#This Row],[Customer ID]],Table6[Customer_ID],Table6[Store_ID])</f>
        <v>STORE6</v>
      </c>
      <c r="C277" t="str">
        <f>_xlfn.XLOOKUP(Table7[[#This Row],[Customer ID]],Table6[Customer_ID],Table6[Product_ID])</f>
        <v>PROD93</v>
      </c>
      <c r="D277" t="str">
        <f>VLOOKUP(Table7[[#This Row],[Customer ID]],Table4[#All],2,FALSE)</f>
        <v>Jeffrey Gomez</v>
      </c>
      <c r="E277">
        <f>VLOOKUP($A277,Table4[],3,FALSE)</f>
        <v>22</v>
      </c>
      <c r="F277" t="str">
        <f>VLOOKUP($A277,Table4[],4,FALSE)</f>
        <v>Female</v>
      </c>
      <c r="G277" t="str">
        <f>VLOOKUP($A277,Table4[],5,FALSE)</f>
        <v>Lake Nicole</v>
      </c>
      <c r="H277" t="str">
        <f>VLOOKUP($A277,Table4[],6,FALSE)</f>
        <v>Colorado</v>
      </c>
      <c r="I277" t="str">
        <f>VLOOKUP($A277,Table4[],8,FALSE)</f>
        <v>Platinum</v>
      </c>
      <c r="J277" t="str">
        <f>VLOOKUP($C277,Table1[],2,FALSE)</f>
        <v>USB-C Laptop Charger</v>
      </c>
      <c r="K277" t="str">
        <f>VLOOKUP($C277,Table1[],3,FALSE)</f>
        <v>Electronics</v>
      </c>
      <c r="L277" t="str">
        <f>VLOOKUP($C277,Table1[],4,FALSE)</f>
        <v>Computer</v>
      </c>
      <c r="M277" t="str">
        <f>VLOOKUP($C277,Table1[],5,FALSE)</f>
        <v>Martin LLC</v>
      </c>
      <c r="N277">
        <f>VLOOKUP($C277,Table1[],6,FALSE)</f>
        <v>377.52</v>
      </c>
      <c r="O277">
        <f>VLOOKUP($C277,Table1[],7,FALSE)</f>
        <v>485</v>
      </c>
      <c r="P277" t="str">
        <f>_xlfn.XLOOKUP($B277,Table3[Store_ID],Table3[Store_Name])</f>
        <v>Benson-Elliott</v>
      </c>
      <c r="Q277" t="str" cm="1">
        <f t="array" ref="Q277">_xlfn.XLOOKUP($B277,Store_Dim!$A$2:$A$21,Table3[Region])</f>
        <v>East</v>
      </c>
      <c r="R277" t="str" cm="1">
        <f t="array" ref="R277">_xlfn.XLOOKUP($B277,Store_Dim!$A$2:$A$21,Table3[Store_Type])</f>
        <v>Online</v>
      </c>
      <c r="S277">
        <f>VLOOKUP(Table7[[#This Row],[Customer ID]],Table6[[Customer_ID]:[Total_Amount]],8,FALSE)</f>
        <v>2762.1428999999998</v>
      </c>
    </row>
    <row r="278" spans="1:19" x14ac:dyDescent="0.3">
      <c r="A278" t="s">
        <v>876</v>
      </c>
      <c r="B278" t="str">
        <f>_xlfn.XLOOKUP(Table7[[#This Row],[Customer ID]],Table6[Customer_ID],Table6[Store_ID])</f>
        <v>STORE2</v>
      </c>
      <c r="C278" t="str">
        <f>_xlfn.XLOOKUP(Table7[[#This Row],[Customer ID]],Table6[Customer_ID],Table6[Product_ID])</f>
        <v>PROD88</v>
      </c>
      <c r="D278" t="str">
        <f>VLOOKUP(Table7[[#This Row],[Customer ID]],Table4[#All],2,FALSE)</f>
        <v>Stephen Fowler</v>
      </c>
      <c r="E278">
        <f>VLOOKUP($A278,Table4[],3,FALSE)</f>
        <v>42</v>
      </c>
      <c r="F278" t="str">
        <f>VLOOKUP($A278,Table4[],4,FALSE)</f>
        <v>Female</v>
      </c>
      <c r="G278" t="str">
        <f>VLOOKUP($A278,Table4[],5,FALSE)</f>
        <v>Port Mariastad</v>
      </c>
      <c r="H278" t="str">
        <f>VLOOKUP($A278,Table4[],6,FALSE)</f>
        <v>Rhode Island</v>
      </c>
      <c r="I278" t="str">
        <f>VLOOKUP($A278,Table4[],8,FALSE)</f>
        <v>Platinum</v>
      </c>
      <c r="J278" t="str">
        <f>VLOOKUP($C278,Table1[],2,FALSE)</f>
        <v>Sports Wrist Sweatbands</v>
      </c>
      <c r="K278" t="str">
        <f>VLOOKUP($C278,Table1[],3,FALSE)</f>
        <v>Sports</v>
      </c>
      <c r="L278" t="str">
        <f>VLOOKUP($C278,Table1[],4,FALSE)</f>
        <v>Accessories</v>
      </c>
      <c r="M278" t="str">
        <f>VLOOKUP($C278,Table1[],5,FALSE)</f>
        <v>Olsen-Daniels</v>
      </c>
      <c r="N278">
        <f>VLOOKUP($C278,Table1[],6,FALSE)</f>
        <v>131.24</v>
      </c>
      <c r="O278">
        <f>VLOOKUP($C278,Table1[],7,FALSE)</f>
        <v>232</v>
      </c>
      <c r="P278" t="str">
        <f>_xlfn.XLOOKUP($B278,Table3[Store_ID],Table3[Store_Name])</f>
        <v>Black-Horn</v>
      </c>
      <c r="Q278" t="str" cm="1">
        <f t="array" ref="Q278">_xlfn.XLOOKUP($B278,Store_Dim!$A$2:$A$21,Table3[Region])</f>
        <v>South</v>
      </c>
      <c r="R278" t="str" cm="1">
        <f t="array" ref="R278">_xlfn.XLOOKUP($B278,Store_Dim!$A$2:$A$21,Table3[Store_Type])</f>
        <v>Outlet</v>
      </c>
      <c r="S278">
        <f>VLOOKUP(Table7[[#This Row],[Customer ID]],Table6[[Customer_ID]:[Total_Amount]],8,FALSE)</f>
        <v>1824.2927999999999</v>
      </c>
    </row>
    <row r="279" spans="1:19" x14ac:dyDescent="0.3">
      <c r="A279" t="s">
        <v>879</v>
      </c>
      <c r="B279" t="str">
        <f>_xlfn.XLOOKUP(Table7[[#This Row],[Customer ID]],Table6[Customer_ID],Table6[Store_ID])</f>
        <v>STORE8</v>
      </c>
      <c r="C279" t="str">
        <f>_xlfn.XLOOKUP(Table7[[#This Row],[Customer ID]],Table6[Customer_ID],Table6[Product_ID])</f>
        <v>PROD13</v>
      </c>
      <c r="D279" t="str">
        <f>VLOOKUP(Table7[[#This Row],[Customer ID]],Table4[#All],2,FALSE)</f>
        <v>Aaron Luna</v>
      </c>
      <c r="E279">
        <f>VLOOKUP($A279,Table4[],3,FALSE)</f>
        <v>21</v>
      </c>
      <c r="F279" t="str">
        <f>VLOOKUP($A279,Table4[],4,FALSE)</f>
        <v>Female</v>
      </c>
      <c r="G279" t="str">
        <f>VLOOKUP($A279,Table4[],5,FALSE)</f>
        <v>Gilltown</v>
      </c>
      <c r="H279" t="str">
        <f>VLOOKUP($A279,Table4[],6,FALSE)</f>
        <v>Ohio</v>
      </c>
      <c r="I279" t="str">
        <f>VLOOKUP($A279,Table4[],8,FALSE)</f>
        <v>Bronze</v>
      </c>
      <c r="J279" t="str">
        <f>VLOOKUP($C279,Table1[],2,FALSE)</f>
        <v>USB-C Fast Charger</v>
      </c>
      <c r="K279" t="str">
        <f>VLOOKUP($C279,Table1[],3,FALSE)</f>
        <v>Electronics</v>
      </c>
      <c r="L279" t="str">
        <f>VLOOKUP($C279,Table1[],4,FALSE)</f>
        <v>Accessories</v>
      </c>
      <c r="M279" t="str">
        <f>VLOOKUP($C279,Table1[],5,FALSE)</f>
        <v>Dawson-Perkins</v>
      </c>
      <c r="N279">
        <f>VLOOKUP($C279,Table1[],6,FALSE)</f>
        <v>242.23</v>
      </c>
      <c r="O279">
        <f>VLOOKUP($C279,Table1[],7,FALSE)</f>
        <v>453</v>
      </c>
      <c r="P279" t="str">
        <f>_xlfn.XLOOKUP($B279,Table3[Store_ID],Table3[Store_Name])</f>
        <v>Bean, Jones and Park</v>
      </c>
      <c r="Q279" t="str" cm="1">
        <f t="array" ref="Q279">_xlfn.XLOOKUP($B279,Store_Dim!$A$2:$A$21,Table3[Region])</f>
        <v>West</v>
      </c>
      <c r="R279" t="str" cm="1">
        <f t="array" ref="R279">_xlfn.XLOOKUP($B279,Store_Dim!$A$2:$A$21,Table3[Store_Type])</f>
        <v>Online</v>
      </c>
      <c r="S279">
        <f>VLOOKUP(Table7[[#This Row],[Customer ID]],Table6[[Customer_ID]:[Total_Amount]],8,FALSE)</f>
        <v>139.29</v>
      </c>
    </row>
    <row r="280" spans="1:19" x14ac:dyDescent="0.3">
      <c r="A280" t="s">
        <v>882</v>
      </c>
      <c r="B280" t="str">
        <f>_xlfn.XLOOKUP(Table7[[#This Row],[Customer ID]],Table6[Customer_ID],Table6[Store_ID])</f>
        <v>STORE13</v>
      </c>
      <c r="C280" t="str">
        <f>_xlfn.XLOOKUP(Table7[[#This Row],[Customer ID]],Table6[Customer_ID],Table6[Product_ID])</f>
        <v>PROD91</v>
      </c>
      <c r="D280" t="str">
        <f>VLOOKUP(Table7[[#This Row],[Customer ID]],Table4[#All],2,FALSE)</f>
        <v>Antonio Leon</v>
      </c>
      <c r="E280">
        <f>VLOOKUP($A280,Table4[],3,FALSE)</f>
        <v>48</v>
      </c>
      <c r="F280" t="str">
        <f>VLOOKUP($A280,Table4[],4,FALSE)</f>
        <v>Male</v>
      </c>
      <c r="G280" t="str">
        <f>VLOOKUP($A280,Table4[],5,FALSE)</f>
        <v>Morrisville</v>
      </c>
      <c r="H280" t="str">
        <f>VLOOKUP($A280,Table4[],6,FALSE)</f>
        <v>Hawaii</v>
      </c>
      <c r="I280" t="str">
        <f>VLOOKUP($A280,Table4[],8,FALSE)</f>
        <v>Bronze</v>
      </c>
      <c r="J280" t="str">
        <f>VLOOKUP($C280,Table1[],2,FALSE)</f>
        <v>Women's High Heels</v>
      </c>
      <c r="K280" t="str">
        <f>VLOOKUP($C280,Table1[],3,FALSE)</f>
        <v>Clothing</v>
      </c>
      <c r="L280" t="str">
        <f>VLOOKUP($C280,Table1[],4,FALSE)</f>
        <v>Footwear</v>
      </c>
      <c r="M280" t="str">
        <f>VLOOKUP($C280,Table1[],5,FALSE)</f>
        <v>Smith-Charles</v>
      </c>
      <c r="N280">
        <f>VLOOKUP($C280,Table1[],6,FALSE)</f>
        <v>438.25</v>
      </c>
      <c r="O280">
        <f>VLOOKUP($C280,Table1[],7,FALSE)</f>
        <v>496</v>
      </c>
      <c r="P280" t="str">
        <f>_xlfn.XLOOKUP($B280,Table3[Store_ID],Table3[Store_Name])</f>
        <v>Gardner, Humphrey and Contreras</v>
      </c>
      <c r="Q280" t="str" cm="1">
        <f t="array" ref="Q280">_xlfn.XLOOKUP($B280,Store_Dim!$A$2:$A$21,Table3[Region])</f>
        <v>East</v>
      </c>
      <c r="R280" t="str" cm="1">
        <f t="array" ref="R280">_xlfn.XLOOKUP($B280,Store_Dim!$A$2:$A$21,Table3[Store_Type])</f>
        <v>Flagship</v>
      </c>
      <c r="S280">
        <f>VLOOKUP(Table7[[#This Row],[Customer ID]],Table6[[Customer_ID]:[Total_Amount]],8,FALSE)</f>
        <v>2593.9104000000002</v>
      </c>
    </row>
    <row r="281" spans="1:19" x14ac:dyDescent="0.3">
      <c r="A281" t="s">
        <v>885</v>
      </c>
      <c r="B281" t="str">
        <f>_xlfn.XLOOKUP(Table7[[#This Row],[Customer ID]],Table6[Customer_ID],Table6[Store_ID])</f>
        <v>STORE6</v>
      </c>
      <c r="C281" t="str">
        <f>_xlfn.XLOOKUP(Table7[[#This Row],[Customer ID]],Table6[Customer_ID],Table6[Product_ID])</f>
        <v>PROD55</v>
      </c>
      <c r="D281" t="str">
        <f>VLOOKUP(Table7[[#This Row],[Customer ID]],Table4[#All],2,FALSE)</f>
        <v>Brittany Watson</v>
      </c>
      <c r="E281">
        <f>VLOOKUP($A281,Table4[],3,FALSE)</f>
        <v>59</v>
      </c>
      <c r="F281" t="str">
        <f>VLOOKUP($A281,Table4[],4,FALSE)</f>
        <v>Male</v>
      </c>
      <c r="G281" t="str">
        <f>VLOOKUP($A281,Table4[],5,FALSE)</f>
        <v>North Joshualand</v>
      </c>
      <c r="H281" t="str">
        <f>VLOOKUP($A281,Table4[],6,FALSE)</f>
        <v>Connecticut</v>
      </c>
      <c r="I281" t="str">
        <f>VLOOKUP($A281,Table4[],8,FALSE)</f>
        <v>Platinum</v>
      </c>
      <c r="J281" t="str">
        <f>VLOOKUP($C281,Table1[],2,FALSE)</f>
        <v>Ceramic Plant Pot</v>
      </c>
      <c r="K281" t="str">
        <f>VLOOKUP($C281,Table1[],3,FALSE)</f>
        <v>Home</v>
      </c>
      <c r="L281" t="str">
        <f>VLOOKUP($C281,Table1[],4,FALSE)</f>
        <v>Decor</v>
      </c>
      <c r="M281" t="str">
        <f>VLOOKUP($C281,Table1[],5,FALSE)</f>
        <v>Hatfield, Baird and Torres</v>
      </c>
      <c r="N281">
        <f>VLOOKUP($C281,Table1[],6,FALSE)</f>
        <v>81.75</v>
      </c>
      <c r="O281">
        <f>VLOOKUP($C281,Table1[],7,FALSE)</f>
        <v>331</v>
      </c>
      <c r="P281" t="str">
        <f>_xlfn.XLOOKUP($B281,Table3[Store_ID],Table3[Store_Name])</f>
        <v>Benson-Elliott</v>
      </c>
      <c r="Q281" t="str" cm="1">
        <f t="array" ref="Q281">_xlfn.XLOOKUP($B281,Store_Dim!$A$2:$A$21,Table3[Region])</f>
        <v>East</v>
      </c>
      <c r="R281" t="str" cm="1">
        <f t="array" ref="R281">_xlfn.XLOOKUP($B281,Store_Dim!$A$2:$A$21,Table3[Store_Type])</f>
        <v>Online</v>
      </c>
      <c r="S281">
        <f>VLOOKUP(Table7[[#This Row],[Customer ID]],Table6[[Customer_ID]:[Total_Amount]],8,FALSE)</f>
        <v>1402.7832000000001</v>
      </c>
    </row>
    <row r="282" spans="1:19" x14ac:dyDescent="0.3">
      <c r="A282" t="s">
        <v>888</v>
      </c>
      <c r="B282" t="str">
        <f>_xlfn.XLOOKUP(Table7[[#This Row],[Customer ID]],Table6[Customer_ID],Table6[Store_ID])</f>
        <v>STORE9</v>
      </c>
      <c r="C282" t="str">
        <f>_xlfn.XLOOKUP(Table7[[#This Row],[Customer ID]],Table6[Customer_ID],Table6[Product_ID])</f>
        <v>PROD91</v>
      </c>
      <c r="D282" t="str">
        <f>VLOOKUP(Table7[[#This Row],[Customer ID]],Table4[#All],2,FALSE)</f>
        <v>Kristi Lopez</v>
      </c>
      <c r="E282">
        <f>VLOOKUP($A282,Table4[],3,FALSE)</f>
        <v>46</v>
      </c>
      <c r="F282" t="str">
        <f>VLOOKUP($A282,Table4[],4,FALSE)</f>
        <v>Female</v>
      </c>
      <c r="G282" t="str">
        <f>VLOOKUP($A282,Table4[],5,FALSE)</f>
        <v>Spencermouth</v>
      </c>
      <c r="H282" t="str">
        <f>VLOOKUP($A282,Table4[],6,FALSE)</f>
        <v>New Jersey</v>
      </c>
      <c r="I282" t="str">
        <f>VLOOKUP($A282,Table4[],8,FALSE)</f>
        <v>Gold</v>
      </c>
      <c r="J282" t="str">
        <f>VLOOKUP($C282,Table1[],2,FALSE)</f>
        <v>Women's High Heels</v>
      </c>
      <c r="K282" t="str">
        <f>VLOOKUP($C282,Table1[],3,FALSE)</f>
        <v>Clothing</v>
      </c>
      <c r="L282" t="str">
        <f>VLOOKUP($C282,Table1[],4,FALSE)</f>
        <v>Footwear</v>
      </c>
      <c r="M282" t="str">
        <f>VLOOKUP($C282,Table1[],5,FALSE)</f>
        <v>Smith-Charles</v>
      </c>
      <c r="N282">
        <f>VLOOKUP($C282,Table1[],6,FALSE)</f>
        <v>438.25</v>
      </c>
      <c r="O282">
        <f>VLOOKUP($C282,Table1[],7,FALSE)</f>
        <v>496</v>
      </c>
      <c r="P282" t="str">
        <f>_xlfn.XLOOKUP($B282,Table3[Store_ID],Table3[Store_Name])</f>
        <v>Moore, Padilla and Butler</v>
      </c>
      <c r="Q282" t="str" cm="1">
        <f t="array" ref="Q282">_xlfn.XLOOKUP($B282,Store_Dim!$A$2:$A$21,Table3[Region])</f>
        <v>South</v>
      </c>
      <c r="R282" t="str" cm="1">
        <f t="array" ref="R282">_xlfn.XLOOKUP($B282,Store_Dim!$A$2:$A$21,Table3[Store_Type])</f>
        <v>Flagship</v>
      </c>
      <c r="S282">
        <f>VLOOKUP(Table7[[#This Row],[Customer ID]],Table6[[Customer_ID]:[Total_Amount]],8,FALSE)</f>
        <v>1481.0512000000001</v>
      </c>
    </row>
    <row r="283" spans="1:19" x14ac:dyDescent="0.3">
      <c r="A283" t="s">
        <v>891</v>
      </c>
      <c r="B283" t="str">
        <f>_xlfn.XLOOKUP(Table7[[#This Row],[Customer ID]],Table6[Customer_ID],Table6[Store_ID])</f>
        <v>STORE4</v>
      </c>
      <c r="C283" t="str">
        <f>_xlfn.XLOOKUP(Table7[[#This Row],[Customer ID]],Table6[Customer_ID],Table6[Product_ID])</f>
        <v>PROD70</v>
      </c>
      <c r="D283" t="str">
        <f>VLOOKUP(Table7[[#This Row],[Customer ID]],Table4[#All],2,FALSE)</f>
        <v>Bryan Garcia</v>
      </c>
      <c r="E283">
        <f>VLOOKUP($A283,Table4[],3,FALSE)</f>
        <v>54</v>
      </c>
      <c r="F283" t="str">
        <f>VLOOKUP($A283,Table4[],4,FALSE)</f>
        <v>Female</v>
      </c>
      <c r="G283" t="str">
        <f>VLOOKUP($A283,Table4[],5,FALSE)</f>
        <v>Garciaborough</v>
      </c>
      <c r="H283" t="str">
        <f>VLOOKUP($A283,Table4[],6,FALSE)</f>
        <v>Wyoming</v>
      </c>
      <c r="I283" t="str">
        <f>VLOOKUP($A283,Table4[],8,FALSE)</f>
        <v>Silver</v>
      </c>
      <c r="J283" t="str">
        <f>VLOOKUP($C283,Table1[],2,FALSE)</f>
        <v>Kitchen Storage Rack</v>
      </c>
      <c r="K283" t="str">
        <f>VLOOKUP($C283,Table1[],3,FALSE)</f>
        <v>Home</v>
      </c>
      <c r="L283" t="str">
        <f>VLOOKUP($C283,Table1[],4,FALSE)</f>
        <v>Storage</v>
      </c>
      <c r="M283" t="str">
        <f>VLOOKUP($C283,Table1[],5,FALSE)</f>
        <v>Duran Group</v>
      </c>
      <c r="N283">
        <f>VLOOKUP($C283,Table1[],6,FALSE)</f>
        <v>138.05000000000001</v>
      </c>
      <c r="O283">
        <f>VLOOKUP($C283,Table1[],7,FALSE)</f>
        <v>89</v>
      </c>
      <c r="P283" t="str">
        <f>_xlfn.XLOOKUP($B283,Table3[Store_ID],Table3[Store_Name])</f>
        <v>Alexander Group</v>
      </c>
      <c r="Q283" t="str" cm="1">
        <f t="array" ref="Q283">_xlfn.XLOOKUP($B283,Store_Dim!$A$2:$A$21,Table3[Region])</f>
        <v>South</v>
      </c>
      <c r="R283" t="str" cm="1">
        <f t="array" ref="R283">_xlfn.XLOOKUP($B283,Store_Dim!$A$2:$A$21,Table3[Store_Type])</f>
        <v>Online</v>
      </c>
      <c r="S283">
        <f>VLOOKUP(Table7[[#This Row],[Customer ID]],Table6[[Customer_ID]:[Total_Amount]],8,FALSE)</f>
        <v>1509.2352000000001</v>
      </c>
    </row>
    <row r="284" spans="1:19" x14ac:dyDescent="0.3">
      <c r="A284" t="s">
        <v>894</v>
      </c>
      <c r="B284" t="str">
        <f>_xlfn.XLOOKUP(Table7[[#This Row],[Customer ID]],Table6[Customer_ID],Table6[Store_ID])</f>
        <v>STORE11</v>
      </c>
      <c r="C284" t="str">
        <f>_xlfn.XLOOKUP(Table7[[#This Row],[Customer ID]],Table6[Customer_ID],Table6[Product_ID])</f>
        <v>PROD18</v>
      </c>
      <c r="D284" t="str">
        <f>VLOOKUP(Table7[[#This Row],[Customer ID]],Table4[#All],2,FALSE)</f>
        <v>Hunter Sutton</v>
      </c>
      <c r="E284">
        <f>VLOOKUP($A284,Table4[],3,FALSE)</f>
        <v>54</v>
      </c>
      <c r="F284" t="str">
        <f>VLOOKUP($A284,Table4[],4,FALSE)</f>
        <v>Male</v>
      </c>
      <c r="G284" t="str">
        <f>VLOOKUP($A284,Table4[],5,FALSE)</f>
        <v>Patrickshire</v>
      </c>
      <c r="H284" t="str">
        <f>VLOOKUP($A284,Table4[],6,FALSE)</f>
        <v>Connecticut</v>
      </c>
      <c r="I284" t="str">
        <f>VLOOKUP($A284,Table4[],8,FALSE)</f>
        <v>Gold</v>
      </c>
      <c r="J284" t="str">
        <f>VLOOKUP($C284,Table1[],2,FALSE)</f>
        <v>Women's Denim Jeans</v>
      </c>
      <c r="K284" t="str">
        <f>VLOOKUP($C284,Table1[],3,FALSE)</f>
        <v>Clothing</v>
      </c>
      <c r="L284" t="str">
        <f>VLOOKUP($C284,Table1[],4,FALSE)</f>
        <v>Bottoms</v>
      </c>
      <c r="M284" t="str">
        <f>VLOOKUP($C284,Table1[],5,FALSE)</f>
        <v>Guerra-Hendrix</v>
      </c>
      <c r="N284">
        <f>VLOOKUP($C284,Table1[],6,FALSE)</f>
        <v>303.75</v>
      </c>
      <c r="O284">
        <f>VLOOKUP($C284,Table1[],7,FALSE)</f>
        <v>343</v>
      </c>
      <c r="P284" t="str">
        <f>_xlfn.XLOOKUP($B284,Table3[Store_ID],Table3[Store_Name])</f>
        <v>Aguirre-Keller</v>
      </c>
      <c r="Q284" t="str" cm="1">
        <f t="array" ref="Q284">_xlfn.XLOOKUP($B284,Store_Dim!$A$2:$A$21,Table3[Region])</f>
        <v>South</v>
      </c>
      <c r="R284" t="str" cm="1">
        <f t="array" ref="R284">_xlfn.XLOOKUP($B284,Store_Dim!$A$2:$A$21,Table3[Store_Type])</f>
        <v>Online</v>
      </c>
      <c r="S284">
        <f>VLOOKUP(Table7[[#This Row],[Customer ID]],Table6[[Customer_ID]:[Total_Amount]],8,FALSE)</f>
        <v>964.77480000000003</v>
      </c>
    </row>
    <row r="285" spans="1:19" x14ac:dyDescent="0.3">
      <c r="A285" t="s">
        <v>897</v>
      </c>
      <c r="B285" t="str">
        <f>_xlfn.XLOOKUP(Table7[[#This Row],[Customer ID]],Table6[Customer_ID],Table6[Store_ID])</f>
        <v>STORE2</v>
      </c>
      <c r="C285" t="str">
        <f>_xlfn.XLOOKUP(Table7[[#This Row],[Customer ID]],Table6[Customer_ID],Table6[Product_ID])</f>
        <v>PROD6</v>
      </c>
      <c r="D285" t="str">
        <f>VLOOKUP(Table7[[#This Row],[Customer ID]],Table4[#All],2,FALSE)</f>
        <v>Donna Guerra</v>
      </c>
      <c r="E285">
        <f>VLOOKUP($A285,Table4[],3,FALSE)</f>
        <v>46</v>
      </c>
      <c r="F285" t="str">
        <f>VLOOKUP($A285,Table4[],4,FALSE)</f>
        <v>Female</v>
      </c>
      <c r="G285" t="str">
        <f>VLOOKUP($A285,Table4[],5,FALSE)</f>
        <v>North Robert</v>
      </c>
      <c r="H285" t="str">
        <f>VLOOKUP($A285,Table4[],6,FALSE)</f>
        <v>Massachusetts</v>
      </c>
      <c r="I285" t="str">
        <f>VLOOKUP($A285,Table4[],8,FALSE)</f>
        <v>Silver</v>
      </c>
      <c r="J285" t="str">
        <f>VLOOKUP($C285,Table1[],2,FALSE)</f>
        <v>Herbal Face Moisturizer</v>
      </c>
      <c r="K285" t="str">
        <f>VLOOKUP($C285,Table1[],3,FALSE)</f>
        <v>Beauty</v>
      </c>
      <c r="L285" t="str">
        <f>VLOOKUP($C285,Table1[],4,FALSE)</f>
        <v>Skincare</v>
      </c>
      <c r="M285" t="str">
        <f>VLOOKUP($C285,Table1[],5,FALSE)</f>
        <v>Davidson PLC</v>
      </c>
      <c r="N285">
        <f>VLOOKUP($C285,Table1[],6,FALSE)</f>
        <v>312.8</v>
      </c>
      <c r="O285">
        <f>VLOOKUP($C285,Table1[],7,FALSE)</f>
        <v>350</v>
      </c>
      <c r="P285" t="str">
        <f>_xlfn.XLOOKUP($B285,Table3[Store_ID],Table3[Store_Name])</f>
        <v>Black-Horn</v>
      </c>
      <c r="Q285" t="str" cm="1">
        <f t="array" ref="Q285">_xlfn.XLOOKUP($B285,Store_Dim!$A$2:$A$21,Table3[Region])</f>
        <v>South</v>
      </c>
      <c r="R285" t="str" cm="1">
        <f t="array" ref="R285">_xlfn.XLOOKUP($B285,Store_Dim!$A$2:$A$21,Table3[Store_Type])</f>
        <v>Outlet</v>
      </c>
      <c r="S285">
        <f>VLOOKUP(Table7[[#This Row],[Customer ID]],Table6[[Customer_ID]:[Total_Amount]],8,FALSE)</f>
        <v>958.57439999999997</v>
      </c>
    </row>
    <row r="286" spans="1:19" x14ac:dyDescent="0.3">
      <c r="A286" t="s">
        <v>900</v>
      </c>
      <c r="B286" t="str">
        <f>_xlfn.XLOOKUP(Table7[[#This Row],[Customer ID]],Table6[Customer_ID],Table6[Store_ID])</f>
        <v>STORE0</v>
      </c>
      <c r="C286" t="str">
        <f>_xlfn.XLOOKUP(Table7[[#This Row],[Customer ID]],Table6[Customer_ID],Table6[Product_ID])</f>
        <v>PROD82</v>
      </c>
      <c r="D286" t="str">
        <f>VLOOKUP(Table7[[#This Row],[Customer ID]],Table4[#All],2,FALSE)</f>
        <v>Tommy Roberts</v>
      </c>
      <c r="E286">
        <f>VLOOKUP($A286,Table4[],3,FALSE)</f>
        <v>22</v>
      </c>
      <c r="F286" t="str">
        <f>VLOOKUP($A286,Table4[],4,FALSE)</f>
        <v>Male</v>
      </c>
      <c r="G286" t="str">
        <f>VLOOKUP($A286,Table4[],5,FALSE)</f>
        <v>Port Tonyfort</v>
      </c>
      <c r="H286" t="str">
        <f>VLOOKUP($A286,Table4[],6,FALSE)</f>
        <v>South Dakota</v>
      </c>
      <c r="I286" t="str">
        <f>VLOOKUP($A286,Table4[],8,FALSE)</f>
        <v>Silver</v>
      </c>
      <c r="J286" t="str">
        <f>VLOOKUP($C286,Table1[],2,FALSE)</f>
        <v>Fitness Resistance Bands</v>
      </c>
      <c r="K286" t="str">
        <f>VLOOKUP($C286,Table1[],3,FALSE)</f>
        <v>Sports</v>
      </c>
      <c r="L286" t="str">
        <f>VLOOKUP($C286,Table1[],4,FALSE)</f>
        <v>Fitness</v>
      </c>
      <c r="M286" t="str">
        <f>VLOOKUP($C286,Table1[],5,FALSE)</f>
        <v>Reese-Watson</v>
      </c>
      <c r="N286">
        <f>VLOOKUP($C286,Table1[],6,FALSE)</f>
        <v>152.91999999999999</v>
      </c>
      <c r="O286">
        <f>VLOOKUP($C286,Table1[],7,FALSE)</f>
        <v>281</v>
      </c>
      <c r="P286" t="str">
        <f>_xlfn.XLOOKUP($B286,Table3[Store_ID],Table3[Store_Name])</f>
        <v>Rivera-Warner</v>
      </c>
      <c r="Q286" t="str" cm="1">
        <f t="array" ref="Q286">_xlfn.XLOOKUP($B286,Store_Dim!$A$2:$A$21,Table3[Region])</f>
        <v>East</v>
      </c>
      <c r="R286" t="str" cm="1">
        <f t="array" ref="R286">_xlfn.XLOOKUP($B286,Store_Dim!$A$2:$A$21,Table3[Store_Type])</f>
        <v>Flagship</v>
      </c>
      <c r="S286">
        <f>VLOOKUP(Table7[[#This Row],[Customer ID]],Table6[[Customer_ID]:[Total_Amount]],8,FALSE)</f>
        <v>3178.2564000000002</v>
      </c>
    </row>
    <row r="287" spans="1:19" x14ac:dyDescent="0.3">
      <c r="A287" t="s">
        <v>903</v>
      </c>
      <c r="B287" t="str">
        <f>_xlfn.XLOOKUP(Table7[[#This Row],[Customer ID]],Table6[Customer_ID],Table6[Store_ID])</f>
        <v>STORE3</v>
      </c>
      <c r="C287" t="str">
        <f>_xlfn.XLOOKUP(Table7[[#This Row],[Customer ID]],Table6[Customer_ID],Table6[Product_ID])</f>
        <v>PROD3</v>
      </c>
      <c r="D287" t="str">
        <f>VLOOKUP(Table7[[#This Row],[Customer ID]],Table4[#All],2,FALSE)</f>
        <v>Cynthia Roberts</v>
      </c>
      <c r="E287">
        <f>VLOOKUP($A287,Table4[],3,FALSE)</f>
        <v>22</v>
      </c>
      <c r="F287" t="str">
        <f>VLOOKUP($A287,Table4[],4,FALSE)</f>
        <v>Female</v>
      </c>
      <c r="G287" t="str">
        <f>VLOOKUP($A287,Table4[],5,FALSE)</f>
        <v>Millerfort</v>
      </c>
      <c r="H287" t="str">
        <f>VLOOKUP($A287,Table4[],6,FALSE)</f>
        <v>Vermont</v>
      </c>
      <c r="I287" t="str">
        <f>VLOOKUP($A287,Table4[],8,FALSE)</f>
        <v>Gold</v>
      </c>
      <c r="J287" t="str">
        <f>VLOOKUP($C287,Table1[],2,FALSE)</f>
        <v>Men's Running Jacket</v>
      </c>
      <c r="K287" t="str">
        <f>VLOOKUP($C287,Table1[],3,FALSE)</f>
        <v>Clothing</v>
      </c>
      <c r="L287" t="str">
        <f>VLOOKUP($C287,Table1[],4,FALSE)</f>
        <v>Outerwear</v>
      </c>
      <c r="M287" t="str">
        <f>VLOOKUP($C287,Table1[],5,FALSE)</f>
        <v>Pineda Ltd</v>
      </c>
      <c r="N287">
        <f>VLOOKUP($C287,Table1[],6,FALSE)</f>
        <v>364.67</v>
      </c>
      <c r="O287">
        <f>VLOOKUP($C287,Table1[],7,FALSE)</f>
        <v>452</v>
      </c>
      <c r="P287" t="str">
        <f>_xlfn.XLOOKUP($B287,Table3[Store_ID],Table3[Store_Name])</f>
        <v>Johnson-Wright</v>
      </c>
      <c r="Q287" t="str" cm="1">
        <f t="array" ref="Q287">_xlfn.XLOOKUP($B287,Store_Dim!$A$2:$A$21,Table3[Region])</f>
        <v>North</v>
      </c>
      <c r="R287" t="str" cm="1">
        <f t="array" ref="R287">_xlfn.XLOOKUP($B287,Store_Dim!$A$2:$A$21,Table3[Store_Type])</f>
        <v>Outlet</v>
      </c>
      <c r="S287">
        <f>VLOOKUP(Table7[[#This Row],[Customer ID]],Table6[[Customer_ID]:[Total_Amount]],8,FALSE)</f>
        <v>1669.3068000000001</v>
      </c>
    </row>
    <row r="288" spans="1:19" x14ac:dyDescent="0.3">
      <c r="A288" t="s">
        <v>906</v>
      </c>
      <c r="B288" t="str">
        <f>_xlfn.XLOOKUP(Table7[[#This Row],[Customer ID]],Table6[Customer_ID],Table6[Store_ID])</f>
        <v>STORE9</v>
      </c>
      <c r="C288" t="str">
        <f>_xlfn.XLOOKUP(Table7[[#This Row],[Customer ID]],Table6[Customer_ID],Table6[Product_ID])</f>
        <v>PROD3</v>
      </c>
      <c r="D288" t="str">
        <f>VLOOKUP(Table7[[#This Row],[Customer ID]],Table4[#All],2,FALSE)</f>
        <v>Misty Ferguson</v>
      </c>
      <c r="E288">
        <f>VLOOKUP($A288,Table4[],3,FALSE)</f>
        <v>58</v>
      </c>
      <c r="F288" t="str">
        <f>VLOOKUP($A288,Table4[],4,FALSE)</f>
        <v>Male</v>
      </c>
      <c r="G288" t="str">
        <f>VLOOKUP($A288,Table4[],5,FALSE)</f>
        <v>North Joseside</v>
      </c>
      <c r="H288" t="str">
        <f>VLOOKUP($A288,Table4[],6,FALSE)</f>
        <v>Connecticut</v>
      </c>
      <c r="I288" t="str">
        <f>VLOOKUP($A288,Table4[],8,FALSE)</f>
        <v>Gold</v>
      </c>
      <c r="J288" t="str">
        <f>VLOOKUP($C288,Table1[],2,FALSE)</f>
        <v>Men's Running Jacket</v>
      </c>
      <c r="K288" t="str">
        <f>VLOOKUP($C288,Table1[],3,FALSE)</f>
        <v>Clothing</v>
      </c>
      <c r="L288" t="str">
        <f>VLOOKUP($C288,Table1[],4,FALSE)</f>
        <v>Outerwear</v>
      </c>
      <c r="M288" t="str">
        <f>VLOOKUP($C288,Table1[],5,FALSE)</f>
        <v>Pineda Ltd</v>
      </c>
      <c r="N288">
        <f>VLOOKUP($C288,Table1[],6,FALSE)</f>
        <v>364.67</v>
      </c>
      <c r="O288">
        <f>VLOOKUP($C288,Table1[],7,FALSE)</f>
        <v>452</v>
      </c>
      <c r="P288" t="str">
        <f>_xlfn.XLOOKUP($B288,Table3[Store_ID],Table3[Store_Name])</f>
        <v>Moore, Padilla and Butler</v>
      </c>
      <c r="Q288" t="str" cm="1">
        <f t="array" ref="Q288">_xlfn.XLOOKUP($B288,Store_Dim!$A$2:$A$21,Table3[Region])</f>
        <v>South</v>
      </c>
      <c r="R288" t="str" cm="1">
        <f t="array" ref="R288">_xlfn.XLOOKUP($B288,Store_Dim!$A$2:$A$21,Table3[Store_Type])</f>
        <v>Flagship</v>
      </c>
      <c r="S288">
        <f>VLOOKUP(Table7[[#This Row],[Customer ID]],Table6[[Customer_ID]:[Total_Amount]],8,FALSE)</f>
        <v>2548.5264000000002</v>
      </c>
    </row>
    <row r="289" spans="1:19" x14ac:dyDescent="0.3">
      <c r="A289" t="s">
        <v>909</v>
      </c>
      <c r="B289" t="str">
        <f>_xlfn.XLOOKUP(Table7[[#This Row],[Customer ID]],Table6[Customer_ID],Table6[Store_ID])</f>
        <v>STORE7</v>
      </c>
      <c r="C289" t="str">
        <f>_xlfn.XLOOKUP(Table7[[#This Row],[Customer ID]],Table6[Customer_ID],Table6[Product_ID])</f>
        <v>PROD43</v>
      </c>
      <c r="D289" t="str">
        <f>VLOOKUP(Table7[[#This Row],[Customer ID]],Table4[#All],2,FALSE)</f>
        <v>Jennifer Figueroa</v>
      </c>
      <c r="E289">
        <f>VLOOKUP($A289,Table4[],3,FALSE)</f>
        <v>45</v>
      </c>
      <c r="F289" t="str">
        <f>VLOOKUP($A289,Table4[],4,FALSE)</f>
        <v>Male</v>
      </c>
      <c r="G289" t="str">
        <f>VLOOKUP($A289,Table4[],5,FALSE)</f>
        <v>North Brookestad</v>
      </c>
      <c r="H289" t="str">
        <f>VLOOKUP($A289,Table4[],6,FALSE)</f>
        <v>Ohio</v>
      </c>
      <c r="I289" t="str">
        <f>VLOOKUP($A289,Table4[],8,FALSE)</f>
        <v>Bronze</v>
      </c>
      <c r="J289" t="str">
        <f>VLOOKUP($C289,Table1[],2,FALSE)</f>
        <v>USB External Hard Drive</v>
      </c>
      <c r="K289" t="str">
        <f>VLOOKUP($C289,Table1[],3,FALSE)</f>
        <v>Electronics</v>
      </c>
      <c r="L289" t="str">
        <f>VLOOKUP($C289,Table1[],4,FALSE)</f>
        <v>Computer</v>
      </c>
      <c r="M289" t="str">
        <f>VLOOKUP($C289,Table1[],5,FALSE)</f>
        <v>Robinson Inc</v>
      </c>
      <c r="N289">
        <f>VLOOKUP($C289,Table1[],6,FALSE)</f>
        <v>253.33</v>
      </c>
      <c r="O289">
        <f>VLOOKUP($C289,Table1[],7,FALSE)</f>
        <v>266</v>
      </c>
      <c r="P289" t="str">
        <f>_xlfn.XLOOKUP($B289,Table3[Store_ID],Table3[Store_Name])</f>
        <v>Martinez-Mullins</v>
      </c>
      <c r="Q289" t="str" cm="1">
        <f t="array" ref="Q289">_xlfn.XLOOKUP($B289,Store_Dim!$A$2:$A$21,Table3[Region])</f>
        <v>South</v>
      </c>
      <c r="R289" t="str" cm="1">
        <f t="array" ref="R289">_xlfn.XLOOKUP($B289,Store_Dim!$A$2:$A$21,Table3[Store_Type])</f>
        <v>Online</v>
      </c>
      <c r="S289">
        <f>VLOOKUP(Table7[[#This Row],[Customer ID]],Table6[[Customer_ID]:[Total_Amount]],8,FALSE)</f>
        <v>922.9692</v>
      </c>
    </row>
    <row r="290" spans="1:19" x14ac:dyDescent="0.3">
      <c r="A290" t="s">
        <v>914</v>
      </c>
      <c r="B290" t="str">
        <f>_xlfn.XLOOKUP(Table7[[#This Row],[Customer ID]],Table6[Customer_ID],Table6[Store_ID])</f>
        <v>STORE7</v>
      </c>
      <c r="C290" t="str">
        <f>_xlfn.XLOOKUP(Table7[[#This Row],[Customer ID]],Table6[Customer_ID],Table6[Product_ID])</f>
        <v>PROD93</v>
      </c>
      <c r="D290" t="str">
        <f>VLOOKUP(Table7[[#This Row],[Customer ID]],Table4[#All],2,FALSE)</f>
        <v>James Powell</v>
      </c>
      <c r="E290">
        <f>VLOOKUP($A290,Table4[],3,FALSE)</f>
        <v>40</v>
      </c>
      <c r="F290" t="str">
        <f>VLOOKUP($A290,Table4[],4,FALSE)</f>
        <v>Female</v>
      </c>
      <c r="G290" t="str">
        <f>VLOOKUP($A290,Table4[],5,FALSE)</f>
        <v>West Beverlymouth</v>
      </c>
      <c r="H290" t="str">
        <f>VLOOKUP($A290,Table4[],6,FALSE)</f>
        <v>Missouri</v>
      </c>
      <c r="I290" t="str">
        <f>VLOOKUP($A290,Table4[],8,FALSE)</f>
        <v>Bronze</v>
      </c>
      <c r="J290" t="str">
        <f>VLOOKUP($C290,Table1[],2,FALSE)</f>
        <v>USB-C Laptop Charger</v>
      </c>
      <c r="K290" t="str">
        <f>VLOOKUP($C290,Table1[],3,FALSE)</f>
        <v>Electronics</v>
      </c>
      <c r="L290" t="str">
        <f>VLOOKUP($C290,Table1[],4,FALSE)</f>
        <v>Computer</v>
      </c>
      <c r="M290" t="str">
        <f>VLOOKUP($C290,Table1[],5,FALSE)</f>
        <v>Martin LLC</v>
      </c>
      <c r="N290">
        <f>VLOOKUP($C290,Table1[],6,FALSE)</f>
        <v>377.52</v>
      </c>
      <c r="O290">
        <f>VLOOKUP($C290,Table1[],7,FALSE)</f>
        <v>485</v>
      </c>
      <c r="P290" t="str">
        <f>_xlfn.XLOOKUP($B290,Table3[Store_ID],Table3[Store_Name])</f>
        <v>Martinez-Mullins</v>
      </c>
      <c r="Q290" t="str" cm="1">
        <f t="array" ref="Q290">_xlfn.XLOOKUP($B290,Store_Dim!$A$2:$A$21,Table3[Region])</f>
        <v>South</v>
      </c>
      <c r="R290" t="str" cm="1">
        <f t="array" ref="R290">_xlfn.XLOOKUP($B290,Store_Dim!$A$2:$A$21,Table3[Store_Type])</f>
        <v>Online</v>
      </c>
      <c r="S290">
        <f>VLOOKUP(Table7[[#This Row],[Customer ID]],Table6[[Customer_ID]:[Total_Amount]],8,FALSE)</f>
        <v>1523.124</v>
      </c>
    </row>
    <row r="291" spans="1:19" x14ac:dyDescent="0.3">
      <c r="A291" t="s">
        <v>917</v>
      </c>
      <c r="B291" t="str">
        <f>_xlfn.XLOOKUP(Table7[[#This Row],[Customer ID]],Table6[Customer_ID],Table6[Store_ID])</f>
        <v>STORE3</v>
      </c>
      <c r="C291" t="str">
        <f>_xlfn.XLOOKUP(Table7[[#This Row],[Customer ID]],Table6[Customer_ID],Table6[Product_ID])</f>
        <v>PROD99</v>
      </c>
      <c r="D291" t="str">
        <f>VLOOKUP(Table7[[#This Row],[Customer ID]],Table4[#All],2,FALSE)</f>
        <v>Ricardo Jones</v>
      </c>
      <c r="E291">
        <f>VLOOKUP($A291,Table4[],3,FALSE)</f>
        <v>30</v>
      </c>
      <c r="F291" t="str">
        <f>VLOOKUP($A291,Table4[],4,FALSE)</f>
        <v>Male</v>
      </c>
      <c r="G291" t="str">
        <f>VLOOKUP($A291,Table4[],5,FALSE)</f>
        <v>Danielland</v>
      </c>
      <c r="H291" t="str">
        <f>VLOOKUP($A291,Table4[],6,FALSE)</f>
        <v>Minnesota</v>
      </c>
      <c r="I291" t="str">
        <f>VLOOKUP($A291,Table4[],8,FALSE)</f>
        <v>Silver</v>
      </c>
      <c r="J291" t="str">
        <f>VLOOKUP($C291,Table1[],2,FALSE)</f>
        <v>Stainless Steel Cookware Set</v>
      </c>
      <c r="K291" t="str">
        <f>VLOOKUP($C291,Table1[],3,FALSE)</f>
        <v>Home</v>
      </c>
      <c r="L291" t="str">
        <f>VLOOKUP($C291,Table1[],4,FALSE)</f>
        <v>Kitchen</v>
      </c>
      <c r="M291" t="str">
        <f>VLOOKUP($C291,Table1[],5,FALSE)</f>
        <v>Campbell Ltd</v>
      </c>
      <c r="N291">
        <f>VLOOKUP($C291,Table1[],6,FALSE)</f>
        <v>201.41</v>
      </c>
      <c r="O291">
        <f>VLOOKUP($C291,Table1[],7,FALSE)</f>
        <v>146</v>
      </c>
      <c r="P291" t="str">
        <f>_xlfn.XLOOKUP($B291,Table3[Store_ID],Table3[Store_Name])</f>
        <v>Johnson-Wright</v>
      </c>
      <c r="Q291" t="str" cm="1">
        <f t="array" ref="Q291">_xlfn.XLOOKUP($B291,Store_Dim!$A$2:$A$21,Table3[Region])</f>
        <v>North</v>
      </c>
      <c r="R291" t="str" cm="1">
        <f t="array" ref="R291">_xlfn.XLOOKUP($B291,Store_Dim!$A$2:$A$21,Table3[Store_Type])</f>
        <v>Outlet</v>
      </c>
      <c r="S291">
        <f>VLOOKUP(Table7[[#This Row],[Customer ID]],Table6[[Customer_ID]:[Total_Amount]],8,FALSE)</f>
        <v>1759.9428</v>
      </c>
    </row>
    <row r="292" spans="1:19" x14ac:dyDescent="0.3">
      <c r="A292" t="s">
        <v>920</v>
      </c>
      <c r="B292" t="str">
        <f>_xlfn.XLOOKUP(Table7[[#This Row],[Customer ID]],Table6[Customer_ID],Table6[Store_ID])</f>
        <v>STORE7</v>
      </c>
      <c r="C292" t="str">
        <f>_xlfn.XLOOKUP(Table7[[#This Row],[Customer ID]],Table6[Customer_ID],Table6[Product_ID])</f>
        <v>PROD20</v>
      </c>
      <c r="D292" t="str">
        <f>VLOOKUP(Table7[[#This Row],[Customer ID]],Table4[#All],2,FALSE)</f>
        <v>Gloria Taylor</v>
      </c>
      <c r="E292">
        <f>VLOOKUP($A292,Table4[],3,FALSE)</f>
        <v>56</v>
      </c>
      <c r="F292" t="str">
        <f>VLOOKUP($A292,Table4[],4,FALSE)</f>
        <v>Female</v>
      </c>
      <c r="G292" t="str">
        <f>VLOOKUP($A292,Table4[],5,FALSE)</f>
        <v>North Daniel</v>
      </c>
      <c r="H292" t="str">
        <f>VLOOKUP($A292,Table4[],6,FALSE)</f>
        <v>Louisiana</v>
      </c>
      <c r="I292" t="str">
        <f>VLOOKUP($A292,Table4[],8,FALSE)</f>
        <v>Platinum</v>
      </c>
      <c r="J292" t="str">
        <f>VLOOKUP($C292,Table1[],2,FALSE)</f>
        <v>Outdoor Sports Water Bottle</v>
      </c>
      <c r="K292" t="str">
        <f>VLOOKUP($C292,Table1[],3,FALSE)</f>
        <v>Sports</v>
      </c>
      <c r="L292" t="str">
        <f>VLOOKUP($C292,Table1[],4,FALSE)</f>
        <v>Accessories</v>
      </c>
      <c r="M292" t="str">
        <f>VLOOKUP($C292,Table1[],5,FALSE)</f>
        <v>Soto-Ellis</v>
      </c>
      <c r="N292">
        <f>VLOOKUP($C292,Table1[],6,FALSE)</f>
        <v>131.51</v>
      </c>
      <c r="O292">
        <f>VLOOKUP($C292,Table1[],7,FALSE)</f>
        <v>199</v>
      </c>
      <c r="P292" t="str">
        <f>_xlfn.XLOOKUP($B292,Table3[Store_ID],Table3[Store_Name])</f>
        <v>Martinez-Mullins</v>
      </c>
      <c r="Q292" t="str" cm="1">
        <f t="array" ref="Q292">_xlfn.XLOOKUP($B292,Store_Dim!$A$2:$A$21,Table3[Region])</f>
        <v>South</v>
      </c>
      <c r="R292" t="str" cm="1">
        <f t="array" ref="R292">_xlfn.XLOOKUP($B292,Store_Dim!$A$2:$A$21,Table3[Store_Type])</f>
        <v>Online</v>
      </c>
      <c r="S292">
        <f>VLOOKUP(Table7[[#This Row],[Customer ID]],Table6[[Customer_ID]:[Total_Amount]],8,FALSE)</f>
        <v>2873.864</v>
      </c>
    </row>
    <row r="293" spans="1:19" x14ac:dyDescent="0.3">
      <c r="A293" t="s">
        <v>923</v>
      </c>
      <c r="B293" t="str">
        <f>_xlfn.XLOOKUP(Table7[[#This Row],[Customer ID]],Table6[Customer_ID],Table6[Store_ID])</f>
        <v>STORE19</v>
      </c>
      <c r="C293" t="str">
        <f>_xlfn.XLOOKUP(Table7[[#This Row],[Customer ID]],Table6[Customer_ID],Table6[Product_ID])</f>
        <v>PROD82</v>
      </c>
      <c r="D293" t="str">
        <f>VLOOKUP(Table7[[#This Row],[Customer ID]],Table4[#All],2,FALSE)</f>
        <v>Lisa Chandler</v>
      </c>
      <c r="E293">
        <f>VLOOKUP($A293,Table4[],3,FALSE)</f>
        <v>29</v>
      </c>
      <c r="F293" t="str">
        <f>VLOOKUP($A293,Table4[],4,FALSE)</f>
        <v>Male</v>
      </c>
      <c r="G293" t="str">
        <f>VLOOKUP($A293,Table4[],5,FALSE)</f>
        <v>Port Richard</v>
      </c>
      <c r="H293" t="str">
        <f>VLOOKUP($A293,Table4[],6,FALSE)</f>
        <v>Montana</v>
      </c>
      <c r="I293" t="str">
        <f>VLOOKUP($A293,Table4[],8,FALSE)</f>
        <v>Platinum</v>
      </c>
      <c r="J293" t="str">
        <f>VLOOKUP($C293,Table1[],2,FALSE)</f>
        <v>Fitness Resistance Bands</v>
      </c>
      <c r="K293" t="str">
        <f>VLOOKUP($C293,Table1[],3,FALSE)</f>
        <v>Sports</v>
      </c>
      <c r="L293" t="str">
        <f>VLOOKUP($C293,Table1[],4,FALSE)</f>
        <v>Fitness</v>
      </c>
      <c r="M293" t="str">
        <f>VLOOKUP($C293,Table1[],5,FALSE)</f>
        <v>Reese-Watson</v>
      </c>
      <c r="N293">
        <f>VLOOKUP($C293,Table1[],6,FALSE)</f>
        <v>152.91999999999999</v>
      </c>
      <c r="O293">
        <f>VLOOKUP($C293,Table1[],7,FALSE)</f>
        <v>281</v>
      </c>
      <c r="P293" t="str">
        <f>_xlfn.XLOOKUP($B293,Table3[Store_ID],Table3[Store_Name])</f>
        <v>Mann-Austin</v>
      </c>
      <c r="Q293" t="str" cm="1">
        <f t="array" ref="Q293">_xlfn.XLOOKUP($B293,Store_Dim!$A$2:$A$21,Table3[Region])</f>
        <v>East</v>
      </c>
      <c r="R293" t="str" cm="1">
        <f t="array" ref="R293">_xlfn.XLOOKUP($B293,Store_Dim!$A$2:$A$21,Table3[Store_Type])</f>
        <v>Online</v>
      </c>
      <c r="S293">
        <f>VLOOKUP(Table7[[#This Row],[Customer ID]],Table6[[Customer_ID]:[Total_Amount]],8,FALSE)</f>
        <v>562.32820000000004</v>
      </c>
    </row>
    <row r="294" spans="1:19" x14ac:dyDescent="0.3">
      <c r="A294" t="s">
        <v>925</v>
      </c>
      <c r="B294" t="str">
        <f>_xlfn.XLOOKUP(Table7[[#This Row],[Customer ID]],Table6[Customer_ID],Table6[Store_ID])</f>
        <v>STORE8</v>
      </c>
      <c r="C294" t="str">
        <f>_xlfn.XLOOKUP(Table7[[#This Row],[Customer ID]],Table6[Customer_ID],Table6[Product_ID])</f>
        <v>PROD69</v>
      </c>
      <c r="D294" t="str">
        <f>VLOOKUP(Table7[[#This Row],[Customer ID]],Table4[#All],2,FALSE)</f>
        <v>Crystal Waters</v>
      </c>
      <c r="E294">
        <f>VLOOKUP($A294,Table4[],3,FALSE)</f>
        <v>19</v>
      </c>
      <c r="F294" t="str">
        <f>VLOOKUP($A294,Table4[],4,FALSE)</f>
        <v>Female</v>
      </c>
      <c r="G294" t="str">
        <f>VLOOKUP($A294,Table4[],5,FALSE)</f>
        <v>North Michelleport</v>
      </c>
      <c r="H294" t="str">
        <f>VLOOKUP($A294,Table4[],6,FALSE)</f>
        <v>Kansas</v>
      </c>
      <c r="I294" t="str">
        <f>VLOOKUP($A294,Table4[],8,FALSE)</f>
        <v>Bronze</v>
      </c>
      <c r="J294" t="str">
        <f>VLOOKUP($C294,Table1[],2,FALSE)</f>
        <v>Men's Sports Shorts</v>
      </c>
      <c r="K294" t="str">
        <f>VLOOKUP($C294,Table1[],3,FALSE)</f>
        <v>Clothing</v>
      </c>
      <c r="L294" t="str">
        <f>VLOOKUP($C294,Table1[],4,FALSE)</f>
        <v>Bottoms</v>
      </c>
      <c r="M294" t="str">
        <f>VLOOKUP($C294,Table1[],5,FALSE)</f>
        <v>Fitzpatrick Ltd</v>
      </c>
      <c r="N294">
        <f>VLOOKUP($C294,Table1[],6,FALSE)</f>
        <v>218.22</v>
      </c>
      <c r="O294">
        <f>VLOOKUP($C294,Table1[],7,FALSE)</f>
        <v>224</v>
      </c>
      <c r="P294" t="str">
        <f>_xlfn.XLOOKUP($B294,Table3[Store_ID],Table3[Store_Name])</f>
        <v>Bean, Jones and Park</v>
      </c>
      <c r="Q294" t="str" cm="1">
        <f t="array" ref="Q294">_xlfn.XLOOKUP($B294,Store_Dim!$A$2:$A$21,Table3[Region])</f>
        <v>West</v>
      </c>
      <c r="R294" t="str" cm="1">
        <f t="array" ref="R294">_xlfn.XLOOKUP($B294,Store_Dim!$A$2:$A$21,Table3[Store_Type])</f>
        <v>Online</v>
      </c>
      <c r="S294">
        <f>VLOOKUP(Table7[[#This Row],[Customer ID]],Table6[[Customer_ID]:[Total_Amount]],8,FALSE)</f>
        <v>2343.4616000000001</v>
      </c>
    </row>
    <row r="295" spans="1:19" x14ac:dyDescent="0.3">
      <c r="A295" t="s">
        <v>928</v>
      </c>
      <c r="B295" t="str">
        <f>_xlfn.XLOOKUP(Table7[[#This Row],[Customer ID]],Table6[Customer_ID],Table6[Store_ID])</f>
        <v>STORE10</v>
      </c>
      <c r="C295" t="str">
        <f>_xlfn.XLOOKUP(Table7[[#This Row],[Customer ID]],Table6[Customer_ID],Table6[Product_ID])</f>
        <v>PROD14</v>
      </c>
      <c r="D295" t="str">
        <f>VLOOKUP(Table7[[#This Row],[Customer ID]],Table4[#All],2,FALSE)</f>
        <v>Jared Moran</v>
      </c>
      <c r="E295">
        <f>VLOOKUP($A295,Table4[],3,FALSE)</f>
        <v>28</v>
      </c>
      <c r="F295" t="str">
        <f>VLOOKUP($A295,Table4[],4,FALSE)</f>
        <v>Female</v>
      </c>
      <c r="G295" t="str">
        <f>VLOOKUP($A295,Table4[],5,FALSE)</f>
        <v>South David</v>
      </c>
      <c r="H295" t="str">
        <f>VLOOKUP($A295,Table4[],6,FALSE)</f>
        <v>West Virginia</v>
      </c>
      <c r="I295" t="str">
        <f>VLOOKUP($A295,Table4[],8,FALSE)</f>
        <v>Bronze</v>
      </c>
      <c r="J295" t="str">
        <f>VLOOKUP($C295,Table1[],2,FALSE)</f>
        <v>Decorative Wall Mirror</v>
      </c>
      <c r="K295" t="str">
        <f>VLOOKUP($C295,Table1[],3,FALSE)</f>
        <v>Home</v>
      </c>
      <c r="L295" t="str">
        <f>VLOOKUP($C295,Table1[],4,FALSE)</f>
        <v>Decor</v>
      </c>
      <c r="M295" t="str">
        <f>VLOOKUP($C295,Table1[],5,FALSE)</f>
        <v>Luna, Anderson and Bowman</v>
      </c>
      <c r="N295">
        <f>VLOOKUP($C295,Table1[],6,FALSE)</f>
        <v>48.01</v>
      </c>
      <c r="O295">
        <f>VLOOKUP($C295,Table1[],7,FALSE)</f>
        <v>439</v>
      </c>
      <c r="P295" t="str">
        <f>_xlfn.XLOOKUP($B295,Table3[Store_ID],Table3[Store_Name])</f>
        <v>Hill, Wagner and Ballard</v>
      </c>
      <c r="Q295" t="str" cm="1">
        <f t="array" ref="Q295">_xlfn.XLOOKUP($B295,Store_Dim!$A$2:$A$21,Table3[Region])</f>
        <v>East</v>
      </c>
      <c r="R295" t="str" cm="1">
        <f t="array" ref="R295">_xlfn.XLOOKUP($B295,Store_Dim!$A$2:$A$21,Table3[Store_Type])</f>
        <v>Online</v>
      </c>
      <c r="S295">
        <f>VLOOKUP(Table7[[#This Row],[Customer ID]],Table6[[Customer_ID]:[Total_Amount]],8,FALSE)</f>
        <v>723.25439999999992</v>
      </c>
    </row>
    <row r="296" spans="1:19" x14ac:dyDescent="0.3">
      <c r="A296" t="s">
        <v>930</v>
      </c>
      <c r="B296" t="str">
        <f>_xlfn.XLOOKUP(Table7[[#This Row],[Customer ID]],Table6[Customer_ID],Table6[Store_ID])</f>
        <v>STORE2</v>
      </c>
      <c r="C296" t="str">
        <f>_xlfn.XLOOKUP(Table7[[#This Row],[Customer ID]],Table6[Customer_ID],Table6[Product_ID])</f>
        <v>PROD69</v>
      </c>
      <c r="D296" t="str">
        <f>VLOOKUP(Table7[[#This Row],[Customer ID]],Table4[#All],2,FALSE)</f>
        <v>Jennifer Carr</v>
      </c>
      <c r="E296">
        <f>VLOOKUP($A296,Table4[],3,FALSE)</f>
        <v>47</v>
      </c>
      <c r="F296" t="str">
        <f>VLOOKUP($A296,Table4[],4,FALSE)</f>
        <v>Female</v>
      </c>
      <c r="G296" t="str">
        <f>VLOOKUP($A296,Table4[],5,FALSE)</f>
        <v>Lake Brett</v>
      </c>
      <c r="H296" t="str">
        <f>VLOOKUP($A296,Table4[],6,FALSE)</f>
        <v>Missouri</v>
      </c>
      <c r="I296" t="str">
        <f>VLOOKUP($A296,Table4[],8,FALSE)</f>
        <v>Silver</v>
      </c>
      <c r="J296" t="str">
        <f>VLOOKUP($C296,Table1[],2,FALSE)</f>
        <v>Men's Sports Shorts</v>
      </c>
      <c r="K296" t="str">
        <f>VLOOKUP($C296,Table1[],3,FALSE)</f>
        <v>Clothing</v>
      </c>
      <c r="L296" t="str">
        <f>VLOOKUP($C296,Table1[],4,FALSE)</f>
        <v>Bottoms</v>
      </c>
      <c r="M296" t="str">
        <f>VLOOKUP($C296,Table1[],5,FALSE)</f>
        <v>Fitzpatrick Ltd</v>
      </c>
      <c r="N296">
        <f>VLOOKUP($C296,Table1[],6,FALSE)</f>
        <v>218.22</v>
      </c>
      <c r="O296">
        <f>VLOOKUP($C296,Table1[],7,FALSE)</f>
        <v>224</v>
      </c>
      <c r="P296" t="str">
        <f>_xlfn.XLOOKUP($B296,Table3[Store_ID],Table3[Store_Name])</f>
        <v>Black-Horn</v>
      </c>
      <c r="Q296" t="str" cm="1">
        <f t="array" ref="Q296">_xlfn.XLOOKUP($B296,Store_Dim!$A$2:$A$21,Table3[Region])</f>
        <v>South</v>
      </c>
      <c r="R296" t="str" cm="1">
        <f t="array" ref="R296">_xlfn.XLOOKUP($B296,Store_Dim!$A$2:$A$21,Table3[Store_Type])</f>
        <v>Outlet</v>
      </c>
      <c r="S296">
        <f>VLOOKUP(Table7[[#This Row],[Customer ID]],Table6[[Customer_ID]:[Total_Amount]],8,FALSE)</f>
        <v>547.17700000000002</v>
      </c>
    </row>
    <row r="297" spans="1:19" x14ac:dyDescent="0.3">
      <c r="A297" t="s">
        <v>933</v>
      </c>
      <c r="B297" t="str">
        <f>_xlfn.XLOOKUP(Table7[[#This Row],[Customer ID]],Table6[Customer_ID],Table6[Store_ID])</f>
        <v>STORE19</v>
      </c>
      <c r="C297" t="str">
        <f>_xlfn.XLOOKUP(Table7[[#This Row],[Customer ID]],Table6[Customer_ID],Table6[Product_ID])</f>
        <v>PROD97</v>
      </c>
      <c r="D297" t="str">
        <f>VLOOKUP(Table7[[#This Row],[Customer ID]],Table4[#All],2,FALSE)</f>
        <v>Tracy Stephens</v>
      </c>
      <c r="E297">
        <f>VLOOKUP($A297,Table4[],3,FALSE)</f>
        <v>64</v>
      </c>
      <c r="F297" t="str">
        <f>VLOOKUP($A297,Table4[],4,FALSE)</f>
        <v>Male</v>
      </c>
      <c r="G297" t="str">
        <f>VLOOKUP($A297,Table4[],5,FALSE)</f>
        <v>New Joshuatown</v>
      </c>
      <c r="H297" t="str">
        <f>VLOOKUP($A297,Table4[],6,FALSE)</f>
        <v>Maine</v>
      </c>
      <c r="I297" t="str">
        <f>VLOOKUP($A297,Table4[],8,FALSE)</f>
        <v>Platinum</v>
      </c>
      <c r="J297" t="str">
        <f>VLOOKUP($C297,Table1[],2,FALSE)</f>
        <v>Cricket Bat</v>
      </c>
      <c r="K297" t="str">
        <f>VLOOKUP($C297,Table1[],3,FALSE)</f>
        <v>Sports</v>
      </c>
      <c r="L297" t="str">
        <f>VLOOKUP($C297,Table1[],4,FALSE)</f>
        <v>Team Sports</v>
      </c>
      <c r="M297" t="str">
        <f>VLOOKUP($C297,Table1[],5,FALSE)</f>
        <v>Khan LLC</v>
      </c>
      <c r="N297">
        <f>VLOOKUP($C297,Table1[],6,FALSE)</f>
        <v>245.98</v>
      </c>
      <c r="O297">
        <f>VLOOKUP($C297,Table1[],7,FALSE)</f>
        <v>471</v>
      </c>
      <c r="P297" t="str">
        <f>_xlfn.XLOOKUP($B297,Table3[Store_ID],Table3[Store_Name])</f>
        <v>Mann-Austin</v>
      </c>
      <c r="Q297" t="str" cm="1">
        <f t="array" ref="Q297">_xlfn.XLOOKUP($B297,Store_Dim!$A$2:$A$21,Table3[Region])</f>
        <v>East</v>
      </c>
      <c r="R297" t="str" cm="1">
        <f t="array" ref="R297">_xlfn.XLOOKUP($B297,Store_Dim!$A$2:$A$21,Table3[Store_Type])</f>
        <v>Online</v>
      </c>
      <c r="S297">
        <f>VLOOKUP(Table7[[#This Row],[Customer ID]],Table6[[Customer_ID]:[Total_Amount]],8,FALSE)</f>
        <v>1138.72</v>
      </c>
    </row>
    <row r="298" spans="1:19" x14ac:dyDescent="0.3">
      <c r="A298" t="s">
        <v>936</v>
      </c>
      <c r="B298" t="str">
        <f>_xlfn.XLOOKUP(Table7[[#This Row],[Customer ID]],Table6[Customer_ID],Table6[Store_ID])</f>
        <v>STORE17</v>
      </c>
      <c r="C298" t="str">
        <f>_xlfn.XLOOKUP(Table7[[#This Row],[Customer ID]],Table6[Customer_ID],Table6[Product_ID])</f>
        <v>PROD23</v>
      </c>
      <c r="D298" t="str">
        <f>VLOOKUP(Table7[[#This Row],[Customer ID]],Table4[#All],2,FALSE)</f>
        <v>Stephanie Jacobs</v>
      </c>
      <c r="E298">
        <f>VLOOKUP($A298,Table4[],3,FALSE)</f>
        <v>48</v>
      </c>
      <c r="F298" t="str">
        <f>VLOOKUP($A298,Table4[],4,FALSE)</f>
        <v>Female</v>
      </c>
      <c r="G298" t="str">
        <f>VLOOKUP($A298,Table4[],5,FALSE)</f>
        <v>West Robinmouth</v>
      </c>
      <c r="H298" t="str">
        <f>VLOOKUP($A298,Table4[],6,FALSE)</f>
        <v>Louisiana</v>
      </c>
      <c r="I298" t="str">
        <f>VLOOKUP($A298,Table4[],8,FALSE)</f>
        <v>Platinum</v>
      </c>
      <c r="J298" t="str">
        <f>VLOOKUP($C298,Table1[],2,FALSE)</f>
        <v>Men's Formal Shirt</v>
      </c>
      <c r="K298" t="str">
        <f>VLOOKUP($C298,Table1[],3,FALSE)</f>
        <v>Clothing</v>
      </c>
      <c r="L298" t="str">
        <f>VLOOKUP($C298,Table1[],4,FALSE)</f>
        <v>Tops</v>
      </c>
      <c r="M298" t="str">
        <f>VLOOKUP($C298,Table1[],5,FALSE)</f>
        <v>Moon, Mora and Santos</v>
      </c>
      <c r="N298">
        <f>VLOOKUP($C298,Table1[],6,FALSE)</f>
        <v>282.99</v>
      </c>
      <c r="O298">
        <f>VLOOKUP($C298,Table1[],7,FALSE)</f>
        <v>360</v>
      </c>
      <c r="P298" t="str">
        <f>_xlfn.XLOOKUP($B298,Table3[Store_ID],Table3[Store_Name])</f>
        <v>Holloway Ltd</v>
      </c>
      <c r="Q298" t="str" cm="1">
        <f t="array" ref="Q298">_xlfn.XLOOKUP($B298,Store_Dim!$A$2:$A$21,Table3[Region])</f>
        <v>North</v>
      </c>
      <c r="R298" t="str" cm="1">
        <f t="array" ref="R298">_xlfn.XLOOKUP($B298,Store_Dim!$A$2:$A$21,Table3[Store_Type])</f>
        <v>Flagship</v>
      </c>
      <c r="S298">
        <f>VLOOKUP(Table7[[#This Row],[Customer ID]],Table6[[Customer_ID]:[Total_Amount]],8,FALSE)</f>
        <v>896.04000000000019</v>
      </c>
    </row>
    <row r="299" spans="1:19" x14ac:dyDescent="0.3">
      <c r="A299" t="s">
        <v>939</v>
      </c>
      <c r="B299" t="str">
        <f>_xlfn.XLOOKUP(Table7[[#This Row],[Customer ID]],Table6[Customer_ID],Table6[Store_ID])</f>
        <v>STORE14</v>
      </c>
      <c r="C299" t="str">
        <f>_xlfn.XLOOKUP(Table7[[#This Row],[Customer ID]],Table6[Customer_ID],Table6[Product_ID])</f>
        <v>PROD36</v>
      </c>
      <c r="D299" t="str">
        <f>VLOOKUP(Table7[[#This Row],[Customer ID]],Table4[#All],2,FALSE)</f>
        <v>Matthew Avery</v>
      </c>
      <c r="E299">
        <f>VLOOKUP($A299,Table4[],3,FALSE)</f>
        <v>29</v>
      </c>
      <c r="F299" t="str">
        <f>VLOOKUP($A299,Table4[],4,FALSE)</f>
        <v>Male</v>
      </c>
      <c r="G299" t="str">
        <f>VLOOKUP($A299,Table4[],5,FALSE)</f>
        <v>Lake Melissashire</v>
      </c>
      <c r="H299" t="str">
        <f>VLOOKUP($A299,Table4[],6,FALSE)</f>
        <v>Oregon</v>
      </c>
      <c r="I299" t="str">
        <f>VLOOKUP($A299,Table4[],8,FALSE)</f>
        <v>Silver</v>
      </c>
      <c r="J299" t="str">
        <f>VLOOKUP($C299,Table1[],2,FALSE)</f>
        <v>Women's Summer Dress</v>
      </c>
      <c r="K299" t="str">
        <f>VLOOKUP($C299,Table1[],3,FALSE)</f>
        <v>Clothing</v>
      </c>
      <c r="L299" t="str">
        <f>VLOOKUP($C299,Table1[],4,FALSE)</f>
        <v>Tops</v>
      </c>
      <c r="M299" t="str">
        <f>VLOOKUP($C299,Table1[],5,FALSE)</f>
        <v>Smith-Mills</v>
      </c>
      <c r="N299">
        <f>VLOOKUP($C299,Table1[],6,FALSE)</f>
        <v>223.43</v>
      </c>
      <c r="O299">
        <f>VLOOKUP($C299,Table1[],7,FALSE)</f>
        <v>154</v>
      </c>
      <c r="P299" t="str">
        <f>_xlfn.XLOOKUP($B299,Table3[Store_ID],Table3[Store_Name])</f>
        <v>Mcdonald Inc</v>
      </c>
      <c r="Q299" t="str" cm="1">
        <f t="array" ref="Q299">_xlfn.XLOOKUP($B299,Store_Dim!$A$2:$A$21,Table3[Region])</f>
        <v>South</v>
      </c>
      <c r="R299" t="str" cm="1">
        <f t="array" ref="R299">_xlfn.XLOOKUP($B299,Store_Dim!$A$2:$A$21,Table3[Store_Type])</f>
        <v>Outlet</v>
      </c>
      <c r="S299">
        <f>VLOOKUP(Table7[[#This Row],[Customer ID]],Table6[[Customer_ID]:[Total_Amount]],8,FALSE)</f>
        <v>612.59760000000006</v>
      </c>
    </row>
    <row r="300" spans="1:19" x14ac:dyDescent="0.3">
      <c r="A300" t="s">
        <v>942</v>
      </c>
      <c r="B300" t="str">
        <f>_xlfn.XLOOKUP(Table7[[#This Row],[Customer ID]],Table6[Customer_ID],Table6[Store_ID])</f>
        <v>STORE17</v>
      </c>
      <c r="C300" t="str">
        <f>_xlfn.XLOOKUP(Table7[[#This Row],[Customer ID]],Table6[Customer_ID],Table6[Product_ID])</f>
        <v>PROD84</v>
      </c>
      <c r="D300" t="str">
        <f>VLOOKUP(Table7[[#This Row],[Customer ID]],Table4[#All],2,FALSE)</f>
        <v>Ryan Kane</v>
      </c>
      <c r="E300">
        <f>VLOOKUP($A300,Table4[],3,FALSE)</f>
        <v>50</v>
      </c>
      <c r="F300" t="str">
        <f>VLOOKUP($A300,Table4[],4,FALSE)</f>
        <v>Male</v>
      </c>
      <c r="G300" t="str">
        <f>VLOOKUP($A300,Table4[],5,FALSE)</f>
        <v>West Bruceburgh</v>
      </c>
      <c r="H300" t="str">
        <f>VLOOKUP($A300,Table4[],6,FALSE)</f>
        <v>Virginia</v>
      </c>
      <c r="I300" t="str">
        <f>VLOOKUP($A300,Table4[],8,FALSE)</f>
        <v>Gold</v>
      </c>
      <c r="J300" t="str">
        <f>VLOOKUP($C300,Table1[],2,FALSE)</f>
        <v>Wooden Bookshelf</v>
      </c>
      <c r="K300" t="str">
        <f>VLOOKUP($C300,Table1[],3,FALSE)</f>
        <v>Home</v>
      </c>
      <c r="L300" t="str">
        <f>VLOOKUP($C300,Table1[],4,FALSE)</f>
        <v>Furniture</v>
      </c>
      <c r="M300" t="str">
        <f>VLOOKUP($C300,Table1[],5,FALSE)</f>
        <v>Collins-Stephenson</v>
      </c>
      <c r="N300">
        <f>VLOOKUP($C300,Table1[],6,FALSE)</f>
        <v>388.46</v>
      </c>
      <c r="O300">
        <f>VLOOKUP($C300,Table1[],7,FALSE)</f>
        <v>208</v>
      </c>
      <c r="P300" t="str">
        <f>_xlfn.XLOOKUP($B300,Table3[Store_ID],Table3[Store_Name])</f>
        <v>Holloway Ltd</v>
      </c>
      <c r="Q300" t="str" cm="1">
        <f t="array" ref="Q300">_xlfn.XLOOKUP($B300,Store_Dim!$A$2:$A$21,Table3[Region])</f>
        <v>North</v>
      </c>
      <c r="R300" t="str" cm="1">
        <f t="array" ref="R300">_xlfn.XLOOKUP($B300,Store_Dim!$A$2:$A$21,Table3[Store_Type])</f>
        <v>Flagship</v>
      </c>
      <c r="S300">
        <f>VLOOKUP(Table7[[#This Row],[Customer ID]],Table6[[Customer_ID]:[Total_Amount]],8,FALSE)</f>
        <v>1742.0255999999999</v>
      </c>
    </row>
    <row r="301" spans="1:19" x14ac:dyDescent="0.3">
      <c r="A301" t="s">
        <v>945</v>
      </c>
      <c r="B301" t="str">
        <f>_xlfn.XLOOKUP(Table7[[#This Row],[Customer ID]],Table6[Customer_ID],Table6[Store_ID])</f>
        <v>STORE8</v>
      </c>
      <c r="C301" t="str">
        <f>_xlfn.XLOOKUP(Table7[[#This Row],[Customer ID]],Table6[Customer_ID],Table6[Product_ID])</f>
        <v>PROD23</v>
      </c>
      <c r="D301" t="str">
        <f>VLOOKUP(Table7[[#This Row],[Customer ID]],Table4[#All],2,FALSE)</f>
        <v>Edward Cole</v>
      </c>
      <c r="E301">
        <f>VLOOKUP($A301,Table4[],3,FALSE)</f>
        <v>36</v>
      </c>
      <c r="F301" t="str">
        <f>VLOOKUP($A301,Table4[],4,FALSE)</f>
        <v>Male</v>
      </c>
      <c r="G301" t="str">
        <f>VLOOKUP($A301,Table4[],5,FALSE)</f>
        <v>Lake Charlotte</v>
      </c>
      <c r="H301" t="str">
        <f>VLOOKUP($A301,Table4[],6,FALSE)</f>
        <v>Arizona</v>
      </c>
      <c r="I301" t="str">
        <f>VLOOKUP($A301,Table4[],8,FALSE)</f>
        <v>Gold</v>
      </c>
      <c r="J301" t="str">
        <f>VLOOKUP($C301,Table1[],2,FALSE)</f>
        <v>Men's Formal Shirt</v>
      </c>
      <c r="K301" t="str">
        <f>VLOOKUP($C301,Table1[],3,FALSE)</f>
        <v>Clothing</v>
      </c>
      <c r="L301" t="str">
        <f>VLOOKUP($C301,Table1[],4,FALSE)</f>
        <v>Tops</v>
      </c>
      <c r="M301" t="str">
        <f>VLOOKUP($C301,Table1[],5,FALSE)</f>
        <v>Moon, Mora and Santos</v>
      </c>
      <c r="N301">
        <f>VLOOKUP($C301,Table1[],6,FALSE)</f>
        <v>282.99</v>
      </c>
      <c r="O301">
        <f>VLOOKUP($C301,Table1[],7,FALSE)</f>
        <v>360</v>
      </c>
      <c r="P301" t="str">
        <f>_xlfn.XLOOKUP($B301,Table3[Store_ID],Table3[Store_Name])</f>
        <v>Bean, Jones and Park</v>
      </c>
      <c r="Q301" t="str" cm="1">
        <f t="array" ref="Q301">_xlfn.XLOOKUP($B301,Store_Dim!$A$2:$A$21,Table3[Region])</f>
        <v>West</v>
      </c>
      <c r="R301" t="str" cm="1">
        <f t="array" ref="R301">_xlfn.XLOOKUP($B301,Store_Dim!$A$2:$A$21,Table3[Store_Type])</f>
        <v>Online</v>
      </c>
      <c r="S301">
        <f>VLOOKUP(Table7[[#This Row],[Customer ID]],Table6[[Customer_ID]:[Total_Amount]],8,FALSE)</f>
        <v>945.21720000000016</v>
      </c>
    </row>
    <row r="302" spans="1:19" x14ac:dyDescent="0.3">
      <c r="A302" t="s">
        <v>948</v>
      </c>
      <c r="B302" t="str">
        <f>_xlfn.XLOOKUP(Table7[[#This Row],[Customer ID]],Table6[Customer_ID],Table6[Store_ID])</f>
        <v>STORE3</v>
      </c>
      <c r="C302" t="str">
        <f>_xlfn.XLOOKUP(Table7[[#This Row],[Customer ID]],Table6[Customer_ID],Table6[Product_ID])</f>
        <v>PROD20</v>
      </c>
      <c r="D302" t="str">
        <f>VLOOKUP(Table7[[#This Row],[Customer ID]],Table4[#All],2,FALSE)</f>
        <v>John Sloan</v>
      </c>
      <c r="E302">
        <f>VLOOKUP($A302,Table4[],3,FALSE)</f>
        <v>23</v>
      </c>
      <c r="F302" t="str">
        <f>VLOOKUP($A302,Table4[],4,FALSE)</f>
        <v>Female</v>
      </c>
      <c r="G302" t="str">
        <f>VLOOKUP($A302,Table4[],5,FALSE)</f>
        <v>East Johntown</v>
      </c>
      <c r="H302" t="str">
        <f>VLOOKUP($A302,Table4[],6,FALSE)</f>
        <v>Delaware</v>
      </c>
      <c r="I302" t="str">
        <f>VLOOKUP($A302,Table4[],8,FALSE)</f>
        <v>Platinum</v>
      </c>
      <c r="J302" t="str">
        <f>VLOOKUP($C302,Table1[],2,FALSE)</f>
        <v>Outdoor Sports Water Bottle</v>
      </c>
      <c r="K302" t="str">
        <f>VLOOKUP($C302,Table1[],3,FALSE)</f>
        <v>Sports</v>
      </c>
      <c r="L302" t="str">
        <f>VLOOKUP($C302,Table1[],4,FALSE)</f>
        <v>Accessories</v>
      </c>
      <c r="M302" t="str">
        <f>VLOOKUP($C302,Table1[],5,FALSE)</f>
        <v>Soto-Ellis</v>
      </c>
      <c r="N302">
        <f>VLOOKUP($C302,Table1[],6,FALSE)</f>
        <v>131.51</v>
      </c>
      <c r="O302">
        <f>VLOOKUP($C302,Table1[],7,FALSE)</f>
        <v>199</v>
      </c>
      <c r="P302" t="str">
        <f>_xlfn.XLOOKUP($B302,Table3[Store_ID],Table3[Store_Name])</f>
        <v>Johnson-Wright</v>
      </c>
      <c r="Q302" t="str" cm="1">
        <f t="array" ref="Q302">_xlfn.XLOOKUP($B302,Store_Dim!$A$2:$A$21,Table3[Region])</f>
        <v>North</v>
      </c>
      <c r="R302" t="str" cm="1">
        <f t="array" ref="R302">_xlfn.XLOOKUP($B302,Store_Dim!$A$2:$A$21,Table3[Store_Type])</f>
        <v>Outlet</v>
      </c>
      <c r="S302">
        <f>VLOOKUP(Table7[[#This Row],[Customer ID]],Table6[[Customer_ID]:[Total_Amount]],8,FALSE)</f>
        <v>1943.0927999999999</v>
      </c>
    </row>
    <row r="303" spans="1:19" x14ac:dyDescent="0.3">
      <c r="A303" t="s">
        <v>951</v>
      </c>
      <c r="B303" t="str">
        <f>_xlfn.XLOOKUP(Table7[[#This Row],[Customer ID]],Table6[Customer_ID],Table6[Store_ID])</f>
        <v>STORE2</v>
      </c>
      <c r="C303" t="str">
        <f>_xlfn.XLOOKUP(Table7[[#This Row],[Customer ID]],Table6[Customer_ID],Table6[Product_ID])</f>
        <v>PROD50</v>
      </c>
      <c r="D303" t="str">
        <f>VLOOKUP(Table7[[#This Row],[Customer ID]],Table4[#All],2,FALSE)</f>
        <v>Miss Alexandria Li Dvm</v>
      </c>
      <c r="E303">
        <f>VLOOKUP($A303,Table4[],3,FALSE)</f>
        <v>41</v>
      </c>
      <c r="F303" t="str">
        <f>VLOOKUP($A303,Table4[],4,FALSE)</f>
        <v>Male</v>
      </c>
      <c r="G303" t="str">
        <f>VLOOKUP($A303,Table4[],5,FALSE)</f>
        <v>Port Jenniferton</v>
      </c>
      <c r="H303" t="str">
        <f>VLOOKUP($A303,Table4[],6,FALSE)</f>
        <v>Kansas</v>
      </c>
      <c r="I303" t="str">
        <f>VLOOKUP($A303,Table4[],8,FALSE)</f>
        <v>Silver</v>
      </c>
      <c r="J303" t="str">
        <f>VLOOKUP($C303,Table1[],2,FALSE)</f>
        <v>Boxing Hand Wraps</v>
      </c>
      <c r="K303" t="str">
        <f>VLOOKUP($C303,Table1[],3,FALSE)</f>
        <v>Sports</v>
      </c>
      <c r="L303" t="str">
        <f>VLOOKUP($C303,Table1[],4,FALSE)</f>
        <v>Fitness</v>
      </c>
      <c r="M303" t="str">
        <f>VLOOKUP($C303,Table1[],5,FALSE)</f>
        <v>Smith-King</v>
      </c>
      <c r="N303">
        <f>VLOOKUP($C303,Table1[],6,FALSE)</f>
        <v>190.29</v>
      </c>
      <c r="O303">
        <f>VLOOKUP($C303,Table1[],7,FALSE)</f>
        <v>260</v>
      </c>
      <c r="P303" t="str">
        <f>_xlfn.XLOOKUP($B303,Table3[Store_ID],Table3[Store_Name])</f>
        <v>Black-Horn</v>
      </c>
      <c r="Q303" t="str" cm="1">
        <f t="array" ref="Q303">_xlfn.XLOOKUP($B303,Store_Dim!$A$2:$A$21,Table3[Region])</f>
        <v>South</v>
      </c>
      <c r="R303" t="str" cm="1">
        <f t="array" ref="R303">_xlfn.XLOOKUP($B303,Store_Dim!$A$2:$A$21,Table3[Store_Type])</f>
        <v>Outlet</v>
      </c>
      <c r="S303">
        <f>VLOOKUP(Table7[[#This Row],[Customer ID]],Table6[[Customer_ID]:[Total_Amount]],8,FALSE)</f>
        <v>72.025200000000012</v>
      </c>
    </row>
    <row r="304" spans="1:19" x14ac:dyDescent="0.3">
      <c r="A304" t="s">
        <v>953</v>
      </c>
      <c r="B304" t="str">
        <f>_xlfn.XLOOKUP(Table7[[#This Row],[Customer ID]],Table6[Customer_ID],Table6[Store_ID])</f>
        <v>STORE1</v>
      </c>
      <c r="C304" t="str">
        <f>_xlfn.XLOOKUP(Table7[[#This Row],[Customer ID]],Table6[Customer_ID],Table6[Product_ID])</f>
        <v>PROD28</v>
      </c>
      <c r="D304" t="str">
        <f>VLOOKUP(Table7[[#This Row],[Customer ID]],Table4[#All],2,FALSE)</f>
        <v>Roberta Green</v>
      </c>
      <c r="E304">
        <f>VLOOKUP($A304,Table4[],3,FALSE)</f>
        <v>64</v>
      </c>
      <c r="F304" t="str">
        <f>VLOOKUP($A304,Table4[],4,FALSE)</f>
        <v>Male</v>
      </c>
      <c r="G304" t="str">
        <f>VLOOKUP($A304,Table4[],5,FALSE)</f>
        <v>West Joseph</v>
      </c>
      <c r="H304" t="str">
        <f>VLOOKUP($A304,Table4[],6,FALSE)</f>
        <v>Washington</v>
      </c>
      <c r="I304" t="str">
        <f>VLOOKUP($A304,Table4[],8,FALSE)</f>
        <v>Platinum</v>
      </c>
      <c r="J304" t="str">
        <f>VLOOKUP($C304,Table1[],2,FALSE)</f>
        <v>Sports Stopwatch Timer</v>
      </c>
      <c r="K304" t="str">
        <f>VLOOKUP($C304,Table1[],3,FALSE)</f>
        <v>Sports</v>
      </c>
      <c r="L304" t="str">
        <f>VLOOKUP($C304,Table1[],4,FALSE)</f>
        <v>Accessories</v>
      </c>
      <c r="M304" t="str">
        <f>VLOOKUP($C304,Table1[],5,FALSE)</f>
        <v>Burns-Hansen</v>
      </c>
      <c r="N304">
        <f>VLOOKUP($C304,Table1[],6,FALSE)</f>
        <v>38.76</v>
      </c>
      <c r="O304">
        <f>VLOOKUP($C304,Table1[],7,FALSE)</f>
        <v>137</v>
      </c>
      <c r="P304" t="str">
        <f>_xlfn.XLOOKUP($B304,Table3[Store_ID],Table3[Store_Name])</f>
        <v>Martinez, Adkins and Johnson</v>
      </c>
      <c r="Q304" t="str" cm="1">
        <f t="array" ref="Q304">_xlfn.XLOOKUP($B304,Store_Dim!$A$2:$A$21,Table3[Region])</f>
        <v>North</v>
      </c>
      <c r="R304" t="str" cm="1">
        <f t="array" ref="R304">_xlfn.XLOOKUP($B304,Store_Dim!$A$2:$A$21,Table3[Store_Type])</f>
        <v>Flagship</v>
      </c>
      <c r="S304">
        <f>VLOOKUP(Table7[[#This Row],[Customer ID]],Table6[[Customer_ID]:[Total_Amount]],8,FALSE)</f>
        <v>154.93799999999999</v>
      </c>
    </row>
    <row r="305" spans="1:19" x14ac:dyDescent="0.3">
      <c r="A305" t="s">
        <v>956</v>
      </c>
      <c r="B305" t="str">
        <f>_xlfn.XLOOKUP(Table7[[#This Row],[Customer ID]],Table6[Customer_ID],Table6[Store_ID])</f>
        <v>STORE10</v>
      </c>
      <c r="C305" t="str">
        <f>_xlfn.XLOOKUP(Table7[[#This Row],[Customer ID]],Table6[Customer_ID],Table6[Product_ID])</f>
        <v>PROD5</v>
      </c>
      <c r="D305" t="str">
        <f>VLOOKUP(Table7[[#This Row],[Customer ID]],Table4[#All],2,FALSE)</f>
        <v>Angela Robinson</v>
      </c>
      <c r="E305">
        <f>VLOOKUP($A305,Table4[],3,FALSE)</f>
        <v>44</v>
      </c>
      <c r="F305" t="str">
        <f>VLOOKUP($A305,Table4[],4,FALSE)</f>
        <v>Male</v>
      </c>
      <c r="G305" t="str">
        <f>VLOOKUP($A305,Table4[],5,FALSE)</f>
        <v>New Nicholasstad</v>
      </c>
      <c r="H305" t="str">
        <f>VLOOKUP($A305,Table4[],6,FALSE)</f>
        <v>Tennessee</v>
      </c>
      <c r="I305" t="str">
        <f>VLOOKUP($A305,Table4[],8,FALSE)</f>
        <v>Platinum</v>
      </c>
      <c r="J305" t="str">
        <f>VLOOKUP($C305,Table1[],2,FALSE)</f>
        <v>Men's Leather Belt</v>
      </c>
      <c r="K305" t="str">
        <f>VLOOKUP($C305,Table1[],3,FALSE)</f>
        <v>Clothing</v>
      </c>
      <c r="L305" t="str">
        <f>VLOOKUP($C305,Table1[],4,FALSE)</f>
        <v>Accessories</v>
      </c>
      <c r="M305" t="str">
        <f>VLOOKUP($C305,Table1[],5,FALSE)</f>
        <v>Baldwin, Garza and Gonzalez</v>
      </c>
      <c r="N305">
        <f>VLOOKUP($C305,Table1[],6,FALSE)</f>
        <v>261</v>
      </c>
      <c r="O305">
        <f>VLOOKUP($C305,Table1[],7,FALSE)</f>
        <v>59</v>
      </c>
      <c r="P305" t="str">
        <f>_xlfn.XLOOKUP($B305,Table3[Store_ID],Table3[Store_Name])</f>
        <v>Hill, Wagner and Ballard</v>
      </c>
      <c r="Q305" t="str" cm="1">
        <f t="array" ref="Q305">_xlfn.XLOOKUP($B305,Store_Dim!$A$2:$A$21,Table3[Region])</f>
        <v>East</v>
      </c>
      <c r="R305" t="str" cm="1">
        <f t="array" ref="R305">_xlfn.XLOOKUP($B305,Store_Dim!$A$2:$A$21,Table3[Store_Type])</f>
        <v>Online</v>
      </c>
      <c r="S305">
        <f>VLOOKUP(Table7[[#This Row],[Customer ID]],Table6[[Customer_ID]:[Total_Amount]],8,FALSE)</f>
        <v>835.95240000000001</v>
      </c>
    </row>
    <row r="306" spans="1:19" x14ac:dyDescent="0.3">
      <c r="A306" t="s">
        <v>959</v>
      </c>
      <c r="B306" t="str">
        <f>_xlfn.XLOOKUP(Table7[[#This Row],[Customer ID]],Table6[Customer_ID],Table6[Store_ID])</f>
        <v>STORE12</v>
      </c>
      <c r="C306" t="str">
        <f>_xlfn.XLOOKUP(Table7[[#This Row],[Customer ID]],Table6[Customer_ID],Table6[Product_ID])</f>
        <v>PROD93</v>
      </c>
      <c r="D306" t="str">
        <f>VLOOKUP(Table7[[#This Row],[Customer ID]],Table4[#All],2,FALSE)</f>
        <v>Brandy Thompson</v>
      </c>
      <c r="E306">
        <f>VLOOKUP($A306,Table4[],3,FALSE)</f>
        <v>56</v>
      </c>
      <c r="F306" t="str">
        <f>VLOOKUP($A306,Table4[],4,FALSE)</f>
        <v>Female</v>
      </c>
      <c r="G306" t="str">
        <f>VLOOKUP($A306,Table4[],5,FALSE)</f>
        <v>West Patriciaview</v>
      </c>
      <c r="H306" t="str">
        <f>VLOOKUP($A306,Table4[],6,FALSE)</f>
        <v>Alabama</v>
      </c>
      <c r="I306" t="str">
        <f>VLOOKUP($A306,Table4[],8,FALSE)</f>
        <v>Bronze</v>
      </c>
      <c r="J306" t="str">
        <f>VLOOKUP($C306,Table1[],2,FALSE)</f>
        <v>USB-C Laptop Charger</v>
      </c>
      <c r="K306" t="str">
        <f>VLOOKUP($C306,Table1[],3,FALSE)</f>
        <v>Electronics</v>
      </c>
      <c r="L306" t="str">
        <f>VLOOKUP($C306,Table1[],4,FALSE)</f>
        <v>Computer</v>
      </c>
      <c r="M306" t="str">
        <f>VLOOKUP($C306,Table1[],5,FALSE)</f>
        <v>Martin LLC</v>
      </c>
      <c r="N306">
        <f>VLOOKUP($C306,Table1[],6,FALSE)</f>
        <v>377.52</v>
      </c>
      <c r="O306">
        <f>VLOOKUP($C306,Table1[],7,FALSE)</f>
        <v>485</v>
      </c>
      <c r="P306" t="str">
        <f>_xlfn.XLOOKUP($B306,Table3[Store_ID],Table3[Store_Name])</f>
        <v>Thomas, Bridges and Harris</v>
      </c>
      <c r="Q306" t="str" cm="1">
        <f t="array" ref="Q306">_xlfn.XLOOKUP($B306,Store_Dim!$A$2:$A$21,Table3[Region])</f>
        <v>North</v>
      </c>
      <c r="R306" t="str" cm="1">
        <f t="array" ref="R306">_xlfn.XLOOKUP($B306,Store_Dim!$A$2:$A$21,Table3[Store_Type])</f>
        <v>Online</v>
      </c>
      <c r="S306">
        <f>VLOOKUP(Table7[[#This Row],[Customer ID]],Table6[[Customer_ID]:[Total_Amount]],8,FALSE)</f>
        <v>3077.5992000000001</v>
      </c>
    </row>
    <row r="307" spans="1:19" x14ac:dyDescent="0.3">
      <c r="A307" t="s">
        <v>962</v>
      </c>
      <c r="B307" t="str">
        <f>_xlfn.XLOOKUP(Table7[[#This Row],[Customer ID]],Table6[Customer_ID],Table6[Store_ID])</f>
        <v>STORE12</v>
      </c>
      <c r="C307" t="str">
        <f>_xlfn.XLOOKUP(Table7[[#This Row],[Customer ID]],Table6[Customer_ID],Table6[Product_ID])</f>
        <v>PROD14</v>
      </c>
      <c r="D307" t="str">
        <f>VLOOKUP(Table7[[#This Row],[Customer ID]],Table4[#All],2,FALSE)</f>
        <v>Jennifer Zamora</v>
      </c>
      <c r="E307">
        <f>VLOOKUP($A307,Table4[],3,FALSE)</f>
        <v>60</v>
      </c>
      <c r="F307" t="str">
        <f>VLOOKUP($A307,Table4[],4,FALSE)</f>
        <v>Female</v>
      </c>
      <c r="G307" t="str">
        <f>VLOOKUP($A307,Table4[],5,FALSE)</f>
        <v>Sarahland</v>
      </c>
      <c r="H307" t="str">
        <f>VLOOKUP($A307,Table4[],6,FALSE)</f>
        <v>Iowa</v>
      </c>
      <c r="I307" t="str">
        <f>VLOOKUP($A307,Table4[],8,FALSE)</f>
        <v>Gold</v>
      </c>
      <c r="J307" t="str">
        <f>VLOOKUP($C307,Table1[],2,FALSE)</f>
        <v>Decorative Wall Mirror</v>
      </c>
      <c r="K307" t="str">
        <f>VLOOKUP($C307,Table1[],3,FALSE)</f>
        <v>Home</v>
      </c>
      <c r="L307" t="str">
        <f>VLOOKUP($C307,Table1[],4,FALSE)</f>
        <v>Decor</v>
      </c>
      <c r="M307" t="str">
        <f>VLOOKUP($C307,Table1[],5,FALSE)</f>
        <v>Luna, Anderson and Bowman</v>
      </c>
      <c r="N307">
        <f>VLOOKUP($C307,Table1[],6,FALSE)</f>
        <v>48.01</v>
      </c>
      <c r="O307">
        <f>VLOOKUP($C307,Table1[],7,FALSE)</f>
        <v>439</v>
      </c>
      <c r="P307" t="str">
        <f>_xlfn.XLOOKUP($B307,Table3[Store_ID],Table3[Store_Name])</f>
        <v>Thomas, Bridges and Harris</v>
      </c>
      <c r="Q307" t="str" cm="1">
        <f t="array" ref="Q307">_xlfn.XLOOKUP($B307,Store_Dim!$A$2:$A$21,Table3[Region])</f>
        <v>North</v>
      </c>
      <c r="R307" t="str" cm="1">
        <f t="array" ref="R307">_xlfn.XLOOKUP($B307,Store_Dim!$A$2:$A$21,Table3[Store_Type])</f>
        <v>Online</v>
      </c>
      <c r="S307">
        <f>VLOOKUP(Table7[[#This Row],[Customer ID]],Table6[[Customer_ID]:[Total_Amount]],8,FALSE)</f>
        <v>637.05600000000004</v>
      </c>
    </row>
    <row r="308" spans="1:19" x14ac:dyDescent="0.3">
      <c r="A308" t="s">
        <v>965</v>
      </c>
      <c r="B308" t="str">
        <f>_xlfn.XLOOKUP(Table7[[#This Row],[Customer ID]],Table6[Customer_ID],Table6[Store_ID])</f>
        <v>STORE5</v>
      </c>
      <c r="C308" t="str">
        <f>_xlfn.XLOOKUP(Table7[[#This Row],[Customer ID]],Table6[Customer_ID],Table6[Product_ID])</f>
        <v>PROD61</v>
      </c>
      <c r="D308" t="str">
        <f>VLOOKUP(Table7[[#This Row],[Customer ID]],Table4[#All],2,FALSE)</f>
        <v>Stacy Collins</v>
      </c>
      <c r="E308">
        <f>VLOOKUP($A308,Table4[],3,FALSE)</f>
        <v>41</v>
      </c>
      <c r="F308" t="str">
        <f>VLOOKUP($A308,Table4[],4,FALSE)</f>
        <v>Female</v>
      </c>
      <c r="G308" t="str">
        <f>VLOOKUP($A308,Table4[],5,FALSE)</f>
        <v>Randychester</v>
      </c>
      <c r="H308" t="str">
        <f>VLOOKUP($A308,Table4[],6,FALSE)</f>
        <v>California</v>
      </c>
      <c r="I308" t="str">
        <f>VLOOKUP($A308,Table4[],8,FALSE)</f>
        <v>Bronze</v>
      </c>
      <c r="J308" t="str">
        <f>VLOOKUP($C308,Table1[],2,FALSE)</f>
        <v>Tennis Ball 3-Pack</v>
      </c>
      <c r="K308" t="str">
        <f>VLOOKUP($C308,Table1[],3,FALSE)</f>
        <v>Sports</v>
      </c>
      <c r="L308" t="str">
        <f>VLOOKUP($C308,Table1[],4,FALSE)</f>
        <v>Equipment</v>
      </c>
      <c r="M308" t="str">
        <f>VLOOKUP($C308,Table1[],5,FALSE)</f>
        <v>Lopez LLC</v>
      </c>
      <c r="N308">
        <f>VLOOKUP($C308,Table1[],6,FALSE)</f>
        <v>103.45</v>
      </c>
      <c r="O308">
        <f>VLOOKUP($C308,Table1[],7,FALSE)</f>
        <v>465</v>
      </c>
      <c r="P308" t="str">
        <f>_xlfn.XLOOKUP($B308,Table3[Store_ID],Table3[Store_Name])</f>
        <v>Gray Ltd</v>
      </c>
      <c r="Q308" t="str" cm="1">
        <f t="array" ref="Q308">_xlfn.XLOOKUP($B308,Store_Dim!$A$2:$A$21,Table3[Region])</f>
        <v>North</v>
      </c>
      <c r="R308" t="str" cm="1">
        <f t="array" ref="R308">_xlfn.XLOOKUP($B308,Store_Dim!$A$2:$A$21,Table3[Store_Type])</f>
        <v>Outlet</v>
      </c>
      <c r="S308">
        <f>VLOOKUP(Table7[[#This Row],[Customer ID]],Table6[[Customer_ID]:[Total_Amount]],8,FALSE)</f>
        <v>1206.6407999999999</v>
      </c>
    </row>
    <row r="309" spans="1:19" x14ac:dyDescent="0.3">
      <c r="A309" t="s">
        <v>968</v>
      </c>
      <c r="B309" t="str">
        <f>_xlfn.XLOOKUP(Table7[[#This Row],[Customer ID]],Table6[Customer_ID],Table6[Store_ID])</f>
        <v>STORE8</v>
      </c>
      <c r="C309" t="str">
        <f>_xlfn.XLOOKUP(Table7[[#This Row],[Customer ID]],Table6[Customer_ID],Table6[Product_ID])</f>
        <v>PROD17</v>
      </c>
      <c r="D309" t="str">
        <f>VLOOKUP(Table7[[#This Row],[Customer ID]],Table4[#All],2,FALSE)</f>
        <v>Kara Dodson</v>
      </c>
      <c r="E309">
        <f>VLOOKUP($A309,Table4[],3,FALSE)</f>
        <v>20</v>
      </c>
      <c r="F309" t="str">
        <f>VLOOKUP($A309,Table4[],4,FALSE)</f>
        <v>Male</v>
      </c>
      <c r="G309" t="str">
        <f>VLOOKUP($A309,Table4[],5,FALSE)</f>
        <v>Joelside</v>
      </c>
      <c r="H309" t="str">
        <f>VLOOKUP($A309,Table4[],6,FALSE)</f>
        <v>Vermont</v>
      </c>
      <c r="I309" t="str">
        <f>VLOOKUP($A309,Table4[],8,FALSE)</f>
        <v>Silver</v>
      </c>
      <c r="J309" t="str">
        <f>VLOOKUP($C309,Table1[],2,FALSE)</f>
        <v>Soccer Training Cone Set</v>
      </c>
      <c r="K309" t="str">
        <f>VLOOKUP($C309,Table1[],3,FALSE)</f>
        <v>Sports</v>
      </c>
      <c r="L309" t="str">
        <f>VLOOKUP($C309,Table1[],4,FALSE)</f>
        <v>Accessories</v>
      </c>
      <c r="M309" t="str">
        <f>VLOOKUP($C309,Table1[],5,FALSE)</f>
        <v>Ford, Murphy and Wilson</v>
      </c>
      <c r="N309">
        <f>VLOOKUP($C309,Table1[],6,FALSE)</f>
        <v>144.53</v>
      </c>
      <c r="O309">
        <f>VLOOKUP($C309,Table1[],7,FALSE)</f>
        <v>367</v>
      </c>
      <c r="P309" t="str">
        <f>_xlfn.XLOOKUP($B309,Table3[Store_ID],Table3[Store_Name])</f>
        <v>Bean, Jones and Park</v>
      </c>
      <c r="Q309" t="str" cm="1">
        <f t="array" ref="Q309">_xlfn.XLOOKUP($B309,Store_Dim!$A$2:$A$21,Table3[Region])</f>
        <v>West</v>
      </c>
      <c r="R309" t="str" cm="1">
        <f t="array" ref="R309">_xlfn.XLOOKUP($B309,Store_Dim!$A$2:$A$21,Table3[Store_Type])</f>
        <v>Online</v>
      </c>
      <c r="S309">
        <f>VLOOKUP(Table7[[#This Row],[Customer ID]],Table6[[Customer_ID]:[Total_Amount]],8,FALSE)</f>
        <v>698.76</v>
      </c>
    </row>
    <row r="310" spans="1:19" x14ac:dyDescent="0.3">
      <c r="A310" t="s">
        <v>971</v>
      </c>
      <c r="B310" t="str">
        <f>_xlfn.XLOOKUP(Table7[[#This Row],[Customer ID]],Table6[Customer_ID],Table6[Store_ID])</f>
        <v>STORE12</v>
      </c>
      <c r="C310" t="str">
        <f>_xlfn.XLOOKUP(Table7[[#This Row],[Customer ID]],Table6[Customer_ID],Table6[Product_ID])</f>
        <v>PROD78</v>
      </c>
      <c r="D310" t="str">
        <f>VLOOKUP(Table7[[#This Row],[Customer ID]],Table4[#All],2,FALSE)</f>
        <v>Kevin Larson</v>
      </c>
      <c r="E310">
        <f>VLOOKUP($A310,Table4[],3,FALSE)</f>
        <v>35</v>
      </c>
      <c r="F310" t="str">
        <f>VLOOKUP($A310,Table4[],4,FALSE)</f>
        <v>Male</v>
      </c>
      <c r="G310" t="str">
        <f>VLOOKUP($A310,Table4[],5,FALSE)</f>
        <v>Port Edwardmouth</v>
      </c>
      <c r="H310" t="str">
        <f>VLOOKUP($A310,Table4[],6,FALSE)</f>
        <v>Oregon</v>
      </c>
      <c r="I310" t="str">
        <f>VLOOKUP($A310,Table4[],8,FALSE)</f>
        <v>Platinum</v>
      </c>
      <c r="J310" t="str">
        <f>VLOOKUP($C310,Table1[],2,FALSE)</f>
        <v>Essential Oil Diffuser</v>
      </c>
      <c r="K310" t="str">
        <f>VLOOKUP($C310,Table1[],3,FALSE)</f>
        <v>Home</v>
      </c>
      <c r="L310" t="str">
        <f>VLOOKUP($C310,Table1[],4,FALSE)</f>
        <v>Decor</v>
      </c>
      <c r="M310" t="str">
        <f>VLOOKUP($C310,Table1[],5,FALSE)</f>
        <v>Hernandez Inc</v>
      </c>
      <c r="N310">
        <f>VLOOKUP($C310,Table1[],6,FALSE)</f>
        <v>325.26</v>
      </c>
      <c r="O310">
        <f>VLOOKUP($C310,Table1[],7,FALSE)</f>
        <v>400</v>
      </c>
      <c r="P310" t="str">
        <f>_xlfn.XLOOKUP($B310,Table3[Store_ID],Table3[Store_Name])</f>
        <v>Thomas, Bridges and Harris</v>
      </c>
      <c r="Q310" t="str" cm="1">
        <f t="array" ref="Q310">_xlfn.XLOOKUP($B310,Store_Dim!$A$2:$A$21,Table3[Region])</f>
        <v>North</v>
      </c>
      <c r="R310" t="str" cm="1">
        <f t="array" ref="R310">_xlfn.XLOOKUP($B310,Store_Dim!$A$2:$A$21,Table3[Store_Type])</f>
        <v>Online</v>
      </c>
      <c r="S310">
        <f>VLOOKUP(Table7[[#This Row],[Customer ID]],Table6[[Customer_ID]:[Total_Amount]],8,FALSE)</f>
        <v>962.47320000000002</v>
      </c>
    </row>
    <row r="311" spans="1:19" x14ac:dyDescent="0.3">
      <c r="A311" t="s">
        <v>974</v>
      </c>
      <c r="B311" t="str">
        <f>_xlfn.XLOOKUP(Table7[[#This Row],[Customer ID]],Table6[Customer_ID],Table6[Store_ID])</f>
        <v>STORE8</v>
      </c>
      <c r="C311" t="str">
        <f>_xlfn.XLOOKUP(Table7[[#This Row],[Customer ID]],Table6[Customer_ID],Table6[Product_ID])</f>
        <v>PROD74</v>
      </c>
      <c r="D311" t="str">
        <f>VLOOKUP(Table7[[#This Row],[Customer ID]],Table4[#All],2,FALSE)</f>
        <v>Jason Mullins</v>
      </c>
      <c r="E311">
        <f>VLOOKUP($A311,Table4[],3,FALSE)</f>
        <v>47</v>
      </c>
      <c r="F311" t="str">
        <f>VLOOKUP($A311,Table4[],4,FALSE)</f>
        <v>Female</v>
      </c>
      <c r="G311" t="str">
        <f>VLOOKUP($A311,Table4[],5,FALSE)</f>
        <v>Brianchester</v>
      </c>
      <c r="H311" t="str">
        <f>VLOOKUP($A311,Table4[],6,FALSE)</f>
        <v>Delaware</v>
      </c>
      <c r="I311" t="str">
        <f>VLOOKUP($A311,Table4[],8,FALSE)</f>
        <v>Silver</v>
      </c>
      <c r="J311" t="str">
        <f>VLOOKUP($C311,Table1[],2,FALSE)</f>
        <v>Bluetooth Car Audio System</v>
      </c>
      <c r="K311" t="str">
        <f>VLOOKUP($C311,Table1[],3,FALSE)</f>
        <v>Electronics</v>
      </c>
      <c r="L311" t="str">
        <f>VLOOKUP($C311,Table1[],4,FALSE)</f>
        <v>Audio</v>
      </c>
      <c r="M311" t="str">
        <f>VLOOKUP($C311,Table1[],5,FALSE)</f>
        <v>Bruce-Bowen</v>
      </c>
      <c r="N311">
        <f>VLOOKUP($C311,Table1[],6,FALSE)</f>
        <v>403.71</v>
      </c>
      <c r="O311">
        <f>VLOOKUP($C311,Table1[],7,FALSE)</f>
        <v>159</v>
      </c>
      <c r="P311" t="str">
        <f>_xlfn.XLOOKUP($B311,Table3[Store_ID],Table3[Store_Name])</f>
        <v>Bean, Jones and Park</v>
      </c>
      <c r="Q311" t="str" cm="1">
        <f t="array" ref="Q311">_xlfn.XLOOKUP($B311,Store_Dim!$A$2:$A$21,Table3[Region])</f>
        <v>West</v>
      </c>
      <c r="R311" t="str" cm="1">
        <f t="array" ref="R311">_xlfn.XLOOKUP($B311,Store_Dim!$A$2:$A$21,Table3[Store_Type])</f>
        <v>Online</v>
      </c>
      <c r="S311">
        <f>VLOOKUP(Table7[[#This Row],[Customer ID]],Table6[[Customer_ID]:[Total_Amount]],8,FALSE)</f>
        <v>811.07159999999999</v>
      </c>
    </row>
    <row r="312" spans="1:19" x14ac:dyDescent="0.3">
      <c r="A312" t="s">
        <v>977</v>
      </c>
      <c r="B312" t="str">
        <f>_xlfn.XLOOKUP(Table7[[#This Row],[Customer ID]],Table6[Customer_ID],Table6[Store_ID])</f>
        <v>STORE7</v>
      </c>
      <c r="C312" t="str">
        <f>_xlfn.XLOOKUP(Table7[[#This Row],[Customer ID]],Table6[Customer_ID],Table6[Product_ID])</f>
        <v>PROD84</v>
      </c>
      <c r="D312" t="str">
        <f>VLOOKUP(Table7[[#This Row],[Customer ID]],Table4[#All],2,FALSE)</f>
        <v>Elizabeth Jones</v>
      </c>
      <c r="E312">
        <f>VLOOKUP($A312,Table4[],3,FALSE)</f>
        <v>62</v>
      </c>
      <c r="F312" t="str">
        <f>VLOOKUP($A312,Table4[],4,FALSE)</f>
        <v>Male</v>
      </c>
      <c r="G312" t="str">
        <f>VLOOKUP($A312,Table4[],5,FALSE)</f>
        <v>Brownburgh</v>
      </c>
      <c r="H312" t="str">
        <f>VLOOKUP($A312,Table4[],6,FALSE)</f>
        <v>Maryland</v>
      </c>
      <c r="I312" t="str">
        <f>VLOOKUP($A312,Table4[],8,FALSE)</f>
        <v>Platinum</v>
      </c>
      <c r="J312" t="str">
        <f>VLOOKUP($C312,Table1[],2,FALSE)</f>
        <v>Wooden Bookshelf</v>
      </c>
      <c r="K312" t="str">
        <f>VLOOKUP($C312,Table1[],3,FALSE)</f>
        <v>Home</v>
      </c>
      <c r="L312" t="str">
        <f>VLOOKUP($C312,Table1[],4,FALSE)</f>
        <v>Furniture</v>
      </c>
      <c r="M312" t="str">
        <f>VLOOKUP($C312,Table1[],5,FALSE)</f>
        <v>Collins-Stephenson</v>
      </c>
      <c r="N312">
        <f>VLOOKUP($C312,Table1[],6,FALSE)</f>
        <v>388.46</v>
      </c>
      <c r="O312">
        <f>VLOOKUP($C312,Table1[],7,FALSE)</f>
        <v>208</v>
      </c>
      <c r="P312" t="str">
        <f>_xlfn.XLOOKUP($B312,Table3[Store_ID],Table3[Store_Name])</f>
        <v>Martinez-Mullins</v>
      </c>
      <c r="Q312" t="str" cm="1">
        <f t="array" ref="Q312">_xlfn.XLOOKUP($B312,Store_Dim!$A$2:$A$21,Table3[Region])</f>
        <v>South</v>
      </c>
      <c r="R312" t="str" cm="1">
        <f t="array" ref="R312">_xlfn.XLOOKUP($B312,Store_Dim!$A$2:$A$21,Table3[Store_Type])</f>
        <v>Online</v>
      </c>
      <c r="S312">
        <f>VLOOKUP(Table7[[#This Row],[Customer ID]],Table6[[Customer_ID]:[Total_Amount]],8,FALSE)</f>
        <v>1370.5232000000001</v>
      </c>
    </row>
    <row r="313" spans="1:19" x14ac:dyDescent="0.3">
      <c r="A313" t="s">
        <v>980</v>
      </c>
      <c r="B313" t="str">
        <f>_xlfn.XLOOKUP(Table7[[#This Row],[Customer ID]],Table6[Customer_ID],Table6[Store_ID])</f>
        <v>STORE19</v>
      </c>
      <c r="C313" t="str">
        <f>_xlfn.XLOOKUP(Table7[[#This Row],[Customer ID]],Table6[Customer_ID],Table6[Product_ID])</f>
        <v>PROD11</v>
      </c>
      <c r="D313" t="str">
        <f>VLOOKUP(Table7[[#This Row],[Customer ID]],Table4[#All],2,FALSE)</f>
        <v>Elizabeth Johnson</v>
      </c>
      <c r="E313">
        <f>VLOOKUP($A313,Table4[],3,FALSE)</f>
        <v>53</v>
      </c>
      <c r="F313" t="str">
        <f>VLOOKUP($A313,Table4[],4,FALSE)</f>
        <v>Female</v>
      </c>
      <c r="G313" t="str">
        <f>VLOOKUP($A313,Table4[],5,FALSE)</f>
        <v>Anitaland</v>
      </c>
      <c r="H313" t="str">
        <f>VLOOKUP($A313,Table4[],6,FALSE)</f>
        <v>Washington</v>
      </c>
      <c r="I313" t="str">
        <f>VLOOKUP($A313,Table4[],8,FALSE)</f>
        <v>Silver</v>
      </c>
      <c r="J313" t="str">
        <f>VLOOKUP($C313,Table1[],2,FALSE)</f>
        <v>HD Smart TV Stick</v>
      </c>
      <c r="K313" t="str">
        <f>VLOOKUP($C313,Table1[],3,FALSE)</f>
        <v>Electronics</v>
      </c>
      <c r="L313" t="str">
        <f>VLOOKUP($C313,Table1[],4,FALSE)</f>
        <v>Accessories</v>
      </c>
      <c r="M313" t="str">
        <f>VLOOKUP($C313,Table1[],5,FALSE)</f>
        <v>Gibson, Hobbs and Weaver</v>
      </c>
      <c r="N313">
        <f>VLOOKUP($C313,Table1[],6,FALSE)</f>
        <v>449.4</v>
      </c>
      <c r="O313">
        <f>VLOOKUP($C313,Table1[],7,FALSE)</f>
        <v>338</v>
      </c>
      <c r="P313" t="str">
        <f>_xlfn.XLOOKUP($B313,Table3[Store_ID],Table3[Store_Name])</f>
        <v>Mann-Austin</v>
      </c>
      <c r="Q313" t="str" cm="1">
        <f t="array" ref="Q313">_xlfn.XLOOKUP($B313,Store_Dim!$A$2:$A$21,Table3[Region])</f>
        <v>East</v>
      </c>
      <c r="R313" t="str" cm="1">
        <f t="array" ref="R313">_xlfn.XLOOKUP($B313,Store_Dim!$A$2:$A$21,Table3[Store_Type])</f>
        <v>Online</v>
      </c>
      <c r="S313">
        <f>VLOOKUP(Table7[[#This Row],[Customer ID]],Table6[[Customer_ID]:[Total_Amount]],8,FALSE)</f>
        <v>1491.7896000000001</v>
      </c>
    </row>
    <row r="314" spans="1:19" x14ac:dyDescent="0.3">
      <c r="A314" t="s">
        <v>983</v>
      </c>
      <c r="B314" t="str">
        <f>_xlfn.XLOOKUP(Table7[[#This Row],[Customer ID]],Table6[Customer_ID],Table6[Store_ID])</f>
        <v>STORE16</v>
      </c>
      <c r="C314" t="str">
        <f>_xlfn.XLOOKUP(Table7[[#This Row],[Customer ID]],Table6[Customer_ID],Table6[Product_ID])</f>
        <v>PROD1</v>
      </c>
      <c r="D314" t="str">
        <f>VLOOKUP(Table7[[#This Row],[Customer ID]],Table4[#All],2,FALSE)</f>
        <v>William Rodriguez</v>
      </c>
      <c r="E314">
        <f>VLOOKUP($A314,Table4[],3,FALSE)</f>
        <v>49</v>
      </c>
      <c r="F314" t="str">
        <f>VLOOKUP($A314,Table4[],4,FALSE)</f>
        <v>Male</v>
      </c>
      <c r="G314" t="str">
        <f>VLOOKUP($A314,Table4[],5,FALSE)</f>
        <v>Port Chad</v>
      </c>
      <c r="H314" t="str">
        <f>VLOOKUP($A314,Table4[],6,FALSE)</f>
        <v>Massachusetts</v>
      </c>
      <c r="I314" t="str">
        <f>VLOOKUP($A314,Table4[],8,FALSE)</f>
        <v>Silver</v>
      </c>
      <c r="J314" t="str">
        <f>VLOOKUP($C314,Table1[],2,FALSE)</f>
        <v>Men's Graphic T-Shirt</v>
      </c>
      <c r="K314" t="str">
        <f>VLOOKUP($C314,Table1[],3,FALSE)</f>
        <v>Clothing</v>
      </c>
      <c r="L314" t="str">
        <f>VLOOKUP($C314,Table1[],4,FALSE)</f>
        <v>Tops</v>
      </c>
      <c r="M314" t="str">
        <f>VLOOKUP($C314,Table1[],5,FALSE)</f>
        <v>Terry-Moore</v>
      </c>
      <c r="N314">
        <f>VLOOKUP($C314,Table1[],6,FALSE)</f>
        <v>342.56</v>
      </c>
      <c r="O314">
        <f>VLOOKUP($C314,Table1[],7,FALSE)</f>
        <v>181</v>
      </c>
      <c r="P314" t="str">
        <f>_xlfn.XLOOKUP($B314,Table3[Store_ID],Table3[Store_Name])</f>
        <v>Frederick-Wright</v>
      </c>
      <c r="Q314" t="str" cm="1">
        <f t="array" ref="Q314">_xlfn.XLOOKUP($B314,Store_Dim!$A$2:$A$21,Table3[Region])</f>
        <v>West</v>
      </c>
      <c r="R314" t="str" cm="1">
        <f t="array" ref="R314">_xlfn.XLOOKUP($B314,Store_Dim!$A$2:$A$21,Table3[Store_Type])</f>
        <v>Flagship</v>
      </c>
      <c r="S314">
        <f>VLOOKUP(Table7[[#This Row],[Customer ID]],Table6[[Customer_ID]:[Total_Amount]],8,FALSE)</f>
        <v>548.27499999999998</v>
      </c>
    </row>
    <row r="315" spans="1:19" x14ac:dyDescent="0.3">
      <c r="A315" t="s">
        <v>986</v>
      </c>
      <c r="B315" t="str">
        <f>_xlfn.XLOOKUP(Table7[[#This Row],[Customer ID]],Table6[Customer_ID],Table6[Store_ID])</f>
        <v>STORE7</v>
      </c>
      <c r="C315" t="str">
        <f>_xlfn.XLOOKUP(Table7[[#This Row],[Customer ID]],Table6[Customer_ID],Table6[Product_ID])</f>
        <v>PROD25</v>
      </c>
      <c r="D315" t="str">
        <f>VLOOKUP(Table7[[#This Row],[Customer ID]],Table4[#All],2,FALSE)</f>
        <v>Robert House</v>
      </c>
      <c r="E315">
        <f>VLOOKUP($A315,Table4[],3,FALSE)</f>
        <v>34</v>
      </c>
      <c r="F315" t="str">
        <f>VLOOKUP($A315,Table4[],4,FALSE)</f>
        <v>Male</v>
      </c>
      <c r="G315" t="str">
        <f>VLOOKUP($A315,Table4[],5,FALSE)</f>
        <v>Lake James</v>
      </c>
      <c r="H315" t="str">
        <f>VLOOKUP($A315,Table4[],6,FALSE)</f>
        <v>Maryland</v>
      </c>
      <c r="I315" t="str">
        <f>VLOOKUP($A315,Table4[],8,FALSE)</f>
        <v>Gold</v>
      </c>
      <c r="J315" t="str">
        <f>VLOOKUP($C315,Table1[],2,FALSE)</f>
        <v>Women's Scarf Set</v>
      </c>
      <c r="K315" t="str">
        <f>VLOOKUP($C315,Table1[],3,FALSE)</f>
        <v>Clothing</v>
      </c>
      <c r="L315" t="str">
        <f>VLOOKUP($C315,Table1[],4,FALSE)</f>
        <v>Accessories</v>
      </c>
      <c r="M315" t="str">
        <f>VLOOKUP($C315,Table1[],5,FALSE)</f>
        <v>Brown and Sons</v>
      </c>
      <c r="N315">
        <f>VLOOKUP($C315,Table1[],6,FALSE)</f>
        <v>174.02</v>
      </c>
      <c r="O315">
        <f>VLOOKUP($C315,Table1[],7,FALSE)</f>
        <v>268</v>
      </c>
      <c r="P315" t="str">
        <f>_xlfn.XLOOKUP($B315,Table3[Store_ID],Table3[Store_Name])</f>
        <v>Martinez-Mullins</v>
      </c>
      <c r="Q315" t="str" cm="1">
        <f t="array" ref="Q315">_xlfn.XLOOKUP($B315,Store_Dim!$A$2:$A$21,Table3[Region])</f>
        <v>South</v>
      </c>
      <c r="R315" t="str" cm="1">
        <f t="array" ref="R315">_xlfn.XLOOKUP($B315,Store_Dim!$A$2:$A$21,Table3[Store_Type])</f>
        <v>Online</v>
      </c>
      <c r="S315">
        <f>VLOOKUP(Table7[[#This Row],[Customer ID]],Table6[[Customer_ID]:[Total_Amount]],8,FALSE)</f>
        <v>937.4896</v>
      </c>
    </row>
    <row r="316" spans="1:19" x14ac:dyDescent="0.3">
      <c r="A316" t="s">
        <v>989</v>
      </c>
      <c r="B316" t="str">
        <f>_xlfn.XLOOKUP(Table7[[#This Row],[Customer ID]],Table6[Customer_ID],Table6[Store_ID])</f>
        <v>STORE14</v>
      </c>
      <c r="C316" t="str">
        <f>_xlfn.XLOOKUP(Table7[[#This Row],[Customer ID]],Table6[Customer_ID],Table6[Product_ID])</f>
        <v>PROD10</v>
      </c>
      <c r="D316" t="str">
        <f>VLOOKUP(Table7[[#This Row],[Customer ID]],Table4[#All],2,FALSE)</f>
        <v>Tiffany Williams</v>
      </c>
      <c r="E316">
        <f>VLOOKUP($A316,Table4[],3,FALSE)</f>
        <v>64</v>
      </c>
      <c r="F316" t="str">
        <f>VLOOKUP($A316,Table4[],4,FALSE)</f>
        <v>Female</v>
      </c>
      <c r="G316" t="str">
        <f>VLOOKUP($A316,Table4[],5,FALSE)</f>
        <v>Richardsport</v>
      </c>
      <c r="H316" t="str">
        <f>VLOOKUP($A316,Table4[],6,FALSE)</f>
        <v>New Hampshire</v>
      </c>
      <c r="I316" t="str">
        <f>VLOOKUP($A316,Table4[],8,FALSE)</f>
        <v>Gold</v>
      </c>
      <c r="J316" t="str">
        <f>VLOOKUP($C316,Table1[],2,FALSE)</f>
        <v>Ceramic Kitchen Bowl Set</v>
      </c>
      <c r="K316" t="str">
        <f>VLOOKUP($C316,Table1[],3,FALSE)</f>
        <v>Home</v>
      </c>
      <c r="L316" t="str">
        <f>VLOOKUP($C316,Table1[],4,FALSE)</f>
        <v>Kitchen</v>
      </c>
      <c r="M316" t="str">
        <f>VLOOKUP($C316,Table1[],5,FALSE)</f>
        <v>Hamilton Group</v>
      </c>
      <c r="N316">
        <f>VLOOKUP($C316,Table1[],6,FALSE)</f>
        <v>298.86</v>
      </c>
      <c r="O316">
        <f>VLOOKUP($C316,Table1[],7,FALSE)</f>
        <v>308</v>
      </c>
      <c r="P316" t="str">
        <f>_xlfn.XLOOKUP($B316,Table3[Store_ID],Table3[Store_Name])</f>
        <v>Mcdonald Inc</v>
      </c>
      <c r="Q316" t="str" cm="1">
        <f t="array" ref="Q316">_xlfn.XLOOKUP($B316,Store_Dim!$A$2:$A$21,Table3[Region])</f>
        <v>South</v>
      </c>
      <c r="R316" t="str" cm="1">
        <f t="array" ref="R316">_xlfn.XLOOKUP($B316,Store_Dim!$A$2:$A$21,Table3[Store_Type])</f>
        <v>Outlet</v>
      </c>
      <c r="S316">
        <f>VLOOKUP(Table7[[#This Row],[Customer ID]],Table6[[Customer_ID]:[Total_Amount]],8,FALSE)</f>
        <v>620.95889999999997</v>
      </c>
    </row>
    <row r="317" spans="1:19" x14ac:dyDescent="0.3">
      <c r="A317" t="s">
        <v>992</v>
      </c>
      <c r="B317" t="str">
        <f>_xlfn.XLOOKUP(Table7[[#This Row],[Customer ID]],Table6[Customer_ID],Table6[Store_ID])</f>
        <v>STORE5</v>
      </c>
      <c r="C317" t="str">
        <f>_xlfn.XLOOKUP(Table7[[#This Row],[Customer ID]],Table6[Customer_ID],Table6[Product_ID])</f>
        <v>PROD78</v>
      </c>
      <c r="D317" t="str">
        <f>VLOOKUP(Table7[[#This Row],[Customer ID]],Table4[#All],2,FALSE)</f>
        <v>Madison Wright</v>
      </c>
      <c r="E317">
        <f>VLOOKUP($A317,Table4[],3,FALSE)</f>
        <v>25</v>
      </c>
      <c r="F317" t="str">
        <f>VLOOKUP($A317,Table4[],4,FALSE)</f>
        <v>Male</v>
      </c>
      <c r="G317" t="str">
        <f>VLOOKUP($A317,Table4[],5,FALSE)</f>
        <v>Monicaview</v>
      </c>
      <c r="H317" t="str">
        <f>VLOOKUP($A317,Table4[],6,FALSE)</f>
        <v>Kansas</v>
      </c>
      <c r="I317" t="str">
        <f>VLOOKUP($A317,Table4[],8,FALSE)</f>
        <v>Platinum</v>
      </c>
      <c r="J317" t="str">
        <f>VLOOKUP($C317,Table1[],2,FALSE)</f>
        <v>Essential Oil Diffuser</v>
      </c>
      <c r="K317" t="str">
        <f>VLOOKUP($C317,Table1[],3,FALSE)</f>
        <v>Home</v>
      </c>
      <c r="L317" t="str">
        <f>VLOOKUP($C317,Table1[],4,FALSE)</f>
        <v>Decor</v>
      </c>
      <c r="M317" t="str">
        <f>VLOOKUP($C317,Table1[],5,FALSE)</f>
        <v>Hernandez Inc</v>
      </c>
      <c r="N317">
        <f>VLOOKUP($C317,Table1[],6,FALSE)</f>
        <v>325.26</v>
      </c>
      <c r="O317">
        <f>VLOOKUP($C317,Table1[],7,FALSE)</f>
        <v>400</v>
      </c>
      <c r="P317" t="str">
        <f>_xlfn.XLOOKUP($B317,Table3[Store_ID],Table3[Store_Name])</f>
        <v>Gray Ltd</v>
      </c>
      <c r="Q317" t="str" cm="1">
        <f t="array" ref="Q317">_xlfn.XLOOKUP($B317,Store_Dim!$A$2:$A$21,Table3[Region])</f>
        <v>North</v>
      </c>
      <c r="R317" t="str" cm="1">
        <f t="array" ref="R317">_xlfn.XLOOKUP($B317,Store_Dim!$A$2:$A$21,Table3[Store_Type])</f>
        <v>Outlet</v>
      </c>
      <c r="S317">
        <f>VLOOKUP(Table7[[#This Row],[Customer ID]],Table6[[Customer_ID]:[Total_Amount]],8,FALSE)</f>
        <v>758.03660000000002</v>
      </c>
    </row>
    <row r="318" spans="1:19" x14ac:dyDescent="0.3">
      <c r="A318" t="s">
        <v>995</v>
      </c>
      <c r="B318" t="str">
        <f>_xlfn.XLOOKUP(Table7[[#This Row],[Customer ID]],Table6[Customer_ID],Table6[Store_ID])</f>
        <v>STORE0</v>
      </c>
      <c r="C318" t="str">
        <f>_xlfn.XLOOKUP(Table7[[#This Row],[Customer ID]],Table6[Customer_ID],Table6[Product_ID])</f>
        <v>PROD49</v>
      </c>
      <c r="D318" t="str">
        <f>VLOOKUP(Table7[[#This Row],[Customer ID]],Table4[#All],2,FALSE)</f>
        <v>Casey Simpson</v>
      </c>
      <c r="E318">
        <f>VLOOKUP($A318,Table4[],3,FALSE)</f>
        <v>54</v>
      </c>
      <c r="F318" t="str">
        <f>VLOOKUP($A318,Table4[],4,FALSE)</f>
        <v>Male</v>
      </c>
      <c r="G318" t="str">
        <f>VLOOKUP($A318,Table4[],5,FALSE)</f>
        <v>West Mathewside</v>
      </c>
      <c r="H318" t="str">
        <f>VLOOKUP($A318,Table4[],6,FALSE)</f>
        <v>Mississippi</v>
      </c>
      <c r="I318" t="str">
        <f>VLOOKUP($A318,Table4[],8,FALSE)</f>
        <v>Platinum</v>
      </c>
      <c r="J318" t="str">
        <f>VLOOKUP($C318,Table1[],2,FALSE)</f>
        <v>Men's Roll-On Perfume</v>
      </c>
      <c r="K318" t="str">
        <f>VLOOKUP($C318,Table1[],3,FALSE)</f>
        <v>Beauty</v>
      </c>
      <c r="L318" t="str">
        <f>VLOOKUP($C318,Table1[],4,FALSE)</f>
        <v>Fragrance</v>
      </c>
      <c r="M318" t="str">
        <f>VLOOKUP($C318,Table1[],5,FALSE)</f>
        <v>Sullivan and Sons</v>
      </c>
      <c r="N318">
        <f>VLOOKUP($C318,Table1[],6,FALSE)</f>
        <v>43.29</v>
      </c>
      <c r="O318">
        <f>VLOOKUP($C318,Table1[],7,FALSE)</f>
        <v>267</v>
      </c>
      <c r="P318" t="str">
        <f>_xlfn.XLOOKUP($B318,Table3[Store_ID],Table3[Store_Name])</f>
        <v>Rivera-Warner</v>
      </c>
      <c r="Q318" t="str" cm="1">
        <f t="array" ref="Q318">_xlfn.XLOOKUP($B318,Store_Dim!$A$2:$A$21,Table3[Region])</f>
        <v>East</v>
      </c>
      <c r="R318" t="str" cm="1">
        <f t="array" ref="R318">_xlfn.XLOOKUP($B318,Store_Dim!$A$2:$A$21,Table3[Store_Type])</f>
        <v>Flagship</v>
      </c>
      <c r="S318">
        <f>VLOOKUP(Table7[[#This Row],[Customer ID]],Table6[[Customer_ID]:[Total_Amount]],8,FALSE)</f>
        <v>1843.04</v>
      </c>
    </row>
    <row r="319" spans="1:19" x14ac:dyDescent="0.3">
      <c r="A319" t="s">
        <v>998</v>
      </c>
      <c r="B319" t="str">
        <f>_xlfn.XLOOKUP(Table7[[#This Row],[Customer ID]],Table6[Customer_ID],Table6[Store_ID])</f>
        <v>STORE1</v>
      </c>
      <c r="C319" t="str">
        <f>_xlfn.XLOOKUP(Table7[[#This Row],[Customer ID]],Table6[Customer_ID],Table6[Product_ID])</f>
        <v>PROD39</v>
      </c>
      <c r="D319" t="str">
        <f>VLOOKUP(Table7[[#This Row],[Customer ID]],Table4[#All],2,FALSE)</f>
        <v>Jessica Gonzalez</v>
      </c>
      <c r="E319">
        <f>VLOOKUP($A319,Table4[],3,FALSE)</f>
        <v>34</v>
      </c>
      <c r="F319" t="str">
        <f>VLOOKUP($A319,Table4[],4,FALSE)</f>
        <v>Female</v>
      </c>
      <c r="G319" t="str">
        <f>VLOOKUP($A319,Table4[],5,FALSE)</f>
        <v>South Darrenland</v>
      </c>
      <c r="H319" t="str">
        <f>VLOOKUP($A319,Table4[],6,FALSE)</f>
        <v>Iowa</v>
      </c>
      <c r="I319" t="str">
        <f>VLOOKUP($A319,Table4[],8,FALSE)</f>
        <v>Bronze</v>
      </c>
      <c r="J319" t="str">
        <f>VLOOKUP($C319,Table1[],2,FALSE)</f>
        <v>Portable Power Bank</v>
      </c>
      <c r="K319" t="str">
        <f>VLOOKUP($C319,Table1[],3,FALSE)</f>
        <v>Electronics</v>
      </c>
      <c r="L319" t="str">
        <f>VLOOKUP($C319,Table1[],4,FALSE)</f>
        <v>Mobile</v>
      </c>
      <c r="M319" t="str">
        <f>VLOOKUP($C319,Table1[],5,FALSE)</f>
        <v>Cummings and Sons</v>
      </c>
      <c r="N319">
        <f>VLOOKUP($C319,Table1[],6,FALSE)</f>
        <v>326.06</v>
      </c>
      <c r="O319">
        <f>VLOOKUP($C319,Table1[],7,FALSE)</f>
        <v>301</v>
      </c>
      <c r="P319" t="str">
        <f>_xlfn.XLOOKUP($B319,Table3[Store_ID],Table3[Store_Name])</f>
        <v>Martinez, Adkins and Johnson</v>
      </c>
      <c r="Q319" t="str" cm="1">
        <f t="array" ref="Q319">_xlfn.XLOOKUP($B319,Store_Dim!$A$2:$A$21,Table3[Region])</f>
        <v>North</v>
      </c>
      <c r="R319" t="str" cm="1">
        <f t="array" ref="R319">_xlfn.XLOOKUP($B319,Store_Dim!$A$2:$A$21,Table3[Store_Type])</f>
        <v>Flagship</v>
      </c>
      <c r="S319">
        <f>VLOOKUP(Table7[[#This Row],[Customer ID]],Table6[[Customer_ID]:[Total_Amount]],8,FALSE)</f>
        <v>952.57439999999997</v>
      </c>
    </row>
    <row r="320" spans="1:19" x14ac:dyDescent="0.3">
      <c r="A320" t="s">
        <v>1001</v>
      </c>
      <c r="B320" t="str">
        <f>_xlfn.XLOOKUP(Table7[[#This Row],[Customer ID]],Table6[Customer_ID],Table6[Store_ID])</f>
        <v>STORE6</v>
      </c>
      <c r="C320" t="str">
        <f>_xlfn.XLOOKUP(Table7[[#This Row],[Customer ID]],Table6[Customer_ID],Table6[Product_ID])</f>
        <v>PROD99</v>
      </c>
      <c r="D320" t="str">
        <f>VLOOKUP(Table7[[#This Row],[Customer ID]],Table4[#All],2,FALSE)</f>
        <v>Darren Burton</v>
      </c>
      <c r="E320">
        <f>VLOOKUP($A320,Table4[],3,FALSE)</f>
        <v>21</v>
      </c>
      <c r="F320" t="str">
        <f>VLOOKUP($A320,Table4[],4,FALSE)</f>
        <v>Female</v>
      </c>
      <c r="G320" t="str">
        <f>VLOOKUP($A320,Table4[],5,FALSE)</f>
        <v>Lake Alice</v>
      </c>
      <c r="H320" t="str">
        <f>VLOOKUP($A320,Table4[],6,FALSE)</f>
        <v>Tennessee</v>
      </c>
      <c r="I320" t="str">
        <f>VLOOKUP($A320,Table4[],8,FALSE)</f>
        <v>Bronze</v>
      </c>
      <c r="J320" t="str">
        <f>VLOOKUP($C320,Table1[],2,FALSE)</f>
        <v>Stainless Steel Cookware Set</v>
      </c>
      <c r="K320" t="str">
        <f>VLOOKUP($C320,Table1[],3,FALSE)</f>
        <v>Home</v>
      </c>
      <c r="L320" t="str">
        <f>VLOOKUP($C320,Table1[],4,FALSE)</f>
        <v>Kitchen</v>
      </c>
      <c r="M320" t="str">
        <f>VLOOKUP($C320,Table1[],5,FALSE)</f>
        <v>Campbell Ltd</v>
      </c>
      <c r="N320">
        <f>VLOOKUP($C320,Table1[],6,FALSE)</f>
        <v>201.41</v>
      </c>
      <c r="O320">
        <f>VLOOKUP($C320,Table1[],7,FALSE)</f>
        <v>146</v>
      </c>
      <c r="P320" t="str">
        <f>_xlfn.XLOOKUP($B320,Table3[Store_ID],Table3[Store_Name])</f>
        <v>Benson-Elliott</v>
      </c>
      <c r="Q320" t="str" cm="1">
        <f t="array" ref="Q320">_xlfn.XLOOKUP($B320,Store_Dim!$A$2:$A$21,Table3[Region])</f>
        <v>East</v>
      </c>
      <c r="R320" t="str" cm="1">
        <f t="array" ref="R320">_xlfn.XLOOKUP($B320,Store_Dim!$A$2:$A$21,Table3[Store_Type])</f>
        <v>Online</v>
      </c>
      <c r="S320">
        <f>VLOOKUP(Table7[[#This Row],[Customer ID]],Table6[[Customer_ID]:[Total_Amount]],8,FALSE)</f>
        <v>117.4588</v>
      </c>
    </row>
    <row r="321" spans="1:19" x14ac:dyDescent="0.3">
      <c r="A321" t="s">
        <v>1004</v>
      </c>
      <c r="B321" t="str">
        <f>_xlfn.XLOOKUP(Table7[[#This Row],[Customer ID]],Table6[Customer_ID],Table6[Store_ID])</f>
        <v>STORE0</v>
      </c>
      <c r="C321" t="str">
        <f>_xlfn.XLOOKUP(Table7[[#This Row],[Customer ID]],Table6[Customer_ID],Table6[Product_ID])</f>
        <v>PROD6</v>
      </c>
      <c r="D321" t="str">
        <f>VLOOKUP(Table7[[#This Row],[Customer ID]],Table4[#All],2,FALSE)</f>
        <v>Samuel Arias</v>
      </c>
      <c r="E321">
        <f>VLOOKUP($A321,Table4[],3,FALSE)</f>
        <v>54</v>
      </c>
      <c r="F321" t="str">
        <f>VLOOKUP($A321,Table4[],4,FALSE)</f>
        <v>Male</v>
      </c>
      <c r="G321" t="str">
        <f>VLOOKUP($A321,Table4[],5,FALSE)</f>
        <v>North Nicole</v>
      </c>
      <c r="H321" t="str">
        <f>VLOOKUP($A321,Table4[],6,FALSE)</f>
        <v>Wyoming</v>
      </c>
      <c r="I321" t="str">
        <f>VLOOKUP($A321,Table4[],8,FALSE)</f>
        <v>Bronze</v>
      </c>
      <c r="J321" t="str">
        <f>VLOOKUP($C321,Table1[],2,FALSE)</f>
        <v>Herbal Face Moisturizer</v>
      </c>
      <c r="K321" t="str">
        <f>VLOOKUP($C321,Table1[],3,FALSE)</f>
        <v>Beauty</v>
      </c>
      <c r="L321" t="str">
        <f>VLOOKUP($C321,Table1[],4,FALSE)</f>
        <v>Skincare</v>
      </c>
      <c r="M321" t="str">
        <f>VLOOKUP($C321,Table1[],5,FALSE)</f>
        <v>Davidson PLC</v>
      </c>
      <c r="N321">
        <f>VLOOKUP($C321,Table1[],6,FALSE)</f>
        <v>312.8</v>
      </c>
      <c r="O321">
        <f>VLOOKUP($C321,Table1[],7,FALSE)</f>
        <v>350</v>
      </c>
      <c r="P321" t="str">
        <f>_xlfn.XLOOKUP($B321,Table3[Store_ID],Table3[Store_Name])</f>
        <v>Rivera-Warner</v>
      </c>
      <c r="Q321" t="str" cm="1">
        <f t="array" ref="Q321">_xlfn.XLOOKUP($B321,Store_Dim!$A$2:$A$21,Table3[Region])</f>
        <v>East</v>
      </c>
      <c r="R321" t="str" cm="1">
        <f t="array" ref="R321">_xlfn.XLOOKUP($B321,Store_Dim!$A$2:$A$21,Table3[Store_Type])</f>
        <v>Flagship</v>
      </c>
      <c r="S321">
        <f>VLOOKUP(Table7[[#This Row],[Customer ID]],Table6[[Customer_ID]:[Total_Amount]],8,FALSE)</f>
        <v>71.193599999999989</v>
      </c>
    </row>
    <row r="322" spans="1:19" x14ac:dyDescent="0.3">
      <c r="A322" t="s">
        <v>1007</v>
      </c>
      <c r="B322" t="str">
        <f>_xlfn.XLOOKUP(Table7[[#This Row],[Customer ID]],Table6[Customer_ID],Table6[Store_ID])</f>
        <v>STORE10</v>
      </c>
      <c r="C322" t="str">
        <f>_xlfn.XLOOKUP(Table7[[#This Row],[Customer ID]],Table6[Customer_ID],Table6[Product_ID])</f>
        <v>PROD49</v>
      </c>
      <c r="D322" t="str">
        <f>VLOOKUP(Table7[[#This Row],[Customer ID]],Table4[#All],2,FALSE)</f>
        <v>Kristy Dunlap</v>
      </c>
      <c r="E322">
        <f>VLOOKUP($A322,Table4[],3,FALSE)</f>
        <v>64</v>
      </c>
      <c r="F322" t="str">
        <f>VLOOKUP($A322,Table4[],4,FALSE)</f>
        <v>Female</v>
      </c>
      <c r="G322" t="str">
        <f>VLOOKUP($A322,Table4[],5,FALSE)</f>
        <v>Whiteport</v>
      </c>
      <c r="H322" t="str">
        <f>VLOOKUP($A322,Table4[],6,FALSE)</f>
        <v>North Carolina</v>
      </c>
      <c r="I322" t="str">
        <f>VLOOKUP($A322,Table4[],8,FALSE)</f>
        <v>Platinum</v>
      </c>
      <c r="J322" t="str">
        <f>VLOOKUP($C322,Table1[],2,FALSE)</f>
        <v>Men's Roll-On Perfume</v>
      </c>
      <c r="K322" t="str">
        <f>VLOOKUP($C322,Table1[],3,FALSE)</f>
        <v>Beauty</v>
      </c>
      <c r="L322" t="str">
        <f>VLOOKUP($C322,Table1[],4,FALSE)</f>
        <v>Fragrance</v>
      </c>
      <c r="M322" t="str">
        <f>VLOOKUP($C322,Table1[],5,FALSE)</f>
        <v>Sullivan and Sons</v>
      </c>
      <c r="N322">
        <f>VLOOKUP($C322,Table1[],6,FALSE)</f>
        <v>43.29</v>
      </c>
      <c r="O322">
        <f>VLOOKUP($C322,Table1[],7,FALSE)</f>
        <v>267</v>
      </c>
      <c r="P322" t="str">
        <f>_xlfn.XLOOKUP($B322,Table3[Store_ID],Table3[Store_Name])</f>
        <v>Hill, Wagner and Ballard</v>
      </c>
      <c r="Q322" t="str" cm="1">
        <f t="array" ref="Q322">_xlfn.XLOOKUP($B322,Store_Dim!$A$2:$A$21,Table3[Region])</f>
        <v>East</v>
      </c>
      <c r="R322" t="str" cm="1">
        <f t="array" ref="R322">_xlfn.XLOOKUP($B322,Store_Dim!$A$2:$A$21,Table3[Store_Type])</f>
        <v>Online</v>
      </c>
      <c r="S322">
        <f>VLOOKUP(Table7[[#This Row],[Customer ID]],Table6[[Customer_ID]:[Total_Amount]],8,FALSE)</f>
        <v>2184.5819999999999</v>
      </c>
    </row>
    <row r="323" spans="1:19" x14ac:dyDescent="0.3">
      <c r="A323" t="s">
        <v>1010</v>
      </c>
      <c r="B323" t="str">
        <f>_xlfn.XLOOKUP(Table7[[#This Row],[Customer ID]],Table6[Customer_ID],Table6[Store_ID])</f>
        <v>STORE8</v>
      </c>
      <c r="C323" t="str">
        <f>_xlfn.XLOOKUP(Table7[[#This Row],[Customer ID]],Table6[Customer_ID],Table6[Product_ID])</f>
        <v>PROD20</v>
      </c>
      <c r="D323" t="str">
        <f>VLOOKUP(Table7[[#This Row],[Customer ID]],Table4[#All],2,FALSE)</f>
        <v>Alex Mann Ii</v>
      </c>
      <c r="E323">
        <f>VLOOKUP($A323,Table4[],3,FALSE)</f>
        <v>58</v>
      </c>
      <c r="F323" t="str">
        <f>VLOOKUP($A323,Table4[],4,FALSE)</f>
        <v>Male</v>
      </c>
      <c r="G323" t="str">
        <f>VLOOKUP($A323,Table4[],5,FALSE)</f>
        <v>South Zacharychester</v>
      </c>
      <c r="H323" t="str">
        <f>VLOOKUP($A323,Table4[],6,FALSE)</f>
        <v>Oklahoma</v>
      </c>
      <c r="I323" t="str">
        <f>VLOOKUP($A323,Table4[],8,FALSE)</f>
        <v>Bronze</v>
      </c>
      <c r="J323" t="str">
        <f>VLOOKUP($C323,Table1[],2,FALSE)</f>
        <v>Outdoor Sports Water Bottle</v>
      </c>
      <c r="K323" t="str">
        <f>VLOOKUP($C323,Table1[],3,FALSE)</f>
        <v>Sports</v>
      </c>
      <c r="L323" t="str">
        <f>VLOOKUP($C323,Table1[],4,FALSE)</f>
        <v>Accessories</v>
      </c>
      <c r="M323" t="str">
        <f>VLOOKUP($C323,Table1[],5,FALSE)</f>
        <v>Soto-Ellis</v>
      </c>
      <c r="N323">
        <f>VLOOKUP($C323,Table1[],6,FALSE)</f>
        <v>131.51</v>
      </c>
      <c r="O323">
        <f>VLOOKUP($C323,Table1[],7,FALSE)</f>
        <v>199</v>
      </c>
      <c r="P323" t="str">
        <f>_xlfn.XLOOKUP($B323,Table3[Store_ID],Table3[Store_Name])</f>
        <v>Bean, Jones and Park</v>
      </c>
      <c r="Q323" t="str" cm="1">
        <f t="array" ref="Q323">_xlfn.XLOOKUP($B323,Store_Dim!$A$2:$A$21,Table3[Region])</f>
        <v>West</v>
      </c>
      <c r="R323" t="str" cm="1">
        <f t="array" ref="R323">_xlfn.XLOOKUP($B323,Store_Dim!$A$2:$A$21,Table3[Store_Type])</f>
        <v>Online</v>
      </c>
      <c r="S323">
        <f>VLOOKUP(Table7[[#This Row],[Customer ID]],Table6[[Customer_ID]:[Total_Amount]],8,FALSE)</f>
        <v>783.30449999999996</v>
      </c>
    </row>
    <row r="324" spans="1:19" x14ac:dyDescent="0.3">
      <c r="A324" t="s">
        <v>1012</v>
      </c>
      <c r="B324" t="str">
        <f>_xlfn.XLOOKUP(Table7[[#This Row],[Customer ID]],Table6[Customer_ID],Table6[Store_ID])</f>
        <v>STORE3</v>
      </c>
      <c r="C324" t="str">
        <f>_xlfn.XLOOKUP(Table7[[#This Row],[Customer ID]],Table6[Customer_ID],Table6[Product_ID])</f>
        <v>PROD54</v>
      </c>
      <c r="D324" t="str">
        <f>VLOOKUP(Table7[[#This Row],[Customer ID]],Table4[#All],2,FALSE)</f>
        <v>Andrew Smith</v>
      </c>
      <c r="E324">
        <f>VLOOKUP($A324,Table4[],3,FALSE)</f>
        <v>60</v>
      </c>
      <c r="F324" t="str">
        <f>VLOOKUP($A324,Table4[],4,FALSE)</f>
        <v>Male</v>
      </c>
      <c r="G324" t="str">
        <f>VLOOKUP($A324,Table4[],5,FALSE)</f>
        <v>East Matthew</v>
      </c>
      <c r="H324" t="str">
        <f>VLOOKUP($A324,Table4[],6,FALSE)</f>
        <v>Wisconsin</v>
      </c>
      <c r="I324" t="str">
        <f>VLOOKUP($A324,Table4[],8,FALSE)</f>
        <v>Bronze</v>
      </c>
      <c r="J324" t="str">
        <f>VLOOKUP($C324,Table1[],2,FALSE)</f>
        <v>Sports Stopwatch Pro</v>
      </c>
      <c r="K324" t="str">
        <f>VLOOKUP($C324,Table1[],3,FALSE)</f>
        <v>Sports</v>
      </c>
      <c r="L324" t="str">
        <f>VLOOKUP($C324,Table1[],4,FALSE)</f>
        <v>Accessories</v>
      </c>
      <c r="M324" t="str">
        <f>VLOOKUP($C324,Table1[],5,FALSE)</f>
        <v>Thompson-French</v>
      </c>
      <c r="N324">
        <f>VLOOKUP($C324,Table1[],6,FALSE)</f>
        <v>434.84</v>
      </c>
      <c r="O324">
        <f>VLOOKUP($C324,Table1[],7,FALSE)</f>
        <v>185</v>
      </c>
      <c r="P324" t="str">
        <f>_xlfn.XLOOKUP($B324,Table3[Store_ID],Table3[Store_Name])</f>
        <v>Johnson-Wright</v>
      </c>
      <c r="Q324" t="str" cm="1">
        <f t="array" ref="Q324">_xlfn.XLOOKUP($B324,Store_Dim!$A$2:$A$21,Table3[Region])</f>
        <v>North</v>
      </c>
      <c r="R324" t="str" cm="1">
        <f t="array" ref="R324">_xlfn.XLOOKUP($B324,Store_Dim!$A$2:$A$21,Table3[Store_Type])</f>
        <v>Outlet</v>
      </c>
      <c r="S324">
        <f>VLOOKUP(Table7[[#This Row],[Customer ID]],Table6[[Customer_ID]:[Total_Amount]],8,FALSE)</f>
        <v>1235.7372</v>
      </c>
    </row>
    <row r="325" spans="1:19" x14ac:dyDescent="0.3">
      <c r="A325" t="s">
        <v>1015</v>
      </c>
      <c r="B325" t="str">
        <f>_xlfn.XLOOKUP(Table7[[#This Row],[Customer ID]],Table6[Customer_ID],Table6[Store_ID])</f>
        <v>STORE11</v>
      </c>
      <c r="C325" t="str">
        <f>_xlfn.XLOOKUP(Table7[[#This Row],[Customer ID]],Table6[Customer_ID],Table6[Product_ID])</f>
        <v>PROD37</v>
      </c>
      <c r="D325" t="str">
        <f>VLOOKUP(Table7[[#This Row],[Customer ID]],Table4[#All],2,FALSE)</f>
        <v>Robert King</v>
      </c>
      <c r="E325">
        <f>VLOOKUP($A325,Table4[],3,FALSE)</f>
        <v>58</v>
      </c>
      <c r="F325" t="str">
        <f>VLOOKUP($A325,Table4[],4,FALSE)</f>
        <v>Female</v>
      </c>
      <c r="G325" t="str">
        <f>VLOOKUP($A325,Table4[],5,FALSE)</f>
        <v>Cindyton</v>
      </c>
      <c r="H325" t="str">
        <f>VLOOKUP($A325,Table4[],6,FALSE)</f>
        <v>Rhode Island</v>
      </c>
      <c r="I325" t="str">
        <f>VLOOKUP($A325,Table4[],8,FALSE)</f>
        <v>Gold</v>
      </c>
      <c r="J325" t="str">
        <f>VLOOKUP($C325,Table1[],2,FALSE)</f>
        <v>Men's Casual Sneakers</v>
      </c>
      <c r="K325" t="str">
        <f>VLOOKUP($C325,Table1[],3,FALSE)</f>
        <v>Clothing</v>
      </c>
      <c r="L325" t="str">
        <f>VLOOKUP($C325,Table1[],4,FALSE)</f>
        <v>Footwear</v>
      </c>
      <c r="M325" t="str">
        <f>VLOOKUP($C325,Table1[],5,FALSE)</f>
        <v>Hogan-Lee</v>
      </c>
      <c r="N325">
        <f>VLOOKUP($C325,Table1[],6,FALSE)</f>
        <v>353.47</v>
      </c>
      <c r="O325">
        <f>VLOOKUP($C325,Table1[],7,FALSE)</f>
        <v>214</v>
      </c>
      <c r="P325" t="str">
        <f>_xlfn.XLOOKUP($B325,Table3[Store_ID],Table3[Store_Name])</f>
        <v>Aguirre-Keller</v>
      </c>
      <c r="Q325" t="str" cm="1">
        <f t="array" ref="Q325">_xlfn.XLOOKUP($B325,Store_Dim!$A$2:$A$21,Table3[Region])</f>
        <v>South</v>
      </c>
      <c r="R325" t="str" cm="1">
        <f t="array" ref="R325">_xlfn.XLOOKUP($B325,Store_Dim!$A$2:$A$21,Table3[Store_Type])</f>
        <v>Online</v>
      </c>
      <c r="S325">
        <f>VLOOKUP(Table7[[#This Row],[Customer ID]],Table6[[Customer_ID]:[Total_Amount]],8,FALSE)</f>
        <v>2687.5259999999998</v>
      </c>
    </row>
    <row r="326" spans="1:19" x14ac:dyDescent="0.3">
      <c r="A326" t="s">
        <v>1018</v>
      </c>
      <c r="B326" t="str">
        <f>_xlfn.XLOOKUP(Table7[[#This Row],[Customer ID]],Table6[Customer_ID],Table6[Store_ID])</f>
        <v>STORE10</v>
      </c>
      <c r="C326" t="str">
        <f>_xlfn.XLOOKUP(Table7[[#This Row],[Customer ID]],Table6[Customer_ID],Table6[Product_ID])</f>
        <v>PROD1</v>
      </c>
      <c r="D326" t="str">
        <f>VLOOKUP(Table7[[#This Row],[Customer ID]],Table4[#All],2,FALSE)</f>
        <v>Reginald Willis</v>
      </c>
      <c r="E326">
        <f>VLOOKUP($A326,Table4[],3,FALSE)</f>
        <v>62</v>
      </c>
      <c r="F326" t="str">
        <f>VLOOKUP($A326,Table4[],4,FALSE)</f>
        <v>Female</v>
      </c>
      <c r="G326" t="str">
        <f>VLOOKUP($A326,Table4[],5,FALSE)</f>
        <v>Kellybury</v>
      </c>
      <c r="H326" t="str">
        <f>VLOOKUP($A326,Table4[],6,FALSE)</f>
        <v>New York</v>
      </c>
      <c r="I326" t="str">
        <f>VLOOKUP($A326,Table4[],8,FALSE)</f>
        <v>Bronze</v>
      </c>
      <c r="J326" t="str">
        <f>VLOOKUP($C326,Table1[],2,FALSE)</f>
        <v>Men's Graphic T-Shirt</v>
      </c>
      <c r="K326" t="str">
        <f>VLOOKUP($C326,Table1[],3,FALSE)</f>
        <v>Clothing</v>
      </c>
      <c r="L326" t="str">
        <f>VLOOKUP($C326,Table1[],4,FALSE)</f>
        <v>Tops</v>
      </c>
      <c r="M326" t="str">
        <f>VLOOKUP($C326,Table1[],5,FALSE)</f>
        <v>Terry-Moore</v>
      </c>
      <c r="N326">
        <f>VLOOKUP($C326,Table1[],6,FALSE)</f>
        <v>342.56</v>
      </c>
      <c r="O326">
        <f>VLOOKUP($C326,Table1[],7,FALSE)</f>
        <v>181</v>
      </c>
      <c r="P326" t="str">
        <f>_xlfn.XLOOKUP($B326,Table3[Store_ID],Table3[Store_Name])</f>
        <v>Hill, Wagner and Ballard</v>
      </c>
      <c r="Q326" t="str" cm="1">
        <f t="array" ref="Q326">_xlfn.XLOOKUP($B326,Store_Dim!$A$2:$A$21,Table3[Region])</f>
        <v>East</v>
      </c>
      <c r="R326" t="str" cm="1">
        <f t="array" ref="R326">_xlfn.XLOOKUP($B326,Store_Dim!$A$2:$A$21,Table3[Store_Type])</f>
        <v>Online</v>
      </c>
      <c r="S326">
        <f>VLOOKUP(Table7[[#This Row],[Customer ID]],Table6[[Customer_ID]:[Total_Amount]],8,FALSE)</f>
        <v>2777.4432000000002</v>
      </c>
    </row>
    <row r="327" spans="1:19" x14ac:dyDescent="0.3">
      <c r="A327" t="s">
        <v>1021</v>
      </c>
      <c r="B327" t="str">
        <f>_xlfn.XLOOKUP(Table7[[#This Row],[Customer ID]],Table6[Customer_ID],Table6[Store_ID])</f>
        <v>STORE6</v>
      </c>
      <c r="C327" t="str">
        <f>_xlfn.XLOOKUP(Table7[[#This Row],[Customer ID]],Table6[Customer_ID],Table6[Product_ID])</f>
        <v>PROD20</v>
      </c>
      <c r="D327" t="str">
        <f>VLOOKUP(Table7[[#This Row],[Customer ID]],Table4[#All],2,FALSE)</f>
        <v>Mario Harvey Jr.</v>
      </c>
      <c r="E327">
        <f>VLOOKUP($A327,Table4[],3,FALSE)</f>
        <v>46</v>
      </c>
      <c r="F327" t="str">
        <f>VLOOKUP($A327,Table4[],4,FALSE)</f>
        <v>Male</v>
      </c>
      <c r="G327" t="str">
        <f>VLOOKUP($A327,Table4[],5,FALSE)</f>
        <v>Jessicaport</v>
      </c>
      <c r="H327" t="str">
        <f>VLOOKUP($A327,Table4[],6,FALSE)</f>
        <v>Minnesota</v>
      </c>
      <c r="I327" t="str">
        <f>VLOOKUP($A327,Table4[],8,FALSE)</f>
        <v>Platinum</v>
      </c>
      <c r="J327" t="str">
        <f>VLOOKUP($C327,Table1[],2,FALSE)</f>
        <v>Outdoor Sports Water Bottle</v>
      </c>
      <c r="K327" t="str">
        <f>VLOOKUP($C327,Table1[],3,FALSE)</f>
        <v>Sports</v>
      </c>
      <c r="L327" t="str">
        <f>VLOOKUP($C327,Table1[],4,FALSE)</f>
        <v>Accessories</v>
      </c>
      <c r="M327" t="str">
        <f>VLOOKUP($C327,Table1[],5,FALSE)</f>
        <v>Soto-Ellis</v>
      </c>
      <c r="N327">
        <f>VLOOKUP($C327,Table1[],6,FALSE)</f>
        <v>131.51</v>
      </c>
      <c r="O327">
        <f>VLOOKUP($C327,Table1[],7,FALSE)</f>
        <v>199</v>
      </c>
      <c r="P327" t="str">
        <f>_xlfn.XLOOKUP($B327,Table3[Store_ID],Table3[Store_Name])</f>
        <v>Benson-Elliott</v>
      </c>
      <c r="Q327" t="str" cm="1">
        <f t="array" ref="Q327">_xlfn.XLOOKUP($B327,Store_Dim!$A$2:$A$21,Table3[Region])</f>
        <v>East</v>
      </c>
      <c r="R327" t="str" cm="1">
        <f t="array" ref="R327">_xlfn.XLOOKUP($B327,Store_Dim!$A$2:$A$21,Table3[Store_Type])</f>
        <v>Online</v>
      </c>
      <c r="S327">
        <f>VLOOKUP(Table7[[#This Row],[Customer ID]],Table6[[Customer_ID]:[Total_Amount]],8,FALSE)</f>
        <v>1451.7328</v>
      </c>
    </row>
    <row r="328" spans="1:19" x14ac:dyDescent="0.3">
      <c r="A328" t="s">
        <v>1024</v>
      </c>
      <c r="B328" t="str">
        <f>_xlfn.XLOOKUP(Table7[[#This Row],[Customer ID]],Table6[Customer_ID],Table6[Store_ID])</f>
        <v>STORE4</v>
      </c>
      <c r="C328" t="str">
        <f>_xlfn.XLOOKUP(Table7[[#This Row],[Customer ID]],Table6[Customer_ID],Table6[Product_ID])</f>
        <v>PROD57</v>
      </c>
      <c r="D328" t="str">
        <f>VLOOKUP(Table7[[#This Row],[Customer ID]],Table4[#All],2,FALSE)</f>
        <v>Victor Mcintosh</v>
      </c>
      <c r="E328">
        <f>VLOOKUP($A328,Table4[],3,FALSE)</f>
        <v>62</v>
      </c>
      <c r="F328" t="str">
        <f>VLOOKUP($A328,Table4[],4,FALSE)</f>
        <v>Female</v>
      </c>
      <c r="G328" t="str">
        <f>VLOOKUP($A328,Table4[],5,FALSE)</f>
        <v>Tiffanyshire</v>
      </c>
      <c r="H328" t="str">
        <f>VLOOKUP($A328,Table4[],6,FALSE)</f>
        <v>Minnesota</v>
      </c>
      <c r="I328" t="str">
        <f>VLOOKUP($A328,Table4[],8,FALSE)</f>
        <v>Bronze</v>
      </c>
      <c r="J328" t="str">
        <f>VLOOKUP($C328,Table1[],2,FALSE)</f>
        <v>Foam Roller</v>
      </c>
      <c r="K328" t="str">
        <f>VLOOKUP($C328,Table1[],3,FALSE)</f>
        <v>Sports</v>
      </c>
      <c r="L328" t="str">
        <f>VLOOKUP($C328,Table1[],4,FALSE)</f>
        <v>Fitness</v>
      </c>
      <c r="M328" t="str">
        <f>VLOOKUP($C328,Table1[],5,FALSE)</f>
        <v>Atkinson, Camacho and Oliver</v>
      </c>
      <c r="N328">
        <f>VLOOKUP($C328,Table1[],6,FALSE)</f>
        <v>30.62</v>
      </c>
      <c r="O328">
        <f>VLOOKUP($C328,Table1[],7,FALSE)</f>
        <v>138</v>
      </c>
      <c r="P328" t="str">
        <f>_xlfn.XLOOKUP($B328,Table3[Store_ID],Table3[Store_Name])</f>
        <v>Alexander Group</v>
      </c>
      <c r="Q328" t="str" cm="1">
        <f t="array" ref="Q328">_xlfn.XLOOKUP($B328,Store_Dim!$A$2:$A$21,Table3[Region])</f>
        <v>South</v>
      </c>
      <c r="R328" t="str" cm="1">
        <f t="array" ref="R328">_xlfn.XLOOKUP($B328,Store_Dim!$A$2:$A$21,Table3[Store_Type])</f>
        <v>Online</v>
      </c>
      <c r="S328">
        <f>VLOOKUP(Table7[[#This Row],[Customer ID]],Table6[[Customer_ID]:[Total_Amount]],8,FALSE)</f>
        <v>496.97340000000003</v>
      </c>
    </row>
    <row r="329" spans="1:19" x14ac:dyDescent="0.3">
      <c r="A329" t="s">
        <v>1027</v>
      </c>
      <c r="B329" t="str">
        <f>_xlfn.XLOOKUP(Table7[[#This Row],[Customer ID]],Table6[Customer_ID],Table6[Store_ID])</f>
        <v>STORE6</v>
      </c>
      <c r="C329" t="str">
        <f>_xlfn.XLOOKUP(Table7[[#This Row],[Customer ID]],Table6[Customer_ID],Table6[Product_ID])</f>
        <v>PROD42</v>
      </c>
      <c r="D329" t="str">
        <f>VLOOKUP(Table7[[#This Row],[Customer ID]],Table4[#All],2,FALSE)</f>
        <v>Pamela Mcguire</v>
      </c>
      <c r="E329">
        <f>VLOOKUP($A329,Table4[],3,FALSE)</f>
        <v>54</v>
      </c>
      <c r="F329" t="str">
        <f>VLOOKUP($A329,Table4[],4,FALSE)</f>
        <v>Male</v>
      </c>
      <c r="G329" t="str">
        <f>VLOOKUP($A329,Table4[],5,FALSE)</f>
        <v>South Jasontown</v>
      </c>
      <c r="H329" t="str">
        <f>VLOOKUP($A329,Table4[],6,FALSE)</f>
        <v>Illinois</v>
      </c>
      <c r="I329" t="str">
        <f>VLOOKUP($A329,Table4[],8,FALSE)</f>
        <v>Platinum</v>
      </c>
      <c r="J329" t="str">
        <f>VLOOKUP($C329,Table1[],2,FALSE)</f>
        <v>Smart Home WiFi Camera</v>
      </c>
      <c r="K329" t="str">
        <f>VLOOKUP($C329,Table1[],3,FALSE)</f>
        <v>Electronics</v>
      </c>
      <c r="L329" t="str">
        <f>VLOOKUP($C329,Table1[],4,FALSE)</f>
        <v>Accessories</v>
      </c>
      <c r="M329" t="str">
        <f>VLOOKUP($C329,Table1[],5,FALSE)</f>
        <v>Holmes LLC</v>
      </c>
      <c r="N329">
        <f>VLOOKUP($C329,Table1[],6,FALSE)</f>
        <v>450.71</v>
      </c>
      <c r="O329">
        <f>VLOOKUP($C329,Table1[],7,FALSE)</f>
        <v>389</v>
      </c>
      <c r="P329" t="str">
        <f>_xlfn.XLOOKUP($B329,Table3[Store_ID],Table3[Store_Name])</f>
        <v>Benson-Elliott</v>
      </c>
      <c r="Q329" t="str" cm="1">
        <f t="array" ref="Q329">_xlfn.XLOOKUP($B329,Store_Dim!$A$2:$A$21,Table3[Region])</f>
        <v>East</v>
      </c>
      <c r="R329" t="str" cm="1">
        <f t="array" ref="R329">_xlfn.XLOOKUP($B329,Store_Dim!$A$2:$A$21,Table3[Store_Type])</f>
        <v>Online</v>
      </c>
      <c r="S329">
        <f>VLOOKUP(Table7[[#This Row],[Customer ID]],Table6[[Customer_ID]:[Total_Amount]],8,FALSE)</f>
        <v>2881.4259999999999</v>
      </c>
    </row>
    <row r="330" spans="1:19" x14ac:dyDescent="0.3">
      <c r="A330" t="s">
        <v>1030</v>
      </c>
      <c r="B330" t="str">
        <f>_xlfn.XLOOKUP(Table7[[#This Row],[Customer ID]],Table6[Customer_ID],Table6[Store_ID])</f>
        <v>STORE3</v>
      </c>
      <c r="C330" t="str">
        <f>_xlfn.XLOOKUP(Table7[[#This Row],[Customer ID]],Table6[Customer_ID],Table6[Product_ID])</f>
        <v>PROD4</v>
      </c>
      <c r="D330" t="str">
        <f>VLOOKUP(Table7[[#This Row],[Customer ID]],Table4[#All],2,FALSE)</f>
        <v>Maria Phillips</v>
      </c>
      <c r="E330">
        <f>VLOOKUP($A330,Table4[],3,FALSE)</f>
        <v>38</v>
      </c>
      <c r="F330" t="str">
        <f>VLOOKUP($A330,Table4[],4,FALSE)</f>
        <v>Female</v>
      </c>
      <c r="G330" t="str">
        <f>VLOOKUP($A330,Table4[],5,FALSE)</f>
        <v>North Kathytown</v>
      </c>
      <c r="H330" t="str">
        <f>VLOOKUP($A330,Table4[],6,FALSE)</f>
        <v>Montana</v>
      </c>
      <c r="I330" t="str">
        <f>VLOOKUP($A330,Table4[],8,FALSE)</f>
        <v>Bronze</v>
      </c>
      <c r="J330" t="str">
        <f>VLOOKUP($C330,Table1[],2,FALSE)</f>
        <v>Women's Yoga Pants</v>
      </c>
      <c r="K330" t="str">
        <f>VLOOKUP($C330,Table1[],3,FALSE)</f>
        <v>Clothing</v>
      </c>
      <c r="L330" t="str">
        <f>VLOOKUP($C330,Table1[],4,FALSE)</f>
        <v>Bottoms</v>
      </c>
      <c r="M330" t="str">
        <f>VLOOKUP($C330,Table1[],5,FALSE)</f>
        <v>Gonzales-Davis</v>
      </c>
      <c r="N330">
        <f>VLOOKUP($C330,Table1[],6,FALSE)</f>
        <v>306.45999999999998</v>
      </c>
      <c r="O330">
        <f>VLOOKUP($C330,Table1[],7,FALSE)</f>
        <v>487</v>
      </c>
      <c r="P330" t="str">
        <f>_xlfn.XLOOKUP($B330,Table3[Store_ID],Table3[Store_Name])</f>
        <v>Johnson-Wright</v>
      </c>
      <c r="Q330" t="str" cm="1">
        <f t="array" ref="Q330">_xlfn.XLOOKUP($B330,Store_Dim!$A$2:$A$21,Table3[Region])</f>
        <v>North</v>
      </c>
      <c r="R330" t="str" cm="1">
        <f t="array" ref="R330">_xlfn.XLOOKUP($B330,Store_Dim!$A$2:$A$21,Table3[Store_Type])</f>
        <v>Outlet</v>
      </c>
      <c r="S330">
        <f>VLOOKUP(Table7[[#This Row],[Customer ID]],Table6[[Customer_ID]:[Total_Amount]],8,FALSE)</f>
        <v>2010.6432</v>
      </c>
    </row>
    <row r="331" spans="1:19" x14ac:dyDescent="0.3">
      <c r="A331" t="s">
        <v>1033</v>
      </c>
      <c r="B331" t="str">
        <f>_xlfn.XLOOKUP(Table7[[#This Row],[Customer ID]],Table6[Customer_ID],Table6[Store_ID])</f>
        <v>STORE4</v>
      </c>
      <c r="C331" t="str">
        <f>_xlfn.XLOOKUP(Table7[[#This Row],[Customer ID]],Table6[Customer_ID],Table6[Product_ID])</f>
        <v>PROD32</v>
      </c>
      <c r="D331" t="str">
        <f>VLOOKUP(Table7[[#This Row],[Customer ID]],Table4[#All],2,FALSE)</f>
        <v>Dr. Lindsay Hanna</v>
      </c>
      <c r="E331">
        <f>VLOOKUP($A331,Table4[],3,FALSE)</f>
        <v>34</v>
      </c>
      <c r="F331" t="str">
        <f>VLOOKUP($A331,Table4[],4,FALSE)</f>
        <v>Female</v>
      </c>
      <c r="G331" t="str">
        <f>VLOOKUP($A331,Table4[],5,FALSE)</f>
        <v>New Paulstad</v>
      </c>
      <c r="H331" t="str">
        <f>VLOOKUP($A331,Table4[],6,FALSE)</f>
        <v>Hawaii</v>
      </c>
      <c r="I331" t="str">
        <f>VLOOKUP($A331,Table4[],8,FALSE)</f>
        <v>Bronze</v>
      </c>
      <c r="J331" t="str">
        <f>VLOOKUP($C331,Table1[],2,FALSE)</f>
        <v>Vitamin C Face Serum</v>
      </c>
      <c r="K331" t="str">
        <f>VLOOKUP($C331,Table1[],3,FALSE)</f>
        <v>Beauty</v>
      </c>
      <c r="L331" t="str">
        <f>VLOOKUP($C331,Table1[],4,FALSE)</f>
        <v>Skincare</v>
      </c>
      <c r="M331" t="str">
        <f>VLOOKUP($C331,Table1[],5,FALSE)</f>
        <v>Griffin Ltd</v>
      </c>
      <c r="N331">
        <f>VLOOKUP($C331,Table1[],6,FALSE)</f>
        <v>283.83</v>
      </c>
      <c r="O331">
        <f>VLOOKUP($C331,Table1[],7,FALSE)</f>
        <v>244</v>
      </c>
      <c r="P331" t="str">
        <f>_xlfn.XLOOKUP($B331,Table3[Store_ID],Table3[Store_Name])</f>
        <v>Alexander Group</v>
      </c>
      <c r="Q331" t="str" cm="1">
        <f t="array" ref="Q331">_xlfn.XLOOKUP($B331,Store_Dim!$A$2:$A$21,Table3[Region])</f>
        <v>South</v>
      </c>
      <c r="R331" t="str" cm="1">
        <f t="array" ref="R331">_xlfn.XLOOKUP($B331,Store_Dim!$A$2:$A$21,Table3[Store_Type])</f>
        <v>Online</v>
      </c>
      <c r="S331">
        <f>VLOOKUP(Table7[[#This Row],[Customer ID]],Table6[[Customer_ID]:[Total_Amount]],8,FALSE)</f>
        <v>1552.9793999999999</v>
      </c>
    </row>
    <row r="332" spans="1:19" x14ac:dyDescent="0.3">
      <c r="A332" t="s">
        <v>1036</v>
      </c>
      <c r="B332" t="str">
        <f>_xlfn.XLOOKUP(Table7[[#This Row],[Customer ID]],Table6[Customer_ID],Table6[Store_ID])</f>
        <v>STORE8</v>
      </c>
      <c r="C332" t="str">
        <f>_xlfn.XLOOKUP(Table7[[#This Row],[Customer ID]],Table6[Customer_ID],Table6[Product_ID])</f>
        <v>PROD0</v>
      </c>
      <c r="D332" t="str">
        <f>VLOOKUP(Table7[[#This Row],[Customer ID]],Table4[#All],2,FALSE)</f>
        <v>Teresa Johnson</v>
      </c>
      <c r="E332">
        <f>VLOOKUP($A332,Table4[],3,FALSE)</f>
        <v>64</v>
      </c>
      <c r="F332" t="str">
        <f>VLOOKUP($A332,Table4[],4,FALSE)</f>
        <v>Female</v>
      </c>
      <c r="G332" t="str">
        <f>VLOOKUP($A332,Table4[],5,FALSE)</f>
        <v>Johnsonbury</v>
      </c>
      <c r="H332" t="str">
        <f>VLOOKUP($A332,Table4[],6,FALSE)</f>
        <v>Georgia</v>
      </c>
      <c r="I332" t="str">
        <f>VLOOKUP($A332,Table4[],8,FALSE)</f>
        <v>Gold</v>
      </c>
      <c r="J332" t="str">
        <f>VLOOKUP($C332,Table1[],2,FALSE)</f>
        <v>Brother Laser Printer</v>
      </c>
      <c r="K332" t="str">
        <f>VLOOKUP($C332,Table1[],3,FALSE)</f>
        <v>Electronics</v>
      </c>
      <c r="L332" t="str">
        <f>VLOOKUP($C332,Table1[],4,FALSE)</f>
        <v>Computer</v>
      </c>
      <c r="M332" t="str">
        <f>VLOOKUP($C332,Table1[],5,FALSE)</f>
        <v>Hunt Inc</v>
      </c>
      <c r="N332">
        <f>VLOOKUP($C332,Table1[],6,FALSE)</f>
        <v>112.42</v>
      </c>
      <c r="O332">
        <f>VLOOKUP($C332,Table1[],7,FALSE)</f>
        <v>416</v>
      </c>
      <c r="P332" t="str">
        <f>_xlfn.XLOOKUP($B332,Table3[Store_ID],Table3[Store_Name])</f>
        <v>Bean, Jones and Park</v>
      </c>
      <c r="Q332" t="str" cm="1">
        <f t="array" ref="Q332">_xlfn.XLOOKUP($B332,Store_Dim!$A$2:$A$21,Table3[Region])</f>
        <v>West</v>
      </c>
      <c r="R332" t="str" cm="1">
        <f t="array" ref="R332">_xlfn.XLOOKUP($B332,Store_Dim!$A$2:$A$21,Table3[Store_Type])</f>
        <v>Online</v>
      </c>
      <c r="S332">
        <f>VLOOKUP(Table7[[#This Row],[Customer ID]],Table6[[Customer_ID]:[Total_Amount]],8,FALSE)</f>
        <v>3159.0612000000001</v>
      </c>
    </row>
    <row r="333" spans="1:19" x14ac:dyDescent="0.3">
      <c r="A333" t="s">
        <v>1039</v>
      </c>
      <c r="B333" t="str">
        <f>_xlfn.XLOOKUP(Table7[[#This Row],[Customer ID]],Table6[Customer_ID],Table6[Store_ID])</f>
        <v>STORE9</v>
      </c>
      <c r="C333" t="str">
        <f>_xlfn.XLOOKUP(Table7[[#This Row],[Customer ID]],Table6[Customer_ID],Table6[Product_ID])</f>
        <v>PROD71</v>
      </c>
      <c r="D333" t="str">
        <f>VLOOKUP(Table7[[#This Row],[Customer ID]],Table4[#All],2,FALSE)</f>
        <v>Mr. Christopher Sims</v>
      </c>
      <c r="E333">
        <f>VLOOKUP($A333,Table4[],3,FALSE)</f>
        <v>50</v>
      </c>
      <c r="F333" t="str">
        <f>VLOOKUP($A333,Table4[],4,FALSE)</f>
        <v>Female</v>
      </c>
      <c r="G333" t="str">
        <f>VLOOKUP($A333,Table4[],5,FALSE)</f>
        <v>Donaldsontown</v>
      </c>
      <c r="H333" t="str">
        <f>VLOOKUP($A333,Table4[],6,FALSE)</f>
        <v>Connecticut</v>
      </c>
      <c r="I333" t="str">
        <f>VLOOKUP($A333,Table4[],8,FALSE)</f>
        <v>Silver</v>
      </c>
      <c r="J333" t="str">
        <f>VLOOKUP($C333,Table1[],2,FALSE)</f>
        <v>Hair Repair Oil Treatment</v>
      </c>
      <c r="K333" t="str">
        <f>VLOOKUP($C333,Table1[],3,FALSE)</f>
        <v>Beauty</v>
      </c>
      <c r="L333" t="str">
        <f>VLOOKUP($C333,Table1[],4,FALSE)</f>
        <v>Haircare</v>
      </c>
      <c r="M333" t="str">
        <f>VLOOKUP($C333,Table1[],5,FALSE)</f>
        <v>Hopkins Ltd</v>
      </c>
      <c r="N333">
        <f>VLOOKUP($C333,Table1[],6,FALSE)</f>
        <v>214.32</v>
      </c>
      <c r="O333">
        <f>VLOOKUP($C333,Table1[],7,FALSE)</f>
        <v>383</v>
      </c>
      <c r="P333" t="str">
        <f>_xlfn.XLOOKUP($B333,Table3[Store_ID],Table3[Store_Name])</f>
        <v>Moore, Padilla and Butler</v>
      </c>
      <c r="Q333" t="str" cm="1">
        <f t="array" ref="Q333">_xlfn.XLOOKUP($B333,Store_Dim!$A$2:$A$21,Table3[Region])</f>
        <v>South</v>
      </c>
      <c r="R333" t="str" cm="1">
        <f t="array" ref="R333">_xlfn.XLOOKUP($B333,Store_Dim!$A$2:$A$21,Table3[Store_Type])</f>
        <v>Flagship</v>
      </c>
      <c r="S333">
        <f>VLOOKUP(Table7[[#This Row],[Customer ID]],Table6[[Customer_ID]:[Total_Amount]],8,FALSE)</f>
        <v>1146.9390000000001</v>
      </c>
    </row>
    <row r="334" spans="1:19" x14ac:dyDescent="0.3">
      <c r="A334" t="s">
        <v>1042</v>
      </c>
      <c r="B334" t="str">
        <f>_xlfn.XLOOKUP(Table7[[#This Row],[Customer ID]],Table6[Customer_ID],Table6[Store_ID])</f>
        <v>STORE9</v>
      </c>
      <c r="C334" t="str">
        <f>_xlfn.XLOOKUP(Table7[[#This Row],[Customer ID]],Table6[Customer_ID],Table6[Product_ID])</f>
        <v>PROD29</v>
      </c>
      <c r="D334" t="str">
        <f>VLOOKUP(Table7[[#This Row],[Customer ID]],Table4[#All],2,FALSE)</f>
        <v>Jennifer Woods</v>
      </c>
      <c r="E334">
        <f>VLOOKUP($A334,Table4[],3,FALSE)</f>
        <v>37</v>
      </c>
      <c r="F334" t="str">
        <f>VLOOKUP($A334,Table4[],4,FALSE)</f>
        <v>Male</v>
      </c>
      <c r="G334" t="str">
        <f>VLOOKUP($A334,Table4[],5,FALSE)</f>
        <v>West Brendamouth</v>
      </c>
      <c r="H334" t="str">
        <f>VLOOKUP($A334,Table4[],6,FALSE)</f>
        <v>North Carolina</v>
      </c>
      <c r="I334" t="str">
        <f>VLOOKUP($A334,Table4[],8,FALSE)</f>
        <v>Platinum</v>
      </c>
      <c r="J334" t="str">
        <f>VLOOKUP($C334,Table1[],2,FALSE)</f>
        <v>Fabric Sofa Throw Blanket</v>
      </c>
      <c r="K334" t="str">
        <f>VLOOKUP($C334,Table1[],3,FALSE)</f>
        <v>Home</v>
      </c>
      <c r="L334" t="str">
        <f>VLOOKUP($C334,Table1[],4,FALSE)</f>
        <v>Decor</v>
      </c>
      <c r="M334" t="str">
        <f>VLOOKUP($C334,Table1[],5,FALSE)</f>
        <v>Hoffman Group</v>
      </c>
      <c r="N334">
        <f>VLOOKUP($C334,Table1[],6,FALSE)</f>
        <v>218.48</v>
      </c>
      <c r="O334">
        <f>VLOOKUP($C334,Table1[],7,FALSE)</f>
        <v>276</v>
      </c>
      <c r="P334" t="str">
        <f>_xlfn.XLOOKUP($B334,Table3[Store_ID],Table3[Store_Name])</f>
        <v>Moore, Padilla and Butler</v>
      </c>
      <c r="Q334" t="str" cm="1">
        <f t="array" ref="Q334">_xlfn.XLOOKUP($B334,Store_Dim!$A$2:$A$21,Table3[Region])</f>
        <v>South</v>
      </c>
      <c r="R334" t="str" cm="1">
        <f t="array" ref="R334">_xlfn.XLOOKUP($B334,Store_Dim!$A$2:$A$21,Table3[Store_Type])</f>
        <v>Flagship</v>
      </c>
      <c r="S334">
        <f>VLOOKUP(Table7[[#This Row],[Customer ID]],Table6[[Customer_ID]:[Total_Amount]],8,FALSE)</f>
        <v>1537.452</v>
      </c>
    </row>
    <row r="335" spans="1:19" x14ac:dyDescent="0.3">
      <c r="A335" t="s">
        <v>1045</v>
      </c>
      <c r="B335" t="str">
        <f>_xlfn.XLOOKUP(Table7[[#This Row],[Customer ID]],Table6[Customer_ID],Table6[Store_ID])</f>
        <v>STORE15</v>
      </c>
      <c r="C335" t="str">
        <f>_xlfn.XLOOKUP(Table7[[#This Row],[Customer ID]],Table6[Customer_ID],Table6[Product_ID])</f>
        <v>PROD11</v>
      </c>
      <c r="D335" t="str">
        <f>VLOOKUP(Table7[[#This Row],[Customer ID]],Table4[#All],2,FALSE)</f>
        <v>John Jones</v>
      </c>
      <c r="E335">
        <f>VLOOKUP($A335,Table4[],3,FALSE)</f>
        <v>58</v>
      </c>
      <c r="F335" t="str">
        <f>VLOOKUP($A335,Table4[],4,FALSE)</f>
        <v>Female</v>
      </c>
      <c r="G335" t="str">
        <f>VLOOKUP($A335,Table4[],5,FALSE)</f>
        <v>North Michaelborough</v>
      </c>
      <c r="H335" t="str">
        <f>VLOOKUP($A335,Table4[],6,FALSE)</f>
        <v>Oregon</v>
      </c>
      <c r="I335" t="str">
        <f>VLOOKUP($A335,Table4[],8,FALSE)</f>
        <v>Silver</v>
      </c>
      <c r="J335" t="str">
        <f>VLOOKUP($C335,Table1[],2,FALSE)</f>
        <v>HD Smart TV Stick</v>
      </c>
      <c r="K335" t="str">
        <f>VLOOKUP($C335,Table1[],3,FALSE)</f>
        <v>Electronics</v>
      </c>
      <c r="L335" t="str">
        <f>VLOOKUP($C335,Table1[],4,FALSE)</f>
        <v>Accessories</v>
      </c>
      <c r="M335" t="str">
        <f>VLOOKUP($C335,Table1[],5,FALSE)</f>
        <v>Gibson, Hobbs and Weaver</v>
      </c>
      <c r="N335">
        <f>VLOOKUP($C335,Table1[],6,FALSE)</f>
        <v>449.4</v>
      </c>
      <c r="O335">
        <f>VLOOKUP($C335,Table1[],7,FALSE)</f>
        <v>338</v>
      </c>
      <c r="P335" t="str">
        <f>_xlfn.XLOOKUP($B335,Table3[Store_ID],Table3[Store_Name])</f>
        <v>Shelton PLC</v>
      </c>
      <c r="Q335" t="str" cm="1">
        <f t="array" ref="Q335">_xlfn.XLOOKUP($B335,Store_Dim!$A$2:$A$21,Table3[Region])</f>
        <v>North</v>
      </c>
      <c r="R335" t="str" cm="1">
        <f t="array" ref="R335">_xlfn.XLOOKUP($B335,Store_Dim!$A$2:$A$21,Table3[Store_Type])</f>
        <v>Flagship</v>
      </c>
      <c r="S335">
        <f>VLOOKUP(Table7[[#This Row],[Customer ID]],Table6[[Customer_ID]:[Total_Amount]],8,FALSE)</f>
        <v>1211.0416</v>
      </c>
    </row>
    <row r="336" spans="1:19" x14ac:dyDescent="0.3">
      <c r="A336" t="s">
        <v>1048</v>
      </c>
      <c r="B336" t="str">
        <f>_xlfn.XLOOKUP(Table7[[#This Row],[Customer ID]],Table6[Customer_ID],Table6[Store_ID])</f>
        <v>STORE14</v>
      </c>
      <c r="C336" t="str">
        <f>_xlfn.XLOOKUP(Table7[[#This Row],[Customer ID]],Table6[Customer_ID],Table6[Product_ID])</f>
        <v>PROD71</v>
      </c>
      <c r="D336" t="str">
        <f>VLOOKUP(Table7[[#This Row],[Customer ID]],Table4[#All],2,FALSE)</f>
        <v>Carol Lewis</v>
      </c>
      <c r="E336">
        <f>VLOOKUP($A336,Table4[],3,FALSE)</f>
        <v>40</v>
      </c>
      <c r="F336" t="str">
        <f>VLOOKUP($A336,Table4[],4,FALSE)</f>
        <v>Female</v>
      </c>
      <c r="G336" t="str">
        <f>VLOOKUP($A336,Table4[],5,FALSE)</f>
        <v>Ryanport</v>
      </c>
      <c r="H336" t="str">
        <f>VLOOKUP($A336,Table4[],6,FALSE)</f>
        <v>North Carolina</v>
      </c>
      <c r="I336" t="str">
        <f>VLOOKUP($A336,Table4[],8,FALSE)</f>
        <v>Bronze</v>
      </c>
      <c r="J336" t="str">
        <f>VLOOKUP($C336,Table1[],2,FALSE)</f>
        <v>Hair Repair Oil Treatment</v>
      </c>
      <c r="K336" t="str">
        <f>VLOOKUP($C336,Table1[],3,FALSE)</f>
        <v>Beauty</v>
      </c>
      <c r="L336" t="str">
        <f>VLOOKUP($C336,Table1[],4,FALSE)</f>
        <v>Haircare</v>
      </c>
      <c r="M336" t="str">
        <f>VLOOKUP($C336,Table1[],5,FALSE)</f>
        <v>Hopkins Ltd</v>
      </c>
      <c r="N336">
        <f>VLOOKUP($C336,Table1[],6,FALSE)</f>
        <v>214.32</v>
      </c>
      <c r="O336">
        <f>VLOOKUP($C336,Table1[],7,FALSE)</f>
        <v>383</v>
      </c>
      <c r="P336" t="str">
        <f>_xlfn.XLOOKUP($B336,Table3[Store_ID],Table3[Store_Name])</f>
        <v>Mcdonald Inc</v>
      </c>
      <c r="Q336" t="str" cm="1">
        <f t="array" ref="Q336">_xlfn.XLOOKUP($B336,Store_Dim!$A$2:$A$21,Table3[Region])</f>
        <v>South</v>
      </c>
      <c r="R336" t="str" cm="1">
        <f t="array" ref="R336">_xlfn.XLOOKUP($B336,Store_Dim!$A$2:$A$21,Table3[Store_Type])</f>
        <v>Outlet</v>
      </c>
      <c r="S336">
        <f>VLOOKUP(Table7[[#This Row],[Customer ID]],Table6[[Customer_ID]:[Total_Amount]],8,FALSE)</f>
        <v>2147.5500000000002</v>
      </c>
    </row>
    <row r="337" spans="1:19" x14ac:dyDescent="0.3">
      <c r="A337" t="s">
        <v>1051</v>
      </c>
      <c r="B337" t="str">
        <f>_xlfn.XLOOKUP(Table7[[#This Row],[Customer ID]],Table6[Customer_ID],Table6[Store_ID])</f>
        <v>STORE7</v>
      </c>
      <c r="C337" t="str">
        <f>_xlfn.XLOOKUP(Table7[[#This Row],[Customer ID]],Table6[Customer_ID],Table6[Product_ID])</f>
        <v>PROD86</v>
      </c>
      <c r="D337" t="str">
        <f>VLOOKUP(Table7[[#This Row],[Customer ID]],Table4[#All],2,FALSE)</f>
        <v>Jasmine Snyder</v>
      </c>
      <c r="E337">
        <f>VLOOKUP($A337,Table4[],3,FALSE)</f>
        <v>46</v>
      </c>
      <c r="F337" t="str">
        <f>VLOOKUP($A337,Table4[],4,FALSE)</f>
        <v>Female</v>
      </c>
      <c r="G337" t="str">
        <f>VLOOKUP($A337,Table4[],5,FALSE)</f>
        <v>Hudsonfort</v>
      </c>
      <c r="H337" t="str">
        <f>VLOOKUP($A337,Table4[],6,FALSE)</f>
        <v>Connecticut</v>
      </c>
      <c r="I337" t="str">
        <f>VLOOKUP($A337,Table4[],8,FALSE)</f>
        <v>Silver</v>
      </c>
      <c r="J337" t="str">
        <f>VLOOKUP($C337,Table1[],2,FALSE)</f>
        <v>Kitchen Cutting Board</v>
      </c>
      <c r="K337" t="str">
        <f>VLOOKUP($C337,Table1[],3,FALSE)</f>
        <v>Home</v>
      </c>
      <c r="L337" t="str">
        <f>VLOOKUP($C337,Table1[],4,FALSE)</f>
        <v>Kitchen</v>
      </c>
      <c r="M337" t="str">
        <f>VLOOKUP($C337,Table1[],5,FALSE)</f>
        <v>Taylor, Dodson and Johnston</v>
      </c>
      <c r="N337">
        <f>VLOOKUP($C337,Table1[],6,FALSE)</f>
        <v>176.07</v>
      </c>
      <c r="O337">
        <f>VLOOKUP($C337,Table1[],7,FALSE)</f>
        <v>82</v>
      </c>
      <c r="P337" t="str">
        <f>_xlfn.XLOOKUP($B337,Table3[Store_ID],Table3[Store_Name])</f>
        <v>Martinez-Mullins</v>
      </c>
      <c r="Q337" t="str" cm="1">
        <f t="array" ref="Q337">_xlfn.XLOOKUP($B337,Store_Dim!$A$2:$A$21,Table3[Region])</f>
        <v>South</v>
      </c>
      <c r="R337" t="str" cm="1">
        <f t="array" ref="R337">_xlfn.XLOOKUP($B337,Store_Dim!$A$2:$A$21,Table3[Store_Type])</f>
        <v>Online</v>
      </c>
      <c r="S337">
        <f>VLOOKUP(Table7[[#This Row],[Customer ID]],Table6[[Customer_ID]:[Total_Amount]],8,FALSE)</f>
        <v>2060.3912</v>
      </c>
    </row>
    <row r="338" spans="1:19" x14ac:dyDescent="0.3">
      <c r="A338" t="s">
        <v>1054</v>
      </c>
      <c r="B338" t="str">
        <f>_xlfn.XLOOKUP(Table7[[#This Row],[Customer ID]],Table6[Customer_ID],Table6[Store_ID])</f>
        <v>STORE2</v>
      </c>
      <c r="C338" t="str">
        <f>_xlfn.XLOOKUP(Table7[[#This Row],[Customer ID]],Table6[Customer_ID],Table6[Product_ID])</f>
        <v>PROD9</v>
      </c>
      <c r="D338" t="str">
        <f>VLOOKUP(Table7[[#This Row],[Customer ID]],Table4[#All],2,FALSE)</f>
        <v>Mrs. Susan Buckley</v>
      </c>
      <c r="E338">
        <f>VLOOKUP($A338,Table4[],3,FALSE)</f>
        <v>52</v>
      </c>
      <c r="F338" t="str">
        <f>VLOOKUP($A338,Table4[],4,FALSE)</f>
        <v>Female</v>
      </c>
      <c r="G338" t="str">
        <f>VLOOKUP($A338,Table4[],5,FALSE)</f>
        <v>Stevensbury</v>
      </c>
      <c r="H338" t="str">
        <f>VLOOKUP($A338,Table4[],6,FALSE)</f>
        <v>Arizona</v>
      </c>
      <c r="I338" t="str">
        <f>VLOOKUP($A338,Table4[],8,FALSE)</f>
        <v>Platinum</v>
      </c>
      <c r="J338" t="str">
        <f>VLOOKUP($C338,Table1[],2,FALSE)</f>
        <v>Adjustable Dumbbell Set</v>
      </c>
      <c r="K338" t="str">
        <f>VLOOKUP($C338,Table1[],3,FALSE)</f>
        <v>Sports</v>
      </c>
      <c r="L338" t="str">
        <f>VLOOKUP($C338,Table1[],4,FALSE)</f>
        <v>Fitness</v>
      </c>
      <c r="M338" t="str">
        <f>VLOOKUP($C338,Table1[],5,FALSE)</f>
        <v>Hill PLC</v>
      </c>
      <c r="N338">
        <f>VLOOKUP($C338,Table1[],6,FALSE)</f>
        <v>495.72</v>
      </c>
      <c r="O338">
        <f>VLOOKUP($C338,Table1[],7,FALSE)</f>
        <v>323</v>
      </c>
      <c r="P338" t="str">
        <f>_xlfn.XLOOKUP($B338,Table3[Store_ID],Table3[Store_Name])</f>
        <v>Black-Horn</v>
      </c>
      <c r="Q338" t="str" cm="1">
        <f t="array" ref="Q338">_xlfn.XLOOKUP($B338,Store_Dim!$A$2:$A$21,Table3[Region])</f>
        <v>South</v>
      </c>
      <c r="R338" t="str" cm="1">
        <f t="array" ref="R338">_xlfn.XLOOKUP($B338,Store_Dim!$A$2:$A$21,Table3[Store_Type])</f>
        <v>Outlet</v>
      </c>
      <c r="S338">
        <f>VLOOKUP(Table7[[#This Row],[Customer ID]],Table6[[Customer_ID]:[Total_Amount]],8,FALSE)</f>
        <v>1349.7692</v>
      </c>
    </row>
    <row r="339" spans="1:19" x14ac:dyDescent="0.3">
      <c r="A339" t="s">
        <v>1057</v>
      </c>
      <c r="B339" t="str">
        <f>_xlfn.XLOOKUP(Table7[[#This Row],[Customer ID]],Table6[Customer_ID],Table6[Store_ID])</f>
        <v>STORE5</v>
      </c>
      <c r="C339" t="str">
        <f>_xlfn.XLOOKUP(Table7[[#This Row],[Customer ID]],Table6[Customer_ID],Table6[Product_ID])</f>
        <v>PROD41</v>
      </c>
      <c r="D339" t="str">
        <f>VLOOKUP(Table7[[#This Row],[Customer ID]],Table4[#All],2,FALSE)</f>
        <v>Eric Davis</v>
      </c>
      <c r="E339">
        <f>VLOOKUP($A339,Table4[],3,FALSE)</f>
        <v>27</v>
      </c>
      <c r="F339" t="str">
        <f>VLOOKUP($A339,Table4[],4,FALSE)</f>
        <v>Male</v>
      </c>
      <c r="G339" t="str">
        <f>VLOOKUP($A339,Table4[],5,FALSE)</f>
        <v>Johntown</v>
      </c>
      <c r="H339" t="str">
        <f>VLOOKUP($A339,Table4[],6,FALSE)</f>
        <v>Colorado</v>
      </c>
      <c r="I339" t="str">
        <f>VLOOKUP($A339,Table4[],8,FALSE)</f>
        <v>Bronze</v>
      </c>
      <c r="J339" t="str">
        <f>VLOOKUP($C339,Table1[],2,FALSE)</f>
        <v>Yoga Exercise Mat</v>
      </c>
      <c r="K339" t="str">
        <f>VLOOKUP($C339,Table1[],3,FALSE)</f>
        <v>Sports</v>
      </c>
      <c r="L339" t="str">
        <f>VLOOKUP($C339,Table1[],4,FALSE)</f>
        <v>Fitness</v>
      </c>
      <c r="M339" t="str">
        <f>VLOOKUP($C339,Table1[],5,FALSE)</f>
        <v>Carroll, Long and Mendoza</v>
      </c>
      <c r="N339">
        <f>VLOOKUP($C339,Table1[],6,FALSE)</f>
        <v>313.26</v>
      </c>
      <c r="O339">
        <f>VLOOKUP($C339,Table1[],7,FALSE)</f>
        <v>369</v>
      </c>
      <c r="P339" t="str">
        <f>_xlfn.XLOOKUP($B339,Table3[Store_ID],Table3[Store_Name])</f>
        <v>Gray Ltd</v>
      </c>
      <c r="Q339" t="str" cm="1">
        <f t="array" ref="Q339">_xlfn.XLOOKUP($B339,Store_Dim!$A$2:$A$21,Table3[Region])</f>
        <v>North</v>
      </c>
      <c r="R339" t="str" cm="1">
        <f t="array" ref="R339">_xlfn.XLOOKUP($B339,Store_Dim!$A$2:$A$21,Table3[Store_Type])</f>
        <v>Outlet</v>
      </c>
      <c r="S339">
        <f>VLOOKUP(Table7[[#This Row],[Customer ID]],Table6[[Customer_ID]:[Total_Amount]],8,FALSE)</f>
        <v>36.027200000000001</v>
      </c>
    </row>
    <row r="340" spans="1:19" x14ac:dyDescent="0.3">
      <c r="A340" t="s">
        <v>1060</v>
      </c>
      <c r="B340" t="str">
        <f>_xlfn.XLOOKUP(Table7[[#This Row],[Customer ID]],Table6[Customer_ID],Table6[Store_ID])</f>
        <v>STORE13</v>
      </c>
      <c r="C340" t="str">
        <f>_xlfn.XLOOKUP(Table7[[#This Row],[Customer ID]],Table6[Customer_ID],Table6[Product_ID])</f>
        <v>PROD41</v>
      </c>
      <c r="D340" t="str">
        <f>VLOOKUP(Table7[[#This Row],[Customer ID]],Table4[#All],2,FALSE)</f>
        <v>Angela Williams</v>
      </c>
      <c r="E340">
        <f>VLOOKUP($A340,Table4[],3,FALSE)</f>
        <v>56</v>
      </c>
      <c r="F340" t="str">
        <f>VLOOKUP($A340,Table4[],4,FALSE)</f>
        <v>Female</v>
      </c>
      <c r="G340" t="str">
        <f>VLOOKUP($A340,Table4[],5,FALSE)</f>
        <v>Lake Alyssaburgh</v>
      </c>
      <c r="H340" t="str">
        <f>VLOOKUP($A340,Table4[],6,FALSE)</f>
        <v>Illinois</v>
      </c>
      <c r="I340" t="str">
        <f>VLOOKUP($A340,Table4[],8,FALSE)</f>
        <v>Bronze</v>
      </c>
      <c r="J340" t="str">
        <f>VLOOKUP($C340,Table1[],2,FALSE)</f>
        <v>Yoga Exercise Mat</v>
      </c>
      <c r="K340" t="str">
        <f>VLOOKUP($C340,Table1[],3,FALSE)</f>
        <v>Sports</v>
      </c>
      <c r="L340" t="str">
        <f>VLOOKUP($C340,Table1[],4,FALSE)</f>
        <v>Fitness</v>
      </c>
      <c r="M340" t="str">
        <f>VLOOKUP($C340,Table1[],5,FALSE)</f>
        <v>Carroll, Long and Mendoza</v>
      </c>
      <c r="N340">
        <f>VLOOKUP($C340,Table1[],6,FALSE)</f>
        <v>313.26</v>
      </c>
      <c r="O340">
        <f>VLOOKUP($C340,Table1[],7,FALSE)</f>
        <v>369</v>
      </c>
      <c r="P340" t="str">
        <f>_xlfn.XLOOKUP($B340,Table3[Store_ID],Table3[Store_Name])</f>
        <v>Gardner, Humphrey and Contreras</v>
      </c>
      <c r="Q340" t="str" cm="1">
        <f t="array" ref="Q340">_xlfn.XLOOKUP($B340,Store_Dim!$A$2:$A$21,Table3[Region])</f>
        <v>East</v>
      </c>
      <c r="R340" t="str" cm="1">
        <f t="array" ref="R340">_xlfn.XLOOKUP($B340,Store_Dim!$A$2:$A$21,Table3[Store_Type])</f>
        <v>Flagship</v>
      </c>
      <c r="S340">
        <f>VLOOKUP(Table7[[#This Row],[Customer ID]],Table6[[Customer_ID]:[Total_Amount]],8,FALSE)</f>
        <v>955.54599999999994</v>
      </c>
    </row>
    <row r="341" spans="1:19" x14ac:dyDescent="0.3">
      <c r="A341" t="s">
        <v>1063</v>
      </c>
      <c r="B341" t="str">
        <f>_xlfn.XLOOKUP(Table7[[#This Row],[Customer ID]],Table6[Customer_ID],Table6[Store_ID])</f>
        <v>STORE6</v>
      </c>
      <c r="C341" t="str">
        <f>_xlfn.XLOOKUP(Table7[[#This Row],[Customer ID]],Table6[Customer_ID],Table6[Product_ID])</f>
        <v>PROD61</v>
      </c>
      <c r="D341" t="str">
        <f>VLOOKUP(Table7[[#This Row],[Customer ID]],Table4[#All],2,FALSE)</f>
        <v>Michelle Cunningham</v>
      </c>
      <c r="E341">
        <f>VLOOKUP($A341,Table4[],3,FALSE)</f>
        <v>30</v>
      </c>
      <c r="F341" t="str">
        <f>VLOOKUP($A341,Table4[],4,FALSE)</f>
        <v>Female</v>
      </c>
      <c r="G341" t="str">
        <f>VLOOKUP($A341,Table4[],5,FALSE)</f>
        <v>Amandaborough</v>
      </c>
      <c r="H341" t="str">
        <f>VLOOKUP($A341,Table4[],6,FALSE)</f>
        <v>Connecticut</v>
      </c>
      <c r="I341" t="str">
        <f>VLOOKUP($A341,Table4[],8,FALSE)</f>
        <v>Bronze</v>
      </c>
      <c r="J341" t="str">
        <f>VLOOKUP($C341,Table1[],2,FALSE)</f>
        <v>Tennis Ball 3-Pack</v>
      </c>
      <c r="K341" t="str">
        <f>VLOOKUP($C341,Table1[],3,FALSE)</f>
        <v>Sports</v>
      </c>
      <c r="L341" t="str">
        <f>VLOOKUP($C341,Table1[],4,FALSE)</f>
        <v>Equipment</v>
      </c>
      <c r="M341" t="str">
        <f>VLOOKUP($C341,Table1[],5,FALSE)</f>
        <v>Lopez LLC</v>
      </c>
      <c r="N341">
        <f>VLOOKUP($C341,Table1[],6,FALSE)</f>
        <v>103.45</v>
      </c>
      <c r="O341">
        <f>VLOOKUP($C341,Table1[],7,FALSE)</f>
        <v>465</v>
      </c>
      <c r="P341" t="str">
        <f>_xlfn.XLOOKUP($B341,Table3[Store_ID],Table3[Store_Name])</f>
        <v>Benson-Elliott</v>
      </c>
      <c r="Q341" t="str" cm="1">
        <f t="array" ref="Q341">_xlfn.XLOOKUP($B341,Store_Dim!$A$2:$A$21,Table3[Region])</f>
        <v>East</v>
      </c>
      <c r="R341" t="str" cm="1">
        <f t="array" ref="R341">_xlfn.XLOOKUP($B341,Store_Dim!$A$2:$A$21,Table3[Store_Type])</f>
        <v>Online</v>
      </c>
      <c r="S341">
        <f>VLOOKUP(Table7[[#This Row],[Customer ID]],Table6[[Customer_ID]:[Total_Amount]],8,FALSE)</f>
        <v>1419.0192</v>
      </c>
    </row>
    <row r="342" spans="1:19" x14ac:dyDescent="0.3">
      <c r="A342" t="s">
        <v>1066</v>
      </c>
      <c r="B342" t="str">
        <f>_xlfn.XLOOKUP(Table7[[#This Row],[Customer ID]],Table6[Customer_ID],Table6[Store_ID])</f>
        <v>STORE3</v>
      </c>
      <c r="C342" t="str">
        <f>_xlfn.XLOOKUP(Table7[[#This Row],[Customer ID]],Table6[Customer_ID],Table6[Product_ID])</f>
        <v>PROD17</v>
      </c>
      <c r="D342" t="str">
        <f>VLOOKUP(Table7[[#This Row],[Customer ID]],Table4[#All],2,FALSE)</f>
        <v>Ryan Moore</v>
      </c>
      <c r="E342">
        <f>VLOOKUP($A342,Table4[],3,FALSE)</f>
        <v>38</v>
      </c>
      <c r="F342" t="str">
        <f>VLOOKUP($A342,Table4[],4,FALSE)</f>
        <v>Male</v>
      </c>
      <c r="G342" t="str">
        <f>VLOOKUP($A342,Table4[],5,FALSE)</f>
        <v>Cartershire</v>
      </c>
      <c r="H342" t="str">
        <f>VLOOKUP($A342,Table4[],6,FALSE)</f>
        <v>Virginia</v>
      </c>
      <c r="I342" t="str">
        <f>VLOOKUP($A342,Table4[],8,FALSE)</f>
        <v>Bronze</v>
      </c>
      <c r="J342" t="str">
        <f>VLOOKUP($C342,Table1[],2,FALSE)</f>
        <v>Soccer Training Cone Set</v>
      </c>
      <c r="K342" t="str">
        <f>VLOOKUP($C342,Table1[],3,FALSE)</f>
        <v>Sports</v>
      </c>
      <c r="L342" t="str">
        <f>VLOOKUP($C342,Table1[],4,FALSE)</f>
        <v>Accessories</v>
      </c>
      <c r="M342" t="str">
        <f>VLOOKUP($C342,Table1[],5,FALSE)</f>
        <v>Ford, Murphy and Wilson</v>
      </c>
      <c r="N342">
        <f>VLOOKUP($C342,Table1[],6,FALSE)</f>
        <v>144.53</v>
      </c>
      <c r="O342">
        <f>VLOOKUP($C342,Table1[],7,FALSE)</f>
        <v>367</v>
      </c>
      <c r="P342" t="str">
        <f>_xlfn.XLOOKUP($B342,Table3[Store_ID],Table3[Store_Name])</f>
        <v>Johnson-Wright</v>
      </c>
      <c r="Q342" t="str" cm="1">
        <f t="array" ref="Q342">_xlfn.XLOOKUP($B342,Store_Dim!$A$2:$A$21,Table3[Region])</f>
        <v>North</v>
      </c>
      <c r="R342" t="str" cm="1">
        <f t="array" ref="R342">_xlfn.XLOOKUP($B342,Store_Dim!$A$2:$A$21,Table3[Store_Type])</f>
        <v>Outlet</v>
      </c>
      <c r="S342">
        <f>VLOOKUP(Table7[[#This Row],[Customer ID]],Table6[[Customer_ID]:[Total_Amount]],8,FALSE)</f>
        <v>782.17539999999997</v>
      </c>
    </row>
    <row r="343" spans="1:19" x14ac:dyDescent="0.3">
      <c r="A343" t="s">
        <v>1069</v>
      </c>
      <c r="B343" t="str">
        <f>_xlfn.XLOOKUP(Table7[[#This Row],[Customer ID]],Table6[Customer_ID],Table6[Store_ID])</f>
        <v>STORE1</v>
      </c>
      <c r="C343" t="str">
        <f>_xlfn.XLOOKUP(Table7[[#This Row],[Customer ID]],Table6[Customer_ID],Table6[Product_ID])</f>
        <v>PROD79</v>
      </c>
      <c r="D343" t="str">
        <f>VLOOKUP(Table7[[#This Row],[Customer ID]],Table4[#All],2,FALSE)</f>
        <v>Evelyn Brown</v>
      </c>
      <c r="E343">
        <f>VLOOKUP($A343,Table4[],3,FALSE)</f>
        <v>39</v>
      </c>
      <c r="F343" t="str">
        <f>VLOOKUP($A343,Table4[],4,FALSE)</f>
        <v>Male</v>
      </c>
      <c r="G343" t="str">
        <f>VLOOKUP($A343,Table4[],5,FALSE)</f>
        <v>West Victoriaborough</v>
      </c>
      <c r="H343" t="str">
        <f>VLOOKUP($A343,Table4[],6,FALSE)</f>
        <v>New Mexico</v>
      </c>
      <c r="I343" t="str">
        <f>VLOOKUP($A343,Table4[],8,FALSE)</f>
        <v>Gold</v>
      </c>
      <c r="J343" t="str">
        <f>VLOOKUP($C343,Table1[],2,FALSE)</f>
        <v>Decorative Lamp Shade</v>
      </c>
      <c r="K343" t="str">
        <f>VLOOKUP($C343,Table1[],3,FALSE)</f>
        <v>Home</v>
      </c>
      <c r="L343" t="str">
        <f>VLOOKUP($C343,Table1[],4,FALSE)</f>
        <v>Lighting</v>
      </c>
      <c r="M343" t="str">
        <f>VLOOKUP($C343,Table1[],5,FALSE)</f>
        <v>Ramirez-Hanson</v>
      </c>
      <c r="N343">
        <f>VLOOKUP($C343,Table1[],6,FALSE)</f>
        <v>228.53</v>
      </c>
      <c r="O343">
        <f>VLOOKUP($C343,Table1[],7,FALSE)</f>
        <v>469</v>
      </c>
      <c r="P343" t="str">
        <f>_xlfn.XLOOKUP($B343,Table3[Store_ID],Table3[Store_Name])</f>
        <v>Martinez, Adkins and Johnson</v>
      </c>
      <c r="Q343" t="str" cm="1">
        <f t="array" ref="Q343">_xlfn.XLOOKUP($B343,Store_Dim!$A$2:$A$21,Table3[Region])</f>
        <v>North</v>
      </c>
      <c r="R343" t="str" cm="1">
        <f t="array" ref="R343">_xlfn.XLOOKUP($B343,Store_Dim!$A$2:$A$21,Table3[Store_Type])</f>
        <v>Flagship</v>
      </c>
      <c r="S343">
        <f>VLOOKUP(Table7[[#This Row],[Customer ID]],Table6[[Customer_ID]:[Total_Amount]],8,FALSE)</f>
        <v>2148.1212</v>
      </c>
    </row>
    <row r="344" spans="1:19" x14ac:dyDescent="0.3">
      <c r="A344" t="s">
        <v>1072</v>
      </c>
      <c r="B344" t="str">
        <f>_xlfn.XLOOKUP(Table7[[#This Row],[Customer ID]],Table6[Customer_ID],Table6[Store_ID])</f>
        <v>STORE9</v>
      </c>
      <c r="C344" t="str">
        <f>_xlfn.XLOOKUP(Table7[[#This Row],[Customer ID]],Table6[Customer_ID],Table6[Product_ID])</f>
        <v>PROD22</v>
      </c>
      <c r="D344" t="str">
        <f>VLOOKUP(Table7[[#This Row],[Customer ID]],Table4[#All],2,FALSE)</f>
        <v>Daniel Nelson</v>
      </c>
      <c r="E344">
        <f>VLOOKUP($A344,Table4[],3,FALSE)</f>
        <v>33</v>
      </c>
      <c r="F344" t="str">
        <f>VLOOKUP($A344,Table4[],4,FALSE)</f>
        <v>Male</v>
      </c>
      <c r="G344" t="str">
        <f>VLOOKUP($A344,Table4[],5,FALSE)</f>
        <v>North Jonathan</v>
      </c>
      <c r="H344" t="str">
        <f>VLOOKUP($A344,Table4[],6,FALSE)</f>
        <v>Oklahoma</v>
      </c>
      <c r="I344" t="str">
        <f>VLOOKUP($A344,Table4[],8,FALSE)</f>
        <v>Bronze</v>
      </c>
      <c r="J344" t="str">
        <f>VLOOKUP($C344,Table1[],2,FALSE)</f>
        <v>Carbon Fiber Tennis Racket</v>
      </c>
      <c r="K344" t="str">
        <f>VLOOKUP($C344,Table1[],3,FALSE)</f>
        <v>Sports</v>
      </c>
      <c r="L344" t="str">
        <f>VLOOKUP($C344,Table1[],4,FALSE)</f>
        <v>Equipment</v>
      </c>
      <c r="M344" t="str">
        <f>VLOOKUP($C344,Table1[],5,FALSE)</f>
        <v>Flores, Pineda and Rodriguez</v>
      </c>
      <c r="N344">
        <f>VLOOKUP($C344,Table1[],6,FALSE)</f>
        <v>484.62</v>
      </c>
      <c r="O344">
        <f>VLOOKUP($C344,Table1[],7,FALSE)</f>
        <v>432</v>
      </c>
      <c r="P344" t="str">
        <f>_xlfn.XLOOKUP($B344,Table3[Store_ID],Table3[Store_Name])</f>
        <v>Moore, Padilla and Butler</v>
      </c>
      <c r="Q344" t="str" cm="1">
        <f t="array" ref="Q344">_xlfn.XLOOKUP($B344,Store_Dim!$A$2:$A$21,Table3[Region])</f>
        <v>South</v>
      </c>
      <c r="R344" t="str" cm="1">
        <f t="array" ref="R344">_xlfn.XLOOKUP($B344,Store_Dim!$A$2:$A$21,Table3[Store_Type])</f>
        <v>Flagship</v>
      </c>
      <c r="S344">
        <f>VLOOKUP(Table7[[#This Row],[Customer ID]],Table6[[Customer_ID]:[Total_Amount]],8,FALSE)</f>
        <v>649.51920000000007</v>
      </c>
    </row>
    <row r="345" spans="1:19" x14ac:dyDescent="0.3">
      <c r="A345" t="s">
        <v>1075</v>
      </c>
      <c r="B345" t="str">
        <f>_xlfn.XLOOKUP(Table7[[#This Row],[Customer ID]],Table6[Customer_ID],Table6[Store_ID])</f>
        <v>STORE8</v>
      </c>
      <c r="C345" t="str">
        <f>_xlfn.XLOOKUP(Table7[[#This Row],[Customer ID]],Table6[Customer_ID],Table6[Product_ID])</f>
        <v>PROD76</v>
      </c>
      <c r="D345" t="str">
        <f>VLOOKUP(Table7[[#This Row],[Customer ID]],Table4[#All],2,FALSE)</f>
        <v>John Jordan</v>
      </c>
      <c r="E345">
        <f>VLOOKUP($A345,Table4[],3,FALSE)</f>
        <v>58</v>
      </c>
      <c r="F345" t="str">
        <f>VLOOKUP($A345,Table4[],4,FALSE)</f>
        <v>Female</v>
      </c>
      <c r="G345" t="str">
        <f>VLOOKUP($A345,Table4[],5,FALSE)</f>
        <v>Port Crystalberg</v>
      </c>
      <c r="H345" t="str">
        <f>VLOOKUP($A345,Table4[],6,FALSE)</f>
        <v>Tennessee</v>
      </c>
      <c r="I345" t="str">
        <f>VLOOKUP($A345,Table4[],8,FALSE)</f>
        <v>Platinum</v>
      </c>
      <c r="J345" t="str">
        <f>VLOOKUP($C345,Table1[],2,FALSE)</f>
        <v>Wireless Mouse</v>
      </c>
      <c r="K345" t="str">
        <f>VLOOKUP($C345,Table1[],3,FALSE)</f>
        <v>Electronics</v>
      </c>
      <c r="L345" t="str">
        <f>VLOOKUP($C345,Table1[],4,FALSE)</f>
        <v>Computer</v>
      </c>
      <c r="M345" t="str">
        <f>VLOOKUP($C345,Table1[],5,FALSE)</f>
        <v>Larson Ltd</v>
      </c>
      <c r="N345">
        <f>VLOOKUP($C345,Table1[],6,FALSE)</f>
        <v>392.89</v>
      </c>
      <c r="O345">
        <f>VLOOKUP($C345,Table1[],7,FALSE)</f>
        <v>320</v>
      </c>
      <c r="P345" t="str">
        <f>_xlfn.XLOOKUP($B345,Table3[Store_ID],Table3[Store_Name])</f>
        <v>Bean, Jones and Park</v>
      </c>
      <c r="Q345" t="str" cm="1">
        <f t="array" ref="Q345">_xlfn.XLOOKUP($B345,Store_Dim!$A$2:$A$21,Table3[Region])</f>
        <v>West</v>
      </c>
      <c r="R345" t="str" cm="1">
        <f t="array" ref="R345">_xlfn.XLOOKUP($B345,Store_Dim!$A$2:$A$21,Table3[Store_Type])</f>
        <v>Online</v>
      </c>
      <c r="S345">
        <f>VLOOKUP(Table7[[#This Row],[Customer ID]],Table6[[Customer_ID]:[Total_Amount]],8,FALSE)</f>
        <v>774.0684</v>
      </c>
    </row>
    <row r="346" spans="1:19" x14ac:dyDescent="0.3">
      <c r="A346" t="s">
        <v>1078</v>
      </c>
      <c r="B346" t="str">
        <f>_xlfn.XLOOKUP(Table7[[#This Row],[Customer ID]],Table6[Customer_ID],Table6[Store_ID])</f>
        <v>STORE7</v>
      </c>
      <c r="C346" t="str">
        <f>_xlfn.XLOOKUP(Table7[[#This Row],[Customer ID]],Table6[Customer_ID],Table6[Product_ID])</f>
        <v>PROD37</v>
      </c>
      <c r="D346" t="str">
        <f>VLOOKUP(Table7[[#This Row],[Customer ID]],Table4[#All],2,FALSE)</f>
        <v>Justin Mason Dds</v>
      </c>
      <c r="E346">
        <f>VLOOKUP($A346,Table4[],3,FALSE)</f>
        <v>39</v>
      </c>
      <c r="F346" t="str">
        <f>VLOOKUP($A346,Table4[],4,FALSE)</f>
        <v>Female</v>
      </c>
      <c r="G346" t="str">
        <f>VLOOKUP($A346,Table4[],5,FALSE)</f>
        <v>Peggystad</v>
      </c>
      <c r="H346" t="str">
        <f>VLOOKUP($A346,Table4[],6,FALSE)</f>
        <v>Connecticut</v>
      </c>
      <c r="I346" t="str">
        <f>VLOOKUP($A346,Table4[],8,FALSE)</f>
        <v>Gold</v>
      </c>
      <c r="J346" t="str">
        <f>VLOOKUP($C346,Table1[],2,FALSE)</f>
        <v>Men's Casual Sneakers</v>
      </c>
      <c r="K346" t="str">
        <f>VLOOKUP($C346,Table1[],3,FALSE)</f>
        <v>Clothing</v>
      </c>
      <c r="L346" t="str">
        <f>VLOOKUP($C346,Table1[],4,FALSE)</f>
        <v>Footwear</v>
      </c>
      <c r="M346" t="str">
        <f>VLOOKUP($C346,Table1[],5,FALSE)</f>
        <v>Hogan-Lee</v>
      </c>
      <c r="N346">
        <f>VLOOKUP($C346,Table1[],6,FALSE)</f>
        <v>353.47</v>
      </c>
      <c r="O346">
        <f>VLOOKUP($C346,Table1[],7,FALSE)</f>
        <v>214</v>
      </c>
      <c r="P346" t="str">
        <f>_xlfn.XLOOKUP($B346,Table3[Store_ID],Table3[Store_Name])</f>
        <v>Martinez-Mullins</v>
      </c>
      <c r="Q346" t="str" cm="1">
        <f t="array" ref="Q346">_xlfn.XLOOKUP($B346,Store_Dim!$A$2:$A$21,Table3[Region])</f>
        <v>South</v>
      </c>
      <c r="R346" t="str" cm="1">
        <f t="array" ref="R346">_xlfn.XLOOKUP($B346,Store_Dim!$A$2:$A$21,Table3[Store_Type])</f>
        <v>Online</v>
      </c>
      <c r="S346">
        <f>VLOOKUP(Table7[[#This Row],[Customer ID]],Table6[[Customer_ID]:[Total_Amount]],8,FALSE)</f>
        <v>1793.2632000000001</v>
      </c>
    </row>
    <row r="347" spans="1:19" x14ac:dyDescent="0.3">
      <c r="A347" t="s">
        <v>1080</v>
      </c>
      <c r="B347" t="str">
        <f>_xlfn.XLOOKUP(Table7[[#This Row],[Customer ID]],Table6[Customer_ID],Table6[Store_ID])</f>
        <v>STORE15</v>
      </c>
      <c r="C347" t="str">
        <f>_xlfn.XLOOKUP(Table7[[#This Row],[Customer ID]],Table6[Customer_ID],Table6[Product_ID])</f>
        <v>PROD24</v>
      </c>
      <c r="D347" t="str">
        <f>VLOOKUP(Table7[[#This Row],[Customer ID]],Table4[#All],2,FALSE)</f>
        <v>Sherry Cabrera</v>
      </c>
      <c r="E347">
        <f>VLOOKUP($A347,Table4[],3,FALSE)</f>
        <v>55</v>
      </c>
      <c r="F347" t="str">
        <f>VLOOKUP($A347,Table4[],4,FALSE)</f>
        <v>Male</v>
      </c>
      <c r="G347" t="str">
        <f>VLOOKUP($A347,Table4[],5,FALSE)</f>
        <v>Shannonview</v>
      </c>
      <c r="H347" t="str">
        <f>VLOOKUP($A347,Table4[],6,FALSE)</f>
        <v>Pennsylvania</v>
      </c>
      <c r="I347" t="str">
        <f>VLOOKUP($A347,Table4[],8,FALSE)</f>
        <v>Silver</v>
      </c>
      <c r="J347" t="str">
        <f>VLOOKUP($C347,Table1[],2,FALSE)</f>
        <v>Foldable Camping Chair</v>
      </c>
      <c r="K347" t="str">
        <f>VLOOKUP($C347,Table1[],3,FALSE)</f>
        <v>Sports</v>
      </c>
      <c r="L347" t="str">
        <f>VLOOKUP($C347,Table1[],4,FALSE)</f>
        <v>Outdoor</v>
      </c>
      <c r="M347" t="str">
        <f>VLOOKUP($C347,Table1[],5,FALSE)</f>
        <v>Cook Ltd</v>
      </c>
      <c r="N347">
        <f>VLOOKUP($C347,Table1[],6,FALSE)</f>
        <v>166.06</v>
      </c>
      <c r="O347">
        <f>VLOOKUP($C347,Table1[],7,FALSE)</f>
        <v>340</v>
      </c>
      <c r="P347" t="str">
        <f>_xlfn.XLOOKUP($B347,Table3[Store_ID],Table3[Store_Name])</f>
        <v>Shelton PLC</v>
      </c>
      <c r="Q347" t="str" cm="1">
        <f t="array" ref="Q347">_xlfn.XLOOKUP($B347,Store_Dim!$A$2:$A$21,Table3[Region])</f>
        <v>North</v>
      </c>
      <c r="R347" t="str" cm="1">
        <f t="array" ref="R347">_xlfn.XLOOKUP($B347,Store_Dim!$A$2:$A$21,Table3[Store_Type])</f>
        <v>Flagship</v>
      </c>
      <c r="S347">
        <f>VLOOKUP(Table7[[#This Row],[Customer ID]],Table6[[Customer_ID]:[Total_Amount]],8,FALSE)</f>
        <v>1145.8548000000001</v>
      </c>
    </row>
    <row r="348" spans="1:19" x14ac:dyDescent="0.3">
      <c r="A348" t="s">
        <v>1083</v>
      </c>
      <c r="B348" t="str">
        <f>_xlfn.XLOOKUP(Table7[[#This Row],[Customer ID]],Table6[Customer_ID],Table6[Store_ID])</f>
        <v>STORE9</v>
      </c>
      <c r="C348" t="str">
        <f>_xlfn.XLOOKUP(Table7[[#This Row],[Customer ID]],Table6[Customer_ID],Table6[Product_ID])</f>
        <v>PROD71</v>
      </c>
      <c r="D348" t="str">
        <f>VLOOKUP(Table7[[#This Row],[Customer ID]],Table4[#All],2,FALSE)</f>
        <v>Heather Valenzuela</v>
      </c>
      <c r="E348">
        <f>VLOOKUP($A348,Table4[],3,FALSE)</f>
        <v>31</v>
      </c>
      <c r="F348" t="str">
        <f>VLOOKUP($A348,Table4[],4,FALSE)</f>
        <v>Male</v>
      </c>
      <c r="G348" t="str">
        <f>VLOOKUP($A348,Table4[],5,FALSE)</f>
        <v>New Angiefurt</v>
      </c>
      <c r="H348" t="str">
        <f>VLOOKUP($A348,Table4[],6,FALSE)</f>
        <v>Alaska</v>
      </c>
      <c r="I348" t="str">
        <f>VLOOKUP($A348,Table4[],8,FALSE)</f>
        <v>Bronze</v>
      </c>
      <c r="J348" t="str">
        <f>VLOOKUP($C348,Table1[],2,FALSE)</f>
        <v>Hair Repair Oil Treatment</v>
      </c>
      <c r="K348" t="str">
        <f>VLOOKUP($C348,Table1[],3,FALSE)</f>
        <v>Beauty</v>
      </c>
      <c r="L348" t="str">
        <f>VLOOKUP($C348,Table1[],4,FALSE)</f>
        <v>Haircare</v>
      </c>
      <c r="M348" t="str">
        <f>VLOOKUP($C348,Table1[],5,FALSE)</f>
        <v>Hopkins Ltd</v>
      </c>
      <c r="N348">
        <f>VLOOKUP($C348,Table1[],6,FALSE)</f>
        <v>214.32</v>
      </c>
      <c r="O348">
        <f>VLOOKUP($C348,Table1[],7,FALSE)</f>
        <v>383</v>
      </c>
      <c r="P348" t="str">
        <f>_xlfn.XLOOKUP($B348,Table3[Store_ID],Table3[Store_Name])</f>
        <v>Moore, Padilla and Butler</v>
      </c>
      <c r="Q348" t="str" cm="1">
        <f t="array" ref="Q348">_xlfn.XLOOKUP($B348,Store_Dim!$A$2:$A$21,Table3[Region])</f>
        <v>South</v>
      </c>
      <c r="R348" t="str" cm="1">
        <f t="array" ref="R348">_xlfn.XLOOKUP($B348,Store_Dim!$A$2:$A$21,Table3[Store_Type])</f>
        <v>Flagship</v>
      </c>
      <c r="S348">
        <f>VLOOKUP(Table7[[#This Row],[Customer ID]],Table6[[Customer_ID]:[Total_Amount]],8,FALSE)</f>
        <v>2471.6376</v>
      </c>
    </row>
    <row r="349" spans="1:19" x14ac:dyDescent="0.3">
      <c r="A349" t="s">
        <v>1086</v>
      </c>
      <c r="B349" t="str">
        <f>_xlfn.XLOOKUP(Table7[[#This Row],[Customer ID]],Table6[Customer_ID],Table6[Store_ID])</f>
        <v>STORE19</v>
      </c>
      <c r="C349" t="str">
        <f>_xlfn.XLOOKUP(Table7[[#This Row],[Customer ID]],Table6[Customer_ID],Table6[Product_ID])</f>
        <v>PROD92</v>
      </c>
      <c r="D349" t="str">
        <f>VLOOKUP(Table7[[#This Row],[Customer ID]],Table4[#All],2,FALSE)</f>
        <v>Charles Miller</v>
      </c>
      <c r="E349">
        <f>VLOOKUP($A349,Table4[],3,FALSE)</f>
        <v>26</v>
      </c>
      <c r="F349" t="str">
        <f>VLOOKUP($A349,Table4[],4,FALSE)</f>
        <v>Male</v>
      </c>
      <c r="G349" t="str">
        <f>VLOOKUP($A349,Table4[],5,FALSE)</f>
        <v>Lake Allisonborough</v>
      </c>
      <c r="H349" t="str">
        <f>VLOOKUP($A349,Table4[],6,FALSE)</f>
        <v>Iowa</v>
      </c>
      <c r="I349" t="str">
        <f>VLOOKUP($A349,Table4[],8,FALSE)</f>
        <v>Silver</v>
      </c>
      <c r="J349" t="str">
        <f>VLOOKUP($C349,Table1[],2,FALSE)</f>
        <v>Microwave Oven</v>
      </c>
      <c r="K349" t="str">
        <f>VLOOKUP($C349,Table1[],3,FALSE)</f>
        <v>Home</v>
      </c>
      <c r="L349" t="str">
        <f>VLOOKUP($C349,Table1[],4,FALSE)</f>
        <v>Appliances</v>
      </c>
      <c r="M349" t="str">
        <f>VLOOKUP($C349,Table1[],5,FALSE)</f>
        <v>Green, Powell and Palmer</v>
      </c>
      <c r="N349">
        <f>VLOOKUP($C349,Table1[],6,FALSE)</f>
        <v>447.43</v>
      </c>
      <c r="O349">
        <f>VLOOKUP($C349,Table1[],7,FALSE)</f>
        <v>191</v>
      </c>
      <c r="P349" t="str">
        <f>_xlfn.XLOOKUP($B349,Table3[Store_ID],Table3[Store_Name])</f>
        <v>Mann-Austin</v>
      </c>
      <c r="Q349" t="str" cm="1">
        <f t="array" ref="Q349">_xlfn.XLOOKUP($B349,Store_Dim!$A$2:$A$21,Table3[Region])</f>
        <v>East</v>
      </c>
      <c r="R349" t="str" cm="1">
        <f t="array" ref="R349">_xlfn.XLOOKUP($B349,Store_Dim!$A$2:$A$21,Table3[Store_Type])</f>
        <v>Online</v>
      </c>
      <c r="S349">
        <f>VLOOKUP(Table7[[#This Row],[Customer ID]],Table6[[Customer_ID]:[Total_Amount]],8,FALSE)</f>
        <v>624.49519999999995</v>
      </c>
    </row>
    <row r="350" spans="1:19" x14ac:dyDescent="0.3">
      <c r="A350" t="s">
        <v>1089</v>
      </c>
      <c r="B350" t="str">
        <f>_xlfn.XLOOKUP(Table7[[#This Row],[Customer ID]],Table6[Customer_ID],Table6[Store_ID])</f>
        <v>STORE10</v>
      </c>
      <c r="C350" t="str">
        <f>_xlfn.XLOOKUP(Table7[[#This Row],[Customer ID]],Table6[Customer_ID],Table6[Product_ID])</f>
        <v>PROD26</v>
      </c>
      <c r="D350" t="str">
        <f>VLOOKUP(Table7[[#This Row],[Customer ID]],Table4[#All],2,FALSE)</f>
        <v>Jeffrey Mccarthy</v>
      </c>
      <c r="E350">
        <f>VLOOKUP($A350,Table4[],3,FALSE)</f>
        <v>25</v>
      </c>
      <c r="F350" t="str">
        <f>VLOOKUP($A350,Table4[],4,FALSE)</f>
        <v>Female</v>
      </c>
      <c r="G350" t="str">
        <f>VLOOKUP($A350,Table4[],5,FALSE)</f>
        <v>North Samuel</v>
      </c>
      <c r="H350" t="str">
        <f>VLOOKUP($A350,Table4[],6,FALSE)</f>
        <v>Nebraska</v>
      </c>
      <c r="I350" t="str">
        <f>VLOOKUP($A350,Table4[],8,FALSE)</f>
        <v>Bronze</v>
      </c>
      <c r="J350" t="str">
        <f>VLOOKUP($C350,Table1[],2,FALSE)</f>
        <v>Wireless Bluetooth Speaker</v>
      </c>
      <c r="K350" t="str">
        <f>VLOOKUP($C350,Table1[],3,FALSE)</f>
        <v>Electronics</v>
      </c>
      <c r="L350" t="str">
        <f>VLOOKUP($C350,Table1[],4,FALSE)</f>
        <v>Audio</v>
      </c>
      <c r="M350" t="str">
        <f>VLOOKUP($C350,Table1[],5,FALSE)</f>
        <v>Reed-Schmidt</v>
      </c>
      <c r="N350">
        <f>VLOOKUP($C350,Table1[],6,FALSE)</f>
        <v>322.41000000000003</v>
      </c>
      <c r="O350">
        <f>VLOOKUP($C350,Table1[],7,FALSE)</f>
        <v>213</v>
      </c>
      <c r="P350" t="str">
        <f>_xlfn.XLOOKUP($B350,Table3[Store_ID],Table3[Store_Name])</f>
        <v>Hill, Wagner and Ballard</v>
      </c>
      <c r="Q350" t="str" cm="1">
        <f t="array" ref="Q350">_xlfn.XLOOKUP($B350,Store_Dim!$A$2:$A$21,Table3[Region])</f>
        <v>East</v>
      </c>
      <c r="R350" t="str" cm="1">
        <f t="array" ref="R350">_xlfn.XLOOKUP($B350,Store_Dim!$A$2:$A$21,Table3[Store_Type])</f>
        <v>Online</v>
      </c>
      <c r="S350">
        <f>VLOOKUP(Table7[[#This Row],[Customer ID]],Table6[[Customer_ID]:[Total_Amount]],8,FALSE)</f>
        <v>1620.8416</v>
      </c>
    </row>
    <row r="351" spans="1:19" x14ac:dyDescent="0.3">
      <c r="A351" t="s">
        <v>1092</v>
      </c>
      <c r="B351" t="str">
        <f>_xlfn.XLOOKUP(Table7[[#This Row],[Customer ID]],Table6[Customer_ID],Table6[Store_ID])</f>
        <v>STORE4</v>
      </c>
      <c r="C351" t="str">
        <f>_xlfn.XLOOKUP(Table7[[#This Row],[Customer ID]],Table6[Customer_ID],Table6[Product_ID])</f>
        <v>PROD43</v>
      </c>
      <c r="D351" t="str">
        <f>VLOOKUP(Table7[[#This Row],[Customer ID]],Table4[#All],2,FALSE)</f>
        <v>Michael Greene</v>
      </c>
      <c r="E351">
        <f>VLOOKUP($A351,Table4[],3,FALSE)</f>
        <v>52</v>
      </c>
      <c r="F351" t="str">
        <f>VLOOKUP($A351,Table4[],4,FALSE)</f>
        <v>Female</v>
      </c>
      <c r="G351" t="str">
        <f>VLOOKUP($A351,Table4[],5,FALSE)</f>
        <v>Port Saramouth</v>
      </c>
      <c r="H351" t="str">
        <f>VLOOKUP($A351,Table4[],6,FALSE)</f>
        <v>Wisconsin</v>
      </c>
      <c r="I351" t="str">
        <f>VLOOKUP($A351,Table4[],8,FALSE)</f>
        <v>Silver</v>
      </c>
      <c r="J351" t="str">
        <f>VLOOKUP($C351,Table1[],2,FALSE)</f>
        <v>USB External Hard Drive</v>
      </c>
      <c r="K351" t="str">
        <f>VLOOKUP($C351,Table1[],3,FALSE)</f>
        <v>Electronics</v>
      </c>
      <c r="L351" t="str">
        <f>VLOOKUP($C351,Table1[],4,FALSE)</f>
        <v>Computer</v>
      </c>
      <c r="M351" t="str">
        <f>VLOOKUP($C351,Table1[],5,FALSE)</f>
        <v>Robinson Inc</v>
      </c>
      <c r="N351">
        <f>VLOOKUP($C351,Table1[],6,FALSE)</f>
        <v>253.33</v>
      </c>
      <c r="O351">
        <f>VLOOKUP($C351,Table1[],7,FALSE)</f>
        <v>266</v>
      </c>
      <c r="P351" t="str">
        <f>_xlfn.XLOOKUP($B351,Table3[Store_ID],Table3[Store_Name])</f>
        <v>Alexander Group</v>
      </c>
      <c r="Q351" t="str" cm="1">
        <f t="array" ref="Q351">_xlfn.XLOOKUP($B351,Store_Dim!$A$2:$A$21,Table3[Region])</f>
        <v>South</v>
      </c>
      <c r="R351" t="str" cm="1">
        <f t="array" ref="R351">_xlfn.XLOOKUP($B351,Store_Dim!$A$2:$A$21,Table3[Store_Type])</f>
        <v>Online</v>
      </c>
      <c r="S351">
        <f>VLOOKUP(Table7[[#This Row],[Customer ID]],Table6[[Customer_ID]:[Total_Amount]],8,FALSE)</f>
        <v>701.0544000000001</v>
      </c>
    </row>
    <row r="352" spans="1:19" x14ac:dyDescent="0.3">
      <c r="A352" t="s">
        <v>1095</v>
      </c>
      <c r="B352" t="str">
        <f>_xlfn.XLOOKUP(Table7[[#This Row],[Customer ID]],Table6[Customer_ID],Table6[Store_ID])</f>
        <v>STORE2</v>
      </c>
      <c r="C352" t="str">
        <f>_xlfn.XLOOKUP(Table7[[#This Row],[Customer ID]],Table6[Customer_ID],Table6[Product_ID])</f>
        <v>PROD48</v>
      </c>
      <c r="D352" t="str">
        <f>VLOOKUP(Table7[[#This Row],[Customer ID]],Table4[#All],2,FALSE)</f>
        <v>Laura Green</v>
      </c>
      <c r="E352">
        <f>VLOOKUP($A352,Table4[],3,FALSE)</f>
        <v>56</v>
      </c>
      <c r="F352" t="str">
        <f>VLOOKUP($A352,Table4[],4,FALSE)</f>
        <v>Female</v>
      </c>
      <c r="G352" t="str">
        <f>VLOOKUP($A352,Table4[],5,FALSE)</f>
        <v>Westbury</v>
      </c>
      <c r="H352" t="str">
        <f>VLOOKUP($A352,Table4[],6,FALSE)</f>
        <v>Oregon</v>
      </c>
      <c r="I352" t="str">
        <f>VLOOKUP($A352,Table4[],8,FALSE)</f>
        <v>Platinum</v>
      </c>
      <c r="J352" t="str">
        <f>VLOOKUP($C352,Table1[],2,FALSE)</f>
        <v>Car Dashboard Phone Holder</v>
      </c>
      <c r="K352" t="str">
        <f>VLOOKUP($C352,Table1[],3,FALSE)</f>
        <v>Electronics</v>
      </c>
      <c r="L352" t="str">
        <f>VLOOKUP($C352,Table1[],4,FALSE)</f>
        <v>Accessories</v>
      </c>
      <c r="M352" t="str">
        <f>VLOOKUP($C352,Table1[],5,FALSE)</f>
        <v>Byrd, Stewart and Valdez</v>
      </c>
      <c r="N352">
        <f>VLOOKUP($C352,Table1[],6,FALSE)</f>
        <v>177.98</v>
      </c>
      <c r="O352">
        <f>VLOOKUP($C352,Table1[],7,FALSE)</f>
        <v>103</v>
      </c>
      <c r="P352" t="str">
        <f>_xlfn.XLOOKUP($B352,Table3[Store_ID],Table3[Store_Name])</f>
        <v>Black-Horn</v>
      </c>
      <c r="Q352" t="str" cm="1">
        <f t="array" ref="Q352">_xlfn.XLOOKUP($B352,Store_Dim!$A$2:$A$21,Table3[Region])</f>
        <v>South</v>
      </c>
      <c r="R352" t="str" cm="1">
        <f t="array" ref="R352">_xlfn.XLOOKUP($B352,Store_Dim!$A$2:$A$21,Table3[Store_Type])</f>
        <v>Outlet</v>
      </c>
      <c r="S352">
        <f>VLOOKUP(Table7[[#This Row],[Customer ID]],Table6[[Customer_ID]:[Total_Amount]],8,FALSE)</f>
        <v>1565.982</v>
      </c>
    </row>
    <row r="353" spans="1:19" x14ac:dyDescent="0.3">
      <c r="A353" t="s">
        <v>1097</v>
      </c>
      <c r="B353" t="str">
        <f>_xlfn.XLOOKUP(Table7[[#This Row],[Customer ID]],Table6[Customer_ID],Table6[Store_ID])</f>
        <v>STORE6</v>
      </c>
      <c r="C353" t="str">
        <f>_xlfn.XLOOKUP(Table7[[#This Row],[Customer ID]],Table6[Customer_ID],Table6[Product_ID])</f>
        <v>PROD61</v>
      </c>
      <c r="D353" t="str">
        <f>VLOOKUP(Table7[[#This Row],[Customer ID]],Table4[#All],2,FALSE)</f>
        <v>Ryan Torres</v>
      </c>
      <c r="E353">
        <f>VLOOKUP($A353,Table4[],3,FALSE)</f>
        <v>38</v>
      </c>
      <c r="F353" t="str">
        <f>VLOOKUP($A353,Table4[],4,FALSE)</f>
        <v>Male</v>
      </c>
      <c r="G353" t="str">
        <f>VLOOKUP($A353,Table4[],5,FALSE)</f>
        <v>Guerreroport</v>
      </c>
      <c r="H353" t="str">
        <f>VLOOKUP($A353,Table4[],6,FALSE)</f>
        <v>Connecticut</v>
      </c>
      <c r="I353" t="str">
        <f>VLOOKUP($A353,Table4[],8,FALSE)</f>
        <v>Silver</v>
      </c>
      <c r="J353" t="str">
        <f>VLOOKUP($C353,Table1[],2,FALSE)</f>
        <v>Tennis Ball 3-Pack</v>
      </c>
      <c r="K353" t="str">
        <f>VLOOKUP($C353,Table1[],3,FALSE)</f>
        <v>Sports</v>
      </c>
      <c r="L353" t="str">
        <f>VLOOKUP($C353,Table1[],4,FALSE)</f>
        <v>Equipment</v>
      </c>
      <c r="M353" t="str">
        <f>VLOOKUP($C353,Table1[],5,FALSE)</f>
        <v>Lopez LLC</v>
      </c>
      <c r="N353">
        <f>VLOOKUP($C353,Table1[],6,FALSE)</f>
        <v>103.45</v>
      </c>
      <c r="O353">
        <f>VLOOKUP($C353,Table1[],7,FALSE)</f>
        <v>465</v>
      </c>
      <c r="P353" t="str">
        <f>_xlfn.XLOOKUP($B353,Table3[Store_ID],Table3[Store_Name])</f>
        <v>Benson-Elliott</v>
      </c>
      <c r="Q353" t="str" cm="1">
        <f t="array" ref="Q353">_xlfn.XLOOKUP($B353,Store_Dim!$A$2:$A$21,Table3[Region])</f>
        <v>East</v>
      </c>
      <c r="R353" t="str" cm="1">
        <f t="array" ref="R353">_xlfn.XLOOKUP($B353,Store_Dim!$A$2:$A$21,Table3[Store_Type])</f>
        <v>Online</v>
      </c>
      <c r="S353">
        <f>VLOOKUP(Table7[[#This Row],[Customer ID]],Table6[[Customer_ID]:[Total_Amount]],8,FALSE)</f>
        <v>711.05579999999986</v>
      </c>
    </row>
    <row r="354" spans="1:19" x14ac:dyDescent="0.3">
      <c r="A354" t="s">
        <v>1100</v>
      </c>
      <c r="B354" t="str">
        <f>_xlfn.XLOOKUP(Table7[[#This Row],[Customer ID]],Table6[Customer_ID],Table6[Store_ID])</f>
        <v>STORE17</v>
      </c>
      <c r="C354" t="str">
        <f>_xlfn.XLOOKUP(Table7[[#This Row],[Customer ID]],Table6[Customer_ID],Table6[Product_ID])</f>
        <v>PROD91</v>
      </c>
      <c r="D354" t="str">
        <f>VLOOKUP(Table7[[#This Row],[Customer ID]],Table4[#All],2,FALSE)</f>
        <v>Carlos Flores</v>
      </c>
      <c r="E354">
        <f>VLOOKUP($A354,Table4[],3,FALSE)</f>
        <v>20</v>
      </c>
      <c r="F354" t="str">
        <f>VLOOKUP($A354,Table4[],4,FALSE)</f>
        <v>Male</v>
      </c>
      <c r="G354" t="str">
        <f>VLOOKUP($A354,Table4[],5,FALSE)</f>
        <v>North Johnfurt</v>
      </c>
      <c r="H354" t="str">
        <f>VLOOKUP($A354,Table4[],6,FALSE)</f>
        <v>Washington</v>
      </c>
      <c r="I354" t="str">
        <f>VLOOKUP($A354,Table4[],8,FALSE)</f>
        <v>Gold</v>
      </c>
      <c r="J354" t="str">
        <f>VLOOKUP($C354,Table1[],2,FALSE)</f>
        <v>Women's High Heels</v>
      </c>
      <c r="K354" t="str">
        <f>VLOOKUP($C354,Table1[],3,FALSE)</f>
        <v>Clothing</v>
      </c>
      <c r="L354" t="str">
        <f>VLOOKUP($C354,Table1[],4,FALSE)</f>
        <v>Footwear</v>
      </c>
      <c r="M354" t="str">
        <f>VLOOKUP($C354,Table1[],5,FALSE)</f>
        <v>Smith-Charles</v>
      </c>
      <c r="N354">
        <f>VLOOKUP($C354,Table1[],6,FALSE)</f>
        <v>438.25</v>
      </c>
      <c r="O354">
        <f>VLOOKUP($C354,Table1[],7,FALSE)</f>
        <v>496</v>
      </c>
      <c r="P354" t="str">
        <f>_xlfn.XLOOKUP($B354,Table3[Store_ID],Table3[Store_Name])</f>
        <v>Holloway Ltd</v>
      </c>
      <c r="Q354" t="str" cm="1">
        <f t="array" ref="Q354">_xlfn.XLOOKUP($B354,Store_Dim!$A$2:$A$21,Table3[Region])</f>
        <v>North</v>
      </c>
      <c r="R354" t="str" cm="1">
        <f t="array" ref="R354">_xlfn.XLOOKUP($B354,Store_Dim!$A$2:$A$21,Table3[Store_Type])</f>
        <v>Flagship</v>
      </c>
      <c r="S354">
        <f>VLOOKUP(Table7[[#This Row],[Customer ID]],Table6[[Customer_ID]:[Total_Amount]],8,FALSE)</f>
        <v>218.804</v>
      </c>
    </row>
    <row r="355" spans="1:19" x14ac:dyDescent="0.3">
      <c r="A355" t="s">
        <v>1103</v>
      </c>
      <c r="B355" t="str">
        <f>_xlfn.XLOOKUP(Table7[[#This Row],[Customer ID]],Table6[Customer_ID],Table6[Store_ID])</f>
        <v>STORE6</v>
      </c>
      <c r="C355" t="str">
        <f>_xlfn.XLOOKUP(Table7[[#This Row],[Customer ID]],Table6[Customer_ID],Table6[Product_ID])</f>
        <v>PROD88</v>
      </c>
      <c r="D355" t="str">
        <f>VLOOKUP(Table7[[#This Row],[Customer ID]],Table4[#All],2,FALSE)</f>
        <v>Steve Hunt</v>
      </c>
      <c r="E355">
        <f>VLOOKUP($A355,Table4[],3,FALSE)</f>
        <v>54</v>
      </c>
      <c r="F355" t="str">
        <f>VLOOKUP($A355,Table4[],4,FALSE)</f>
        <v>Male</v>
      </c>
      <c r="G355" t="str">
        <f>VLOOKUP($A355,Table4[],5,FALSE)</f>
        <v>North Richard</v>
      </c>
      <c r="H355" t="str">
        <f>VLOOKUP($A355,Table4[],6,FALSE)</f>
        <v>Virginia</v>
      </c>
      <c r="I355" t="str">
        <f>VLOOKUP($A355,Table4[],8,FALSE)</f>
        <v>Bronze</v>
      </c>
      <c r="J355" t="str">
        <f>VLOOKUP($C355,Table1[],2,FALSE)</f>
        <v>Sports Wrist Sweatbands</v>
      </c>
      <c r="K355" t="str">
        <f>VLOOKUP($C355,Table1[],3,FALSE)</f>
        <v>Sports</v>
      </c>
      <c r="L355" t="str">
        <f>VLOOKUP($C355,Table1[],4,FALSE)</f>
        <v>Accessories</v>
      </c>
      <c r="M355" t="str">
        <f>VLOOKUP($C355,Table1[],5,FALSE)</f>
        <v>Olsen-Daniels</v>
      </c>
      <c r="N355">
        <f>VLOOKUP($C355,Table1[],6,FALSE)</f>
        <v>131.24</v>
      </c>
      <c r="O355">
        <f>VLOOKUP($C355,Table1[],7,FALSE)</f>
        <v>232</v>
      </c>
      <c r="P355" t="str">
        <f>_xlfn.XLOOKUP($B355,Table3[Store_ID],Table3[Store_Name])</f>
        <v>Benson-Elliott</v>
      </c>
      <c r="Q355" t="str" cm="1">
        <f t="array" ref="Q355">_xlfn.XLOOKUP($B355,Store_Dim!$A$2:$A$21,Table3[Region])</f>
        <v>East</v>
      </c>
      <c r="R355" t="str" cm="1">
        <f t="array" ref="R355">_xlfn.XLOOKUP($B355,Store_Dim!$A$2:$A$21,Table3[Store_Type])</f>
        <v>Online</v>
      </c>
      <c r="S355">
        <f>VLOOKUP(Table7[[#This Row],[Customer ID]],Table6[[Customer_ID]:[Total_Amount]],8,FALSE)</f>
        <v>463.85820000000001</v>
      </c>
    </row>
    <row r="356" spans="1:19" x14ac:dyDescent="0.3">
      <c r="A356" t="s">
        <v>1106</v>
      </c>
      <c r="B356" t="str">
        <f>_xlfn.XLOOKUP(Table7[[#This Row],[Customer ID]],Table6[Customer_ID],Table6[Store_ID])</f>
        <v>STORE1</v>
      </c>
      <c r="C356" t="str">
        <f>_xlfn.XLOOKUP(Table7[[#This Row],[Customer ID]],Table6[Customer_ID],Table6[Product_ID])</f>
        <v>PROD17</v>
      </c>
      <c r="D356" t="str">
        <f>VLOOKUP(Table7[[#This Row],[Customer ID]],Table4[#All],2,FALSE)</f>
        <v>Manuel Castillo</v>
      </c>
      <c r="E356">
        <f>VLOOKUP($A356,Table4[],3,FALSE)</f>
        <v>41</v>
      </c>
      <c r="F356" t="str">
        <f>VLOOKUP($A356,Table4[],4,FALSE)</f>
        <v>Male</v>
      </c>
      <c r="G356" t="str">
        <f>VLOOKUP($A356,Table4[],5,FALSE)</f>
        <v>Nealview</v>
      </c>
      <c r="H356" t="str">
        <f>VLOOKUP($A356,Table4[],6,FALSE)</f>
        <v>Tennessee</v>
      </c>
      <c r="I356" t="str">
        <f>VLOOKUP($A356,Table4[],8,FALSE)</f>
        <v>Gold</v>
      </c>
      <c r="J356" t="str">
        <f>VLOOKUP($C356,Table1[],2,FALSE)</f>
        <v>Soccer Training Cone Set</v>
      </c>
      <c r="K356" t="str">
        <f>VLOOKUP($C356,Table1[],3,FALSE)</f>
        <v>Sports</v>
      </c>
      <c r="L356" t="str">
        <f>VLOOKUP($C356,Table1[],4,FALSE)</f>
        <v>Accessories</v>
      </c>
      <c r="M356" t="str">
        <f>VLOOKUP($C356,Table1[],5,FALSE)</f>
        <v>Ford, Murphy and Wilson</v>
      </c>
      <c r="N356">
        <f>VLOOKUP($C356,Table1[],6,FALSE)</f>
        <v>144.53</v>
      </c>
      <c r="O356">
        <f>VLOOKUP($C356,Table1[],7,FALSE)</f>
        <v>367</v>
      </c>
      <c r="P356" t="str">
        <f>_xlfn.XLOOKUP($B356,Table3[Store_ID],Table3[Store_Name])</f>
        <v>Martinez, Adkins and Johnson</v>
      </c>
      <c r="Q356" t="str" cm="1">
        <f t="array" ref="Q356">_xlfn.XLOOKUP($B356,Store_Dim!$A$2:$A$21,Table3[Region])</f>
        <v>North</v>
      </c>
      <c r="R356" t="str" cm="1">
        <f t="array" ref="R356">_xlfn.XLOOKUP($B356,Store_Dim!$A$2:$A$21,Table3[Store_Type])</f>
        <v>Flagship</v>
      </c>
      <c r="S356">
        <f>VLOOKUP(Table7[[#This Row],[Customer ID]],Table6[[Customer_ID]:[Total_Amount]],8,FALSE)</f>
        <v>1192.2174</v>
      </c>
    </row>
    <row r="357" spans="1:19" x14ac:dyDescent="0.3">
      <c r="A357" t="s">
        <v>1109</v>
      </c>
      <c r="B357" t="str">
        <f>_xlfn.XLOOKUP(Table7[[#This Row],[Customer ID]],Table6[Customer_ID],Table6[Store_ID])</f>
        <v>STORE19</v>
      </c>
      <c r="C357" t="str">
        <f>_xlfn.XLOOKUP(Table7[[#This Row],[Customer ID]],Table6[Customer_ID],Table6[Product_ID])</f>
        <v>PROD55</v>
      </c>
      <c r="D357" t="str">
        <f>VLOOKUP(Table7[[#This Row],[Customer ID]],Table4[#All],2,FALSE)</f>
        <v>Ashley Anderson</v>
      </c>
      <c r="E357">
        <f>VLOOKUP($A357,Table4[],3,FALSE)</f>
        <v>60</v>
      </c>
      <c r="F357" t="str">
        <f>VLOOKUP($A357,Table4[],4,FALSE)</f>
        <v>Female</v>
      </c>
      <c r="G357" t="str">
        <f>VLOOKUP($A357,Table4[],5,FALSE)</f>
        <v>West Johnmouth</v>
      </c>
      <c r="H357" t="str">
        <f>VLOOKUP($A357,Table4[],6,FALSE)</f>
        <v>Mississippi</v>
      </c>
      <c r="I357" t="str">
        <f>VLOOKUP($A357,Table4[],8,FALSE)</f>
        <v>Gold</v>
      </c>
      <c r="J357" t="str">
        <f>VLOOKUP($C357,Table1[],2,FALSE)</f>
        <v>Ceramic Plant Pot</v>
      </c>
      <c r="K357" t="str">
        <f>VLOOKUP($C357,Table1[],3,FALSE)</f>
        <v>Home</v>
      </c>
      <c r="L357" t="str">
        <f>VLOOKUP($C357,Table1[],4,FALSE)</f>
        <v>Decor</v>
      </c>
      <c r="M357" t="str">
        <f>VLOOKUP($C357,Table1[],5,FALSE)</f>
        <v>Hatfield, Baird and Torres</v>
      </c>
      <c r="N357">
        <f>VLOOKUP($C357,Table1[],6,FALSE)</f>
        <v>81.75</v>
      </c>
      <c r="O357">
        <f>VLOOKUP($C357,Table1[],7,FALSE)</f>
        <v>331</v>
      </c>
      <c r="P357" t="str">
        <f>_xlfn.XLOOKUP($B357,Table3[Store_ID],Table3[Store_Name])</f>
        <v>Mann-Austin</v>
      </c>
      <c r="Q357" t="str" cm="1">
        <f t="array" ref="Q357">_xlfn.XLOOKUP($B357,Store_Dim!$A$2:$A$21,Table3[Region])</f>
        <v>East</v>
      </c>
      <c r="R357" t="str" cm="1">
        <f t="array" ref="R357">_xlfn.XLOOKUP($B357,Store_Dim!$A$2:$A$21,Table3[Store_Type])</f>
        <v>Online</v>
      </c>
      <c r="S357">
        <f>VLOOKUP(Table7[[#This Row],[Customer ID]],Table6[[Customer_ID]:[Total_Amount]],8,FALSE)</f>
        <v>218.49100000000001</v>
      </c>
    </row>
    <row r="358" spans="1:19" x14ac:dyDescent="0.3">
      <c r="A358" t="s">
        <v>1112</v>
      </c>
      <c r="B358" t="str">
        <f>_xlfn.XLOOKUP(Table7[[#This Row],[Customer ID]],Table6[Customer_ID],Table6[Store_ID])</f>
        <v>STORE6</v>
      </c>
      <c r="C358" t="str">
        <f>_xlfn.XLOOKUP(Table7[[#This Row],[Customer ID]],Table6[Customer_ID],Table6[Product_ID])</f>
        <v>PROD59</v>
      </c>
      <c r="D358" t="str">
        <f>VLOOKUP(Table7[[#This Row],[Customer ID]],Table4[#All],2,FALSE)</f>
        <v>Melanie Lam</v>
      </c>
      <c r="E358">
        <f>VLOOKUP($A358,Table4[],3,FALSE)</f>
        <v>32</v>
      </c>
      <c r="F358" t="str">
        <f>VLOOKUP($A358,Table4[],4,FALSE)</f>
        <v>Male</v>
      </c>
      <c r="G358" t="str">
        <f>VLOOKUP($A358,Table4[],5,FALSE)</f>
        <v>East Michaelton</v>
      </c>
      <c r="H358" t="str">
        <f>VLOOKUP($A358,Table4[],6,FALSE)</f>
        <v>Kansas</v>
      </c>
      <c r="I358" t="str">
        <f>VLOOKUP($A358,Table4[],8,FALSE)</f>
        <v>Silver</v>
      </c>
      <c r="J358" t="str">
        <f>VLOOKUP($C358,Table1[],2,FALSE)</f>
        <v>Men's Hair Styling Gel</v>
      </c>
      <c r="K358" t="str">
        <f>VLOOKUP($C358,Table1[],3,FALSE)</f>
        <v>Beauty</v>
      </c>
      <c r="L358" t="str">
        <f>VLOOKUP($C358,Table1[],4,FALSE)</f>
        <v>Haircare</v>
      </c>
      <c r="M358" t="str">
        <f>VLOOKUP($C358,Table1[],5,FALSE)</f>
        <v>Cline-Mccarthy</v>
      </c>
      <c r="N358">
        <f>VLOOKUP($C358,Table1[],6,FALSE)</f>
        <v>17.309999999999999</v>
      </c>
      <c r="O358">
        <f>VLOOKUP($C358,Table1[],7,FALSE)</f>
        <v>399</v>
      </c>
      <c r="P358" t="str">
        <f>_xlfn.XLOOKUP($B358,Table3[Store_ID],Table3[Store_Name])</f>
        <v>Benson-Elliott</v>
      </c>
      <c r="Q358" t="str" cm="1">
        <f t="array" ref="Q358">_xlfn.XLOOKUP($B358,Store_Dim!$A$2:$A$21,Table3[Region])</f>
        <v>East</v>
      </c>
      <c r="R358" t="str" cm="1">
        <f t="array" ref="R358">_xlfn.XLOOKUP($B358,Store_Dim!$A$2:$A$21,Table3[Store_Type])</f>
        <v>Online</v>
      </c>
      <c r="S358">
        <f>VLOOKUP(Table7[[#This Row],[Customer ID]],Table6[[Customer_ID]:[Total_Amount]],8,FALSE)</f>
        <v>526.24439999999993</v>
      </c>
    </row>
    <row r="359" spans="1:19" x14ac:dyDescent="0.3">
      <c r="A359" t="s">
        <v>1115</v>
      </c>
      <c r="B359" t="str">
        <f>_xlfn.XLOOKUP(Table7[[#This Row],[Customer ID]],Table6[Customer_ID],Table6[Store_ID])</f>
        <v>STORE2</v>
      </c>
      <c r="C359" t="str">
        <f>_xlfn.XLOOKUP(Table7[[#This Row],[Customer ID]],Table6[Customer_ID],Table6[Product_ID])</f>
        <v>PROD73</v>
      </c>
      <c r="D359" t="str">
        <f>VLOOKUP(Table7[[#This Row],[Customer ID]],Table4[#All],2,FALSE)</f>
        <v>Denise Tate</v>
      </c>
      <c r="E359">
        <f>VLOOKUP($A359,Table4[],3,FALSE)</f>
        <v>34</v>
      </c>
      <c r="F359" t="str">
        <f>VLOOKUP($A359,Table4[],4,FALSE)</f>
        <v>Male</v>
      </c>
      <c r="G359" t="str">
        <f>VLOOKUP($A359,Table4[],5,FALSE)</f>
        <v>Andersonside</v>
      </c>
      <c r="H359" t="str">
        <f>VLOOKUP($A359,Table4[],6,FALSE)</f>
        <v>Arkansas</v>
      </c>
      <c r="I359" t="str">
        <f>VLOOKUP($A359,Table4[],8,FALSE)</f>
        <v>Platinum</v>
      </c>
      <c r="J359" t="str">
        <f>VLOOKUP($C359,Table1[],2,FALSE)</f>
        <v>Shin Guards – Adult</v>
      </c>
      <c r="K359" t="str">
        <f>VLOOKUP($C359,Table1[],3,FALSE)</f>
        <v>Sports</v>
      </c>
      <c r="L359" t="str">
        <f>VLOOKUP($C359,Table1[],4,FALSE)</f>
        <v>Team Sports</v>
      </c>
      <c r="M359" t="str">
        <f>VLOOKUP($C359,Table1[],5,FALSE)</f>
        <v>French Ltd</v>
      </c>
      <c r="N359">
        <f>VLOOKUP($C359,Table1[],6,FALSE)</f>
        <v>107.06</v>
      </c>
      <c r="O359">
        <f>VLOOKUP($C359,Table1[],7,FALSE)</f>
        <v>359</v>
      </c>
      <c r="P359" t="str">
        <f>_xlfn.XLOOKUP($B359,Table3[Store_ID],Table3[Store_Name])</f>
        <v>Black-Horn</v>
      </c>
      <c r="Q359" t="str" cm="1">
        <f t="array" ref="Q359">_xlfn.XLOOKUP($B359,Store_Dim!$A$2:$A$21,Table3[Region])</f>
        <v>South</v>
      </c>
      <c r="R359" t="str" cm="1">
        <f t="array" ref="R359">_xlfn.XLOOKUP($B359,Store_Dim!$A$2:$A$21,Table3[Store_Type])</f>
        <v>Outlet</v>
      </c>
      <c r="S359">
        <f>VLOOKUP(Table7[[#This Row],[Customer ID]],Table6[[Customer_ID]:[Total_Amount]],8,FALSE)</f>
        <v>1307.5999999999999</v>
      </c>
    </row>
    <row r="360" spans="1:19" x14ac:dyDescent="0.3">
      <c r="A360" t="s">
        <v>1118</v>
      </c>
      <c r="B360" t="str">
        <f>_xlfn.XLOOKUP(Table7[[#This Row],[Customer ID]],Table6[Customer_ID],Table6[Store_ID])</f>
        <v>STORE14</v>
      </c>
      <c r="C360" t="str">
        <f>_xlfn.XLOOKUP(Table7[[#This Row],[Customer ID]],Table6[Customer_ID],Table6[Product_ID])</f>
        <v>PROD76</v>
      </c>
      <c r="D360" t="str">
        <f>VLOOKUP(Table7[[#This Row],[Customer ID]],Table4[#All],2,FALSE)</f>
        <v>Natalie Johnson</v>
      </c>
      <c r="E360">
        <f>VLOOKUP($A360,Table4[],3,FALSE)</f>
        <v>64</v>
      </c>
      <c r="F360" t="str">
        <f>VLOOKUP($A360,Table4[],4,FALSE)</f>
        <v>Male</v>
      </c>
      <c r="G360" t="str">
        <f>VLOOKUP($A360,Table4[],5,FALSE)</f>
        <v>New Jessechester</v>
      </c>
      <c r="H360" t="str">
        <f>VLOOKUP($A360,Table4[],6,FALSE)</f>
        <v>Indiana</v>
      </c>
      <c r="I360" t="str">
        <f>VLOOKUP($A360,Table4[],8,FALSE)</f>
        <v>Platinum</v>
      </c>
      <c r="J360" t="str">
        <f>VLOOKUP($C360,Table1[],2,FALSE)</f>
        <v>Wireless Mouse</v>
      </c>
      <c r="K360" t="str">
        <f>VLOOKUP($C360,Table1[],3,FALSE)</f>
        <v>Electronics</v>
      </c>
      <c r="L360" t="str">
        <f>VLOOKUP($C360,Table1[],4,FALSE)</f>
        <v>Computer</v>
      </c>
      <c r="M360" t="str">
        <f>VLOOKUP($C360,Table1[],5,FALSE)</f>
        <v>Larson Ltd</v>
      </c>
      <c r="N360">
        <f>VLOOKUP($C360,Table1[],6,FALSE)</f>
        <v>392.89</v>
      </c>
      <c r="O360">
        <f>VLOOKUP($C360,Table1[],7,FALSE)</f>
        <v>320</v>
      </c>
      <c r="P360" t="str">
        <f>_xlfn.XLOOKUP($B360,Table3[Store_ID],Table3[Store_Name])</f>
        <v>Mcdonald Inc</v>
      </c>
      <c r="Q360" t="str" cm="1">
        <f t="array" ref="Q360">_xlfn.XLOOKUP($B360,Store_Dim!$A$2:$A$21,Table3[Region])</f>
        <v>South</v>
      </c>
      <c r="R360" t="str" cm="1">
        <f t="array" ref="R360">_xlfn.XLOOKUP($B360,Store_Dim!$A$2:$A$21,Table3[Store_Type])</f>
        <v>Outlet</v>
      </c>
      <c r="S360">
        <f>VLOOKUP(Table7[[#This Row],[Customer ID]],Table6[[Customer_ID]:[Total_Amount]],8,FALSE)</f>
        <v>611.20500000000004</v>
      </c>
    </row>
    <row r="361" spans="1:19" x14ac:dyDescent="0.3">
      <c r="A361" t="s">
        <v>1121</v>
      </c>
      <c r="B361" t="str">
        <f>_xlfn.XLOOKUP(Table7[[#This Row],[Customer ID]],Table6[Customer_ID],Table6[Store_ID])</f>
        <v>STORE7</v>
      </c>
      <c r="C361" t="str">
        <f>_xlfn.XLOOKUP(Table7[[#This Row],[Customer ID]],Table6[Customer_ID],Table6[Product_ID])</f>
        <v>PROD95</v>
      </c>
      <c r="D361" t="str">
        <f>VLOOKUP(Table7[[#This Row],[Customer ID]],Table4[#All],2,FALSE)</f>
        <v>Joshua Smith Dvm</v>
      </c>
      <c r="E361">
        <f>VLOOKUP($A361,Table4[],3,FALSE)</f>
        <v>60</v>
      </c>
      <c r="F361" t="str">
        <f>VLOOKUP($A361,Table4[],4,FALSE)</f>
        <v>Male</v>
      </c>
      <c r="G361" t="str">
        <f>VLOOKUP($A361,Table4[],5,FALSE)</f>
        <v>Melvinton</v>
      </c>
      <c r="H361" t="str">
        <f>VLOOKUP($A361,Table4[],6,FALSE)</f>
        <v>Alaska</v>
      </c>
      <c r="I361" t="str">
        <f>VLOOKUP($A361,Table4[],8,FALSE)</f>
        <v>Gold</v>
      </c>
      <c r="J361" t="str">
        <f>VLOOKUP($C361,Table1[],2,FALSE)</f>
        <v>Sports Stopwatch Basic</v>
      </c>
      <c r="K361" t="str">
        <f>VLOOKUP($C361,Table1[],3,FALSE)</f>
        <v>Sports</v>
      </c>
      <c r="L361" t="str">
        <f>VLOOKUP($C361,Table1[],4,FALSE)</f>
        <v>Accessories</v>
      </c>
      <c r="M361" t="str">
        <f>VLOOKUP($C361,Table1[],5,FALSE)</f>
        <v>Wilson Group</v>
      </c>
      <c r="N361">
        <f>VLOOKUP($C361,Table1[],6,FALSE)</f>
        <v>60.65</v>
      </c>
      <c r="O361">
        <f>VLOOKUP($C361,Table1[],7,FALSE)</f>
        <v>75</v>
      </c>
      <c r="P361" t="str">
        <f>_xlfn.XLOOKUP($B361,Table3[Store_ID],Table3[Store_Name])</f>
        <v>Martinez-Mullins</v>
      </c>
      <c r="Q361" t="str" cm="1">
        <f t="array" ref="Q361">_xlfn.XLOOKUP($B361,Store_Dim!$A$2:$A$21,Table3[Region])</f>
        <v>South</v>
      </c>
      <c r="R361" t="str" cm="1">
        <f t="array" ref="R361">_xlfn.XLOOKUP($B361,Store_Dim!$A$2:$A$21,Table3[Store_Type])</f>
        <v>Online</v>
      </c>
      <c r="S361">
        <f>VLOOKUP(Table7[[#This Row],[Customer ID]],Table6[[Customer_ID]:[Total_Amount]],8,FALSE)</f>
        <v>798.21719999999993</v>
      </c>
    </row>
    <row r="362" spans="1:19" x14ac:dyDescent="0.3">
      <c r="A362" t="s">
        <v>1123</v>
      </c>
      <c r="B362" t="str">
        <f>_xlfn.XLOOKUP(Table7[[#This Row],[Customer ID]],Table6[Customer_ID],Table6[Store_ID])</f>
        <v>STORE12</v>
      </c>
      <c r="C362" t="str">
        <f>_xlfn.XLOOKUP(Table7[[#This Row],[Customer ID]],Table6[Customer_ID],Table6[Product_ID])</f>
        <v>PROD91</v>
      </c>
      <c r="D362" t="str">
        <f>VLOOKUP(Table7[[#This Row],[Customer ID]],Table4[#All],2,FALSE)</f>
        <v>Elizabeth Smith</v>
      </c>
      <c r="E362">
        <f>VLOOKUP($A362,Table4[],3,FALSE)</f>
        <v>23</v>
      </c>
      <c r="F362" t="str">
        <f>VLOOKUP($A362,Table4[],4,FALSE)</f>
        <v>Male</v>
      </c>
      <c r="G362" t="str">
        <f>VLOOKUP($A362,Table4[],5,FALSE)</f>
        <v>Murphytown</v>
      </c>
      <c r="H362" t="str">
        <f>VLOOKUP($A362,Table4[],6,FALSE)</f>
        <v>Ohio</v>
      </c>
      <c r="I362" t="str">
        <f>VLOOKUP($A362,Table4[],8,FALSE)</f>
        <v>Bronze</v>
      </c>
      <c r="J362" t="str">
        <f>VLOOKUP($C362,Table1[],2,FALSE)</f>
        <v>Women's High Heels</v>
      </c>
      <c r="K362" t="str">
        <f>VLOOKUP($C362,Table1[],3,FALSE)</f>
        <v>Clothing</v>
      </c>
      <c r="L362" t="str">
        <f>VLOOKUP($C362,Table1[],4,FALSE)</f>
        <v>Footwear</v>
      </c>
      <c r="M362" t="str">
        <f>VLOOKUP($C362,Table1[],5,FALSE)</f>
        <v>Smith-Charles</v>
      </c>
      <c r="N362">
        <f>VLOOKUP($C362,Table1[],6,FALSE)</f>
        <v>438.25</v>
      </c>
      <c r="O362">
        <f>VLOOKUP($C362,Table1[],7,FALSE)</f>
        <v>496</v>
      </c>
      <c r="P362" t="str">
        <f>_xlfn.XLOOKUP($B362,Table3[Store_ID],Table3[Store_Name])</f>
        <v>Thomas, Bridges and Harris</v>
      </c>
      <c r="Q362" t="str" cm="1">
        <f t="array" ref="Q362">_xlfn.XLOOKUP($B362,Store_Dim!$A$2:$A$21,Table3[Region])</f>
        <v>North</v>
      </c>
      <c r="R362" t="str" cm="1">
        <f t="array" ref="R362">_xlfn.XLOOKUP($B362,Store_Dim!$A$2:$A$21,Table3[Store_Type])</f>
        <v>Online</v>
      </c>
      <c r="S362">
        <f>VLOOKUP(Table7[[#This Row],[Customer ID]],Table6[[Customer_ID]:[Total_Amount]],8,FALSE)</f>
        <v>363.09980000000002</v>
      </c>
    </row>
    <row r="363" spans="1:19" x14ac:dyDescent="0.3">
      <c r="A363" t="s">
        <v>1126</v>
      </c>
      <c r="B363" t="str">
        <f>_xlfn.XLOOKUP(Table7[[#This Row],[Customer ID]],Table6[Customer_ID],Table6[Store_ID])</f>
        <v>STORE11</v>
      </c>
      <c r="C363" t="str">
        <f>_xlfn.XLOOKUP(Table7[[#This Row],[Customer ID]],Table6[Customer_ID],Table6[Product_ID])</f>
        <v>PROD65</v>
      </c>
      <c r="D363" t="str">
        <f>VLOOKUP(Table7[[#This Row],[Customer ID]],Table4[#All],2,FALSE)</f>
        <v>Chloe Aguilar</v>
      </c>
      <c r="E363">
        <f>VLOOKUP($A363,Table4[],3,FALSE)</f>
        <v>58</v>
      </c>
      <c r="F363" t="str">
        <f>VLOOKUP($A363,Table4[],4,FALSE)</f>
        <v>Male</v>
      </c>
      <c r="G363" t="str">
        <f>VLOOKUP($A363,Table4[],5,FALSE)</f>
        <v>Lake Johnside</v>
      </c>
      <c r="H363" t="str">
        <f>VLOOKUP($A363,Table4[],6,FALSE)</f>
        <v>Arizona</v>
      </c>
      <c r="I363" t="str">
        <f>VLOOKUP($A363,Table4[],8,FALSE)</f>
        <v>Bronze</v>
      </c>
      <c r="J363" t="str">
        <f>VLOOKUP($C363,Table1[],2,FALSE)</f>
        <v>Adjustable Dumbbells 20kg</v>
      </c>
      <c r="K363" t="str">
        <f>VLOOKUP($C363,Table1[],3,FALSE)</f>
        <v>Sports</v>
      </c>
      <c r="L363" t="str">
        <f>VLOOKUP($C363,Table1[],4,FALSE)</f>
        <v>Fitness</v>
      </c>
      <c r="M363" t="str">
        <f>VLOOKUP($C363,Table1[],5,FALSE)</f>
        <v>Montgomery, Benton and Miller</v>
      </c>
      <c r="N363">
        <f>VLOOKUP($C363,Table1[],6,FALSE)</f>
        <v>240.63</v>
      </c>
      <c r="O363">
        <f>VLOOKUP($C363,Table1[],7,FALSE)</f>
        <v>423</v>
      </c>
      <c r="P363" t="str">
        <f>_xlfn.XLOOKUP($B363,Table3[Store_ID],Table3[Store_Name])</f>
        <v>Aguirre-Keller</v>
      </c>
      <c r="Q363" t="str" cm="1">
        <f t="array" ref="Q363">_xlfn.XLOOKUP($B363,Store_Dim!$A$2:$A$21,Table3[Region])</f>
        <v>South</v>
      </c>
      <c r="R363" t="str" cm="1">
        <f t="array" ref="R363">_xlfn.XLOOKUP($B363,Store_Dim!$A$2:$A$21,Table3[Store_Type])</f>
        <v>Online</v>
      </c>
      <c r="S363">
        <f>VLOOKUP(Table7[[#This Row],[Customer ID]],Table6[[Customer_ID]:[Total_Amount]],8,FALSE)</f>
        <v>1365.663</v>
      </c>
    </row>
    <row r="364" spans="1:19" x14ac:dyDescent="0.3">
      <c r="A364" t="s">
        <v>1129</v>
      </c>
      <c r="B364" t="str">
        <f>_xlfn.XLOOKUP(Table7[[#This Row],[Customer ID]],Table6[Customer_ID],Table6[Store_ID])</f>
        <v>STORE16</v>
      </c>
      <c r="C364" t="str">
        <f>_xlfn.XLOOKUP(Table7[[#This Row],[Customer ID]],Table6[Customer_ID],Table6[Product_ID])</f>
        <v>PROD45</v>
      </c>
      <c r="D364" t="str">
        <f>VLOOKUP(Table7[[#This Row],[Customer ID]],Table4[#All],2,FALSE)</f>
        <v>Brandon Mcbride</v>
      </c>
      <c r="E364">
        <f>VLOOKUP($A364,Table4[],3,FALSE)</f>
        <v>63</v>
      </c>
      <c r="F364" t="str">
        <f>VLOOKUP($A364,Table4[],4,FALSE)</f>
        <v>Female</v>
      </c>
      <c r="G364" t="str">
        <f>VLOOKUP($A364,Table4[],5,FALSE)</f>
        <v>Kellyside</v>
      </c>
      <c r="H364" t="str">
        <f>VLOOKUP($A364,Table4[],6,FALSE)</f>
        <v>Alaska</v>
      </c>
      <c r="I364" t="str">
        <f>VLOOKUP($A364,Table4[],8,FALSE)</f>
        <v>Platinum</v>
      </c>
      <c r="J364" t="str">
        <f>VLOOKUP($C364,Table1[],2,FALSE)</f>
        <v>High-Grip Football</v>
      </c>
      <c r="K364" t="str">
        <f>VLOOKUP($C364,Table1[],3,FALSE)</f>
        <v>Sports</v>
      </c>
      <c r="L364" t="str">
        <f>VLOOKUP($C364,Table1[],4,FALSE)</f>
        <v>Team Sports</v>
      </c>
      <c r="M364" t="str">
        <f>VLOOKUP($C364,Table1[],5,FALSE)</f>
        <v>Bridges, Banks and Cummings</v>
      </c>
      <c r="N364">
        <f>VLOOKUP($C364,Table1[],6,FALSE)</f>
        <v>318.91000000000003</v>
      </c>
      <c r="O364">
        <f>VLOOKUP($C364,Table1[],7,FALSE)</f>
        <v>114</v>
      </c>
      <c r="P364" t="str">
        <f>_xlfn.XLOOKUP($B364,Table3[Store_ID],Table3[Store_Name])</f>
        <v>Frederick-Wright</v>
      </c>
      <c r="Q364" t="str" cm="1">
        <f t="array" ref="Q364">_xlfn.XLOOKUP($B364,Store_Dim!$A$2:$A$21,Table3[Region])</f>
        <v>West</v>
      </c>
      <c r="R364" t="str" cm="1">
        <f t="array" ref="R364">_xlfn.XLOOKUP($B364,Store_Dim!$A$2:$A$21,Table3[Store_Type])</f>
        <v>Flagship</v>
      </c>
      <c r="S364">
        <f>VLOOKUP(Table7[[#This Row],[Customer ID]],Table6[[Customer_ID]:[Total_Amount]],8,FALSE)</f>
        <v>691.02719999999999</v>
      </c>
    </row>
    <row r="365" spans="1:19" x14ac:dyDescent="0.3">
      <c r="A365" t="s">
        <v>1132</v>
      </c>
      <c r="B365" t="str">
        <f>_xlfn.XLOOKUP(Table7[[#This Row],[Customer ID]],Table6[Customer_ID],Table6[Store_ID])</f>
        <v>STORE6</v>
      </c>
      <c r="C365" t="str">
        <f>_xlfn.XLOOKUP(Table7[[#This Row],[Customer ID]],Table6[Customer_ID],Table6[Product_ID])</f>
        <v>PROD73</v>
      </c>
      <c r="D365" t="str">
        <f>VLOOKUP(Table7[[#This Row],[Customer ID]],Table4[#All],2,FALSE)</f>
        <v>Mallory Allen</v>
      </c>
      <c r="E365">
        <f>VLOOKUP($A365,Table4[],3,FALSE)</f>
        <v>40</v>
      </c>
      <c r="F365" t="str">
        <f>VLOOKUP($A365,Table4[],4,FALSE)</f>
        <v>Female</v>
      </c>
      <c r="G365" t="str">
        <f>VLOOKUP($A365,Table4[],5,FALSE)</f>
        <v>North Theresa</v>
      </c>
      <c r="H365" t="str">
        <f>VLOOKUP($A365,Table4[],6,FALSE)</f>
        <v>Alabama</v>
      </c>
      <c r="I365" t="str">
        <f>VLOOKUP($A365,Table4[],8,FALSE)</f>
        <v>Platinum</v>
      </c>
      <c r="J365" t="str">
        <f>VLOOKUP($C365,Table1[],2,FALSE)</f>
        <v>Shin Guards – Adult</v>
      </c>
      <c r="K365" t="str">
        <f>VLOOKUP($C365,Table1[],3,FALSE)</f>
        <v>Sports</v>
      </c>
      <c r="L365" t="str">
        <f>VLOOKUP($C365,Table1[],4,FALSE)</f>
        <v>Team Sports</v>
      </c>
      <c r="M365" t="str">
        <f>VLOOKUP($C365,Table1[],5,FALSE)</f>
        <v>French Ltd</v>
      </c>
      <c r="N365">
        <f>VLOOKUP($C365,Table1[],6,FALSE)</f>
        <v>107.06</v>
      </c>
      <c r="O365">
        <f>VLOOKUP($C365,Table1[],7,FALSE)</f>
        <v>359</v>
      </c>
      <c r="P365" t="str">
        <f>_xlfn.XLOOKUP($B365,Table3[Store_ID],Table3[Store_Name])</f>
        <v>Benson-Elliott</v>
      </c>
      <c r="Q365" t="str" cm="1">
        <f t="array" ref="Q365">_xlfn.XLOOKUP($B365,Store_Dim!$A$2:$A$21,Table3[Region])</f>
        <v>East</v>
      </c>
      <c r="R365" t="str" cm="1">
        <f t="array" ref="R365">_xlfn.XLOOKUP($B365,Store_Dim!$A$2:$A$21,Table3[Store_Type])</f>
        <v>Online</v>
      </c>
      <c r="S365">
        <f>VLOOKUP(Table7[[#This Row],[Customer ID]],Table6[[Customer_ID]:[Total_Amount]],8,FALSE)</f>
        <v>3066.6687999999999</v>
      </c>
    </row>
    <row r="366" spans="1:19" x14ac:dyDescent="0.3">
      <c r="A366" t="s">
        <v>1135</v>
      </c>
      <c r="B366" t="str">
        <f>_xlfn.XLOOKUP(Table7[[#This Row],[Customer ID]],Table6[Customer_ID],Table6[Store_ID])</f>
        <v>STORE11</v>
      </c>
      <c r="C366" t="str">
        <f>_xlfn.XLOOKUP(Table7[[#This Row],[Customer ID]],Table6[Customer_ID],Table6[Product_ID])</f>
        <v>PROD89</v>
      </c>
      <c r="D366" t="str">
        <f>VLOOKUP(Table7[[#This Row],[Customer ID]],Table4[#All],2,FALSE)</f>
        <v>Melinda Johnson</v>
      </c>
      <c r="E366">
        <f>VLOOKUP($A366,Table4[],3,FALSE)</f>
        <v>51</v>
      </c>
      <c r="F366" t="str">
        <f>VLOOKUP($A366,Table4[],4,FALSE)</f>
        <v>Male</v>
      </c>
      <c r="G366" t="str">
        <f>VLOOKUP($A366,Table4[],5,FALSE)</f>
        <v>Kaufmanfurt</v>
      </c>
      <c r="H366" t="str">
        <f>VLOOKUP($A366,Table4[],6,FALSE)</f>
        <v>Ohio</v>
      </c>
      <c r="I366" t="str">
        <f>VLOOKUP($A366,Table4[],8,FALSE)</f>
        <v>Bronze</v>
      </c>
      <c r="J366" t="str">
        <f>VLOOKUP($C366,Table1[],2,FALSE)</f>
        <v>Face Foundation Kit</v>
      </c>
      <c r="K366" t="str">
        <f>VLOOKUP($C366,Table1[],3,FALSE)</f>
        <v>Beauty</v>
      </c>
      <c r="L366" t="str">
        <f>VLOOKUP($C366,Table1[],4,FALSE)</f>
        <v>Makeup</v>
      </c>
      <c r="M366" t="str">
        <f>VLOOKUP($C366,Table1[],5,FALSE)</f>
        <v>Taylor-Elliott</v>
      </c>
      <c r="N366">
        <f>VLOOKUP($C366,Table1[],6,FALSE)</f>
        <v>183.04</v>
      </c>
      <c r="O366">
        <f>VLOOKUP($C366,Table1[],7,FALSE)</f>
        <v>457</v>
      </c>
      <c r="P366" t="str">
        <f>_xlfn.XLOOKUP($B366,Table3[Store_ID],Table3[Store_Name])</f>
        <v>Aguirre-Keller</v>
      </c>
      <c r="Q366" t="str" cm="1">
        <f t="array" ref="Q366">_xlfn.XLOOKUP($B366,Store_Dim!$A$2:$A$21,Table3[Region])</f>
        <v>South</v>
      </c>
      <c r="R366" t="str" cm="1">
        <f t="array" ref="R366">_xlfn.XLOOKUP($B366,Store_Dim!$A$2:$A$21,Table3[Store_Type])</f>
        <v>Online</v>
      </c>
      <c r="S366">
        <f>VLOOKUP(Table7[[#This Row],[Customer ID]],Table6[[Customer_ID]:[Total_Amount]],8,FALSE)</f>
        <v>767.17410000000007</v>
      </c>
    </row>
    <row r="367" spans="1:19" x14ac:dyDescent="0.3">
      <c r="A367" t="s">
        <v>1138</v>
      </c>
      <c r="B367" t="str">
        <f>_xlfn.XLOOKUP(Table7[[#This Row],[Customer ID]],Table6[Customer_ID],Table6[Store_ID])</f>
        <v>STORE8</v>
      </c>
      <c r="C367" t="str">
        <f>_xlfn.XLOOKUP(Table7[[#This Row],[Customer ID]],Table6[Customer_ID],Table6[Product_ID])</f>
        <v>PROD12</v>
      </c>
      <c r="D367" t="str">
        <f>VLOOKUP(Table7[[#This Row],[Customer ID]],Table4[#All],2,FALSE)</f>
        <v>Miranda King</v>
      </c>
      <c r="E367">
        <f>VLOOKUP($A367,Table4[],3,FALSE)</f>
        <v>34</v>
      </c>
      <c r="F367" t="str">
        <f>VLOOKUP($A367,Table4[],4,FALSE)</f>
        <v>Female</v>
      </c>
      <c r="G367" t="str">
        <f>VLOOKUP($A367,Table4[],5,FALSE)</f>
        <v>West Mathew</v>
      </c>
      <c r="H367" t="str">
        <f>VLOOKUP($A367,Table4[],6,FALSE)</f>
        <v>New York</v>
      </c>
      <c r="I367" t="str">
        <f>VLOOKUP($A367,Table4[],8,FALSE)</f>
        <v>Platinum</v>
      </c>
      <c r="J367" t="str">
        <f>VLOOKUP($C367,Table1[],2,FALSE)</f>
        <v>Hair Strengthening Shampoo</v>
      </c>
      <c r="K367" t="str">
        <f>VLOOKUP($C367,Table1[],3,FALSE)</f>
        <v>Beauty</v>
      </c>
      <c r="L367" t="str">
        <f>VLOOKUP($C367,Table1[],4,FALSE)</f>
        <v>Haircare</v>
      </c>
      <c r="M367" t="str">
        <f>VLOOKUP($C367,Table1[],5,FALSE)</f>
        <v>Rice LLC</v>
      </c>
      <c r="N367">
        <f>VLOOKUP($C367,Table1[],6,FALSE)</f>
        <v>115.82</v>
      </c>
      <c r="O367">
        <f>VLOOKUP($C367,Table1[],7,FALSE)</f>
        <v>460</v>
      </c>
      <c r="P367" t="str">
        <f>_xlfn.XLOOKUP($B367,Table3[Store_ID],Table3[Store_Name])</f>
        <v>Bean, Jones and Park</v>
      </c>
      <c r="Q367" t="str" cm="1">
        <f t="array" ref="Q367">_xlfn.XLOOKUP($B367,Store_Dim!$A$2:$A$21,Table3[Region])</f>
        <v>West</v>
      </c>
      <c r="R367" t="str" cm="1">
        <f t="array" ref="R367">_xlfn.XLOOKUP($B367,Store_Dim!$A$2:$A$21,Table3[Store_Type])</f>
        <v>Online</v>
      </c>
      <c r="S367">
        <f>VLOOKUP(Table7[[#This Row],[Customer ID]],Table6[[Customer_ID]:[Total_Amount]],8,FALSE)</f>
        <v>661.73760000000004</v>
      </c>
    </row>
    <row r="368" spans="1:19" x14ac:dyDescent="0.3">
      <c r="A368" t="s">
        <v>1141</v>
      </c>
      <c r="B368" t="str">
        <f>_xlfn.XLOOKUP(Table7[[#This Row],[Customer ID]],Table6[Customer_ID],Table6[Store_ID])</f>
        <v>STORE5</v>
      </c>
      <c r="C368" t="str">
        <f>_xlfn.XLOOKUP(Table7[[#This Row],[Customer ID]],Table6[Customer_ID],Table6[Product_ID])</f>
        <v>PROD33</v>
      </c>
      <c r="D368" t="str">
        <f>VLOOKUP(Table7[[#This Row],[Customer ID]],Table4[#All],2,FALSE)</f>
        <v>Gregory Allen</v>
      </c>
      <c r="E368">
        <f>VLOOKUP($A368,Table4[],3,FALSE)</f>
        <v>20</v>
      </c>
      <c r="F368" t="str">
        <f>VLOOKUP($A368,Table4[],4,FALSE)</f>
        <v>Female</v>
      </c>
      <c r="G368" t="str">
        <f>VLOOKUP($A368,Table4[],5,FALSE)</f>
        <v>West Bruce</v>
      </c>
      <c r="H368" t="str">
        <f>VLOOKUP($A368,Table4[],6,FALSE)</f>
        <v>Vermont</v>
      </c>
      <c r="I368" t="str">
        <f>VLOOKUP($A368,Table4[],8,FALSE)</f>
        <v>Platinum</v>
      </c>
      <c r="J368" t="str">
        <f>VLOOKUP($C368,Table1[],2,FALSE)</f>
        <v>Modern Wall Clock</v>
      </c>
      <c r="K368" t="str">
        <f>VLOOKUP($C368,Table1[],3,FALSE)</f>
        <v>Home</v>
      </c>
      <c r="L368" t="str">
        <f>VLOOKUP($C368,Table1[],4,FALSE)</f>
        <v>Decor</v>
      </c>
      <c r="M368" t="str">
        <f>VLOOKUP($C368,Table1[],5,FALSE)</f>
        <v>Weiss-Watson</v>
      </c>
      <c r="N368">
        <f>VLOOKUP($C368,Table1[],6,FALSE)</f>
        <v>179.77</v>
      </c>
      <c r="O368">
        <f>VLOOKUP($C368,Table1[],7,FALSE)</f>
        <v>305</v>
      </c>
      <c r="P368" t="str">
        <f>_xlfn.XLOOKUP($B368,Table3[Store_ID],Table3[Store_Name])</f>
        <v>Gray Ltd</v>
      </c>
      <c r="Q368" t="str" cm="1">
        <f t="array" ref="Q368">_xlfn.XLOOKUP($B368,Store_Dim!$A$2:$A$21,Table3[Region])</f>
        <v>North</v>
      </c>
      <c r="R368" t="str" cm="1">
        <f t="array" ref="R368">_xlfn.XLOOKUP($B368,Store_Dim!$A$2:$A$21,Table3[Store_Type])</f>
        <v>Outlet</v>
      </c>
      <c r="S368">
        <f>VLOOKUP(Table7[[#This Row],[Customer ID]],Table6[[Customer_ID]:[Total_Amount]],8,FALSE)</f>
        <v>658.46</v>
      </c>
    </row>
    <row r="369" spans="1:19" x14ac:dyDescent="0.3">
      <c r="A369" t="s">
        <v>1144</v>
      </c>
      <c r="B369" t="str">
        <f>_xlfn.XLOOKUP(Table7[[#This Row],[Customer ID]],Table6[Customer_ID],Table6[Store_ID])</f>
        <v>STORE16</v>
      </c>
      <c r="C369" t="str">
        <f>_xlfn.XLOOKUP(Table7[[#This Row],[Customer ID]],Table6[Customer_ID],Table6[Product_ID])</f>
        <v>PROD37</v>
      </c>
      <c r="D369" t="str">
        <f>VLOOKUP(Table7[[#This Row],[Customer ID]],Table4[#All],2,FALSE)</f>
        <v>James Holloway Jr.</v>
      </c>
      <c r="E369">
        <f>VLOOKUP($A369,Table4[],3,FALSE)</f>
        <v>45</v>
      </c>
      <c r="F369" t="str">
        <f>VLOOKUP($A369,Table4[],4,FALSE)</f>
        <v>Male</v>
      </c>
      <c r="G369" t="str">
        <f>VLOOKUP($A369,Table4[],5,FALSE)</f>
        <v>Millston</v>
      </c>
      <c r="H369" t="str">
        <f>VLOOKUP($A369,Table4[],6,FALSE)</f>
        <v>Indiana</v>
      </c>
      <c r="I369" t="str">
        <f>VLOOKUP($A369,Table4[],8,FALSE)</f>
        <v>Silver</v>
      </c>
      <c r="J369" t="str">
        <f>VLOOKUP($C369,Table1[],2,FALSE)</f>
        <v>Men's Casual Sneakers</v>
      </c>
      <c r="K369" t="str">
        <f>VLOOKUP($C369,Table1[],3,FALSE)</f>
        <v>Clothing</v>
      </c>
      <c r="L369" t="str">
        <f>VLOOKUP($C369,Table1[],4,FALSE)</f>
        <v>Footwear</v>
      </c>
      <c r="M369" t="str">
        <f>VLOOKUP($C369,Table1[],5,FALSE)</f>
        <v>Hogan-Lee</v>
      </c>
      <c r="N369">
        <f>VLOOKUP($C369,Table1[],6,FALSE)</f>
        <v>353.47</v>
      </c>
      <c r="O369">
        <f>VLOOKUP($C369,Table1[],7,FALSE)</f>
        <v>214</v>
      </c>
      <c r="P369" t="str">
        <f>_xlfn.XLOOKUP($B369,Table3[Store_ID],Table3[Store_Name])</f>
        <v>Frederick-Wright</v>
      </c>
      <c r="Q369" t="str" cm="1">
        <f t="array" ref="Q369">_xlfn.XLOOKUP($B369,Store_Dim!$A$2:$A$21,Table3[Region])</f>
        <v>West</v>
      </c>
      <c r="R369" t="str" cm="1">
        <f t="array" ref="R369">_xlfn.XLOOKUP($B369,Store_Dim!$A$2:$A$21,Table3[Store_Type])</f>
        <v>Flagship</v>
      </c>
      <c r="S369">
        <f>VLOOKUP(Table7[[#This Row],[Customer ID]],Table6[[Customer_ID]:[Total_Amount]],8,FALSE)</f>
        <v>610.11059999999998</v>
      </c>
    </row>
    <row r="370" spans="1:19" x14ac:dyDescent="0.3">
      <c r="A370" t="s">
        <v>1147</v>
      </c>
      <c r="B370" t="str">
        <f>_xlfn.XLOOKUP(Table7[[#This Row],[Customer ID]],Table6[Customer_ID],Table6[Store_ID])</f>
        <v>STORE8</v>
      </c>
      <c r="C370" t="str">
        <f>_xlfn.XLOOKUP(Table7[[#This Row],[Customer ID]],Table6[Customer_ID],Table6[Product_ID])</f>
        <v>PROD67</v>
      </c>
      <c r="D370" t="str">
        <f>VLOOKUP(Table7[[#This Row],[Customer ID]],Table4[#All],2,FALSE)</f>
        <v>Michael Garner</v>
      </c>
      <c r="E370">
        <f>VLOOKUP($A370,Table4[],3,FALSE)</f>
        <v>21</v>
      </c>
      <c r="F370" t="str">
        <f>VLOOKUP($A370,Table4[],4,FALSE)</f>
        <v>Female</v>
      </c>
      <c r="G370" t="str">
        <f>VLOOKUP($A370,Table4[],5,FALSE)</f>
        <v>Port Crystal</v>
      </c>
      <c r="H370" t="str">
        <f>VLOOKUP($A370,Table4[],6,FALSE)</f>
        <v>New Hampshire</v>
      </c>
      <c r="I370" t="str">
        <f>VLOOKUP($A370,Table4[],8,FALSE)</f>
        <v>Platinum</v>
      </c>
      <c r="J370" t="str">
        <f>VLOOKUP($C370,Table1[],2,FALSE)</f>
        <v>Smart LED Light Strip</v>
      </c>
      <c r="K370" t="str">
        <f>VLOOKUP($C370,Table1[],3,FALSE)</f>
        <v>Electronics</v>
      </c>
      <c r="L370" t="str">
        <f>VLOOKUP($C370,Table1[],4,FALSE)</f>
        <v>Accessories</v>
      </c>
      <c r="M370" t="str">
        <f>VLOOKUP($C370,Table1[],5,FALSE)</f>
        <v>Flores-Davis</v>
      </c>
      <c r="N370">
        <f>VLOOKUP($C370,Table1[],6,FALSE)</f>
        <v>349.17</v>
      </c>
      <c r="O370">
        <f>VLOOKUP($C370,Table1[],7,FALSE)</f>
        <v>476</v>
      </c>
      <c r="P370" t="str">
        <f>_xlfn.XLOOKUP($B370,Table3[Store_ID],Table3[Store_Name])</f>
        <v>Bean, Jones and Park</v>
      </c>
      <c r="Q370" t="str" cm="1">
        <f t="array" ref="Q370">_xlfn.XLOOKUP($B370,Store_Dim!$A$2:$A$21,Table3[Region])</f>
        <v>West</v>
      </c>
      <c r="R370" t="str" cm="1">
        <f t="array" ref="R370">_xlfn.XLOOKUP($B370,Store_Dim!$A$2:$A$21,Table3[Store_Type])</f>
        <v>Online</v>
      </c>
      <c r="S370">
        <f>VLOOKUP(Table7[[#This Row],[Customer ID]],Table6[[Customer_ID]:[Total_Amount]],8,FALSE)</f>
        <v>595.97759999999994</v>
      </c>
    </row>
    <row r="371" spans="1:19" x14ac:dyDescent="0.3">
      <c r="A371" t="s">
        <v>1150</v>
      </c>
      <c r="B371" t="str">
        <f>_xlfn.XLOOKUP(Table7[[#This Row],[Customer ID]],Table6[Customer_ID],Table6[Store_ID])</f>
        <v>STORE10</v>
      </c>
      <c r="C371" t="str">
        <f>_xlfn.XLOOKUP(Table7[[#This Row],[Customer ID]],Table6[Customer_ID],Table6[Product_ID])</f>
        <v>PROD72</v>
      </c>
      <c r="D371" t="str">
        <f>VLOOKUP(Table7[[#This Row],[Customer ID]],Table4[#All],2,FALSE)</f>
        <v>Jacqueline Anthony</v>
      </c>
      <c r="E371">
        <f>VLOOKUP($A371,Table4[],3,FALSE)</f>
        <v>28</v>
      </c>
      <c r="F371" t="str">
        <f>VLOOKUP($A371,Table4[],4,FALSE)</f>
        <v>Male</v>
      </c>
      <c r="G371" t="str">
        <f>VLOOKUP($A371,Table4[],5,FALSE)</f>
        <v>Vincentside</v>
      </c>
      <c r="H371" t="str">
        <f>VLOOKUP($A371,Table4[],6,FALSE)</f>
        <v>Ohio</v>
      </c>
      <c r="I371" t="str">
        <f>VLOOKUP($A371,Table4[],8,FALSE)</f>
        <v>Bronze</v>
      </c>
      <c r="J371" t="str">
        <f>VLOOKUP($C371,Table1[],2,FALSE)</f>
        <v>Professional Jump Rope</v>
      </c>
      <c r="K371" t="str">
        <f>VLOOKUP($C371,Table1[],3,FALSE)</f>
        <v>Sports</v>
      </c>
      <c r="L371" t="str">
        <f>VLOOKUP($C371,Table1[],4,FALSE)</f>
        <v>Fitness</v>
      </c>
      <c r="M371" t="str">
        <f>VLOOKUP($C371,Table1[],5,FALSE)</f>
        <v>Davis PLC</v>
      </c>
      <c r="N371">
        <f>VLOOKUP($C371,Table1[],6,FALSE)</f>
        <v>477.61</v>
      </c>
      <c r="O371">
        <f>VLOOKUP($C371,Table1[],7,FALSE)</f>
        <v>300</v>
      </c>
      <c r="P371" t="str">
        <f>_xlfn.XLOOKUP($B371,Table3[Store_ID],Table3[Store_Name])</f>
        <v>Hill, Wagner and Ballard</v>
      </c>
      <c r="Q371" t="str" cm="1">
        <f t="array" ref="Q371">_xlfn.XLOOKUP($B371,Store_Dim!$A$2:$A$21,Table3[Region])</f>
        <v>East</v>
      </c>
      <c r="R371" t="str" cm="1">
        <f t="array" ref="R371">_xlfn.XLOOKUP($B371,Store_Dim!$A$2:$A$21,Table3[Store_Type])</f>
        <v>Online</v>
      </c>
      <c r="S371">
        <f>VLOOKUP(Table7[[#This Row],[Customer ID]],Table6[[Customer_ID]:[Total_Amount]],8,FALSE)</f>
        <v>204.93440000000001</v>
      </c>
    </row>
    <row r="372" spans="1:19" x14ac:dyDescent="0.3">
      <c r="A372" t="s">
        <v>1153</v>
      </c>
      <c r="B372" t="str">
        <f>_xlfn.XLOOKUP(Table7[[#This Row],[Customer ID]],Table6[Customer_ID],Table6[Store_ID])</f>
        <v>STORE7</v>
      </c>
      <c r="C372" t="str">
        <f>_xlfn.XLOOKUP(Table7[[#This Row],[Customer ID]],Table6[Customer_ID],Table6[Product_ID])</f>
        <v>PROD72</v>
      </c>
      <c r="D372" t="str">
        <f>VLOOKUP(Table7[[#This Row],[Customer ID]],Table4[#All],2,FALSE)</f>
        <v>James Orozco</v>
      </c>
      <c r="E372">
        <f>VLOOKUP($A372,Table4[],3,FALSE)</f>
        <v>37</v>
      </c>
      <c r="F372" t="str">
        <f>VLOOKUP($A372,Table4[],4,FALSE)</f>
        <v>Female</v>
      </c>
      <c r="G372" t="str">
        <f>VLOOKUP($A372,Table4[],5,FALSE)</f>
        <v>Simpsonfort</v>
      </c>
      <c r="H372" t="str">
        <f>VLOOKUP($A372,Table4[],6,FALSE)</f>
        <v>Maine</v>
      </c>
      <c r="I372" t="str">
        <f>VLOOKUP($A372,Table4[],8,FALSE)</f>
        <v>Gold</v>
      </c>
      <c r="J372" t="str">
        <f>VLOOKUP($C372,Table1[],2,FALSE)</f>
        <v>Professional Jump Rope</v>
      </c>
      <c r="K372" t="str">
        <f>VLOOKUP($C372,Table1[],3,FALSE)</f>
        <v>Sports</v>
      </c>
      <c r="L372" t="str">
        <f>VLOOKUP($C372,Table1[],4,FALSE)</f>
        <v>Fitness</v>
      </c>
      <c r="M372" t="str">
        <f>VLOOKUP($C372,Table1[],5,FALSE)</f>
        <v>Davis PLC</v>
      </c>
      <c r="N372">
        <f>VLOOKUP($C372,Table1[],6,FALSE)</f>
        <v>477.61</v>
      </c>
      <c r="O372">
        <f>VLOOKUP($C372,Table1[],7,FALSE)</f>
        <v>300</v>
      </c>
      <c r="P372" t="str">
        <f>_xlfn.XLOOKUP($B372,Table3[Store_ID],Table3[Store_Name])</f>
        <v>Martinez-Mullins</v>
      </c>
      <c r="Q372" t="str" cm="1">
        <f t="array" ref="Q372">_xlfn.XLOOKUP($B372,Store_Dim!$A$2:$A$21,Table3[Region])</f>
        <v>South</v>
      </c>
      <c r="R372" t="str" cm="1">
        <f t="array" ref="R372">_xlfn.XLOOKUP($B372,Store_Dim!$A$2:$A$21,Table3[Store_Type])</f>
        <v>Online</v>
      </c>
      <c r="S372">
        <f>VLOOKUP(Table7[[#This Row],[Customer ID]],Table6[[Customer_ID]:[Total_Amount]],8,FALSE)</f>
        <v>604.41920000000005</v>
      </c>
    </row>
    <row r="373" spans="1:19" x14ac:dyDescent="0.3">
      <c r="A373" t="s">
        <v>1159</v>
      </c>
      <c r="B373" t="str">
        <f>_xlfn.XLOOKUP(Table7[[#This Row],[Customer ID]],Table6[Customer_ID],Table6[Store_ID])</f>
        <v>STORE13</v>
      </c>
      <c r="C373" t="str">
        <f>_xlfn.XLOOKUP(Table7[[#This Row],[Customer ID]],Table6[Customer_ID],Table6[Product_ID])</f>
        <v>PROD28</v>
      </c>
      <c r="D373" t="str">
        <f>VLOOKUP(Table7[[#This Row],[Customer ID]],Table4[#All],2,FALSE)</f>
        <v>Joshua Bell</v>
      </c>
      <c r="E373">
        <f>VLOOKUP($A373,Table4[],3,FALSE)</f>
        <v>26</v>
      </c>
      <c r="F373" t="str">
        <f>VLOOKUP($A373,Table4[],4,FALSE)</f>
        <v>Male</v>
      </c>
      <c r="G373" t="str">
        <f>VLOOKUP($A373,Table4[],5,FALSE)</f>
        <v>Port Richardshire</v>
      </c>
      <c r="H373" t="str">
        <f>VLOOKUP($A373,Table4[],6,FALSE)</f>
        <v>Minnesota</v>
      </c>
      <c r="I373" t="str">
        <f>VLOOKUP($A373,Table4[],8,FALSE)</f>
        <v>Platinum</v>
      </c>
      <c r="J373" t="str">
        <f>VLOOKUP($C373,Table1[],2,FALSE)</f>
        <v>Sports Stopwatch Timer</v>
      </c>
      <c r="K373" t="str">
        <f>VLOOKUP($C373,Table1[],3,FALSE)</f>
        <v>Sports</v>
      </c>
      <c r="L373" t="str">
        <f>VLOOKUP($C373,Table1[],4,FALSE)</f>
        <v>Accessories</v>
      </c>
      <c r="M373" t="str">
        <f>VLOOKUP($C373,Table1[],5,FALSE)</f>
        <v>Burns-Hansen</v>
      </c>
      <c r="N373">
        <f>VLOOKUP($C373,Table1[],6,FALSE)</f>
        <v>38.76</v>
      </c>
      <c r="O373">
        <f>VLOOKUP($C373,Table1[],7,FALSE)</f>
        <v>137</v>
      </c>
      <c r="P373" t="str">
        <f>_xlfn.XLOOKUP($B373,Table3[Store_ID],Table3[Store_Name])</f>
        <v>Gardner, Humphrey and Contreras</v>
      </c>
      <c r="Q373" t="str" cm="1">
        <f t="array" ref="Q373">_xlfn.XLOOKUP($B373,Store_Dim!$A$2:$A$21,Table3[Region])</f>
        <v>East</v>
      </c>
      <c r="R373" t="str" cm="1">
        <f t="array" ref="R373">_xlfn.XLOOKUP($B373,Store_Dim!$A$2:$A$21,Table3[Store_Type])</f>
        <v>Flagship</v>
      </c>
      <c r="S373">
        <f>VLOOKUP(Table7[[#This Row],[Customer ID]],Table6[[Customer_ID]:[Total_Amount]],8,FALSE)</f>
        <v>664.35</v>
      </c>
    </row>
    <row r="374" spans="1:19" x14ac:dyDescent="0.3">
      <c r="A374" t="s">
        <v>1162</v>
      </c>
      <c r="B374" t="str">
        <f>_xlfn.XLOOKUP(Table7[[#This Row],[Customer ID]],Table6[Customer_ID],Table6[Store_ID])</f>
        <v>STORE3</v>
      </c>
      <c r="C374" t="str">
        <f>_xlfn.XLOOKUP(Table7[[#This Row],[Customer ID]],Table6[Customer_ID],Table6[Product_ID])</f>
        <v>PROD85</v>
      </c>
      <c r="D374" t="str">
        <f>VLOOKUP(Table7[[#This Row],[Customer ID]],Table4[#All],2,FALSE)</f>
        <v>Michele Burke</v>
      </c>
      <c r="E374">
        <f>VLOOKUP($A374,Table4[],3,FALSE)</f>
        <v>30</v>
      </c>
      <c r="F374" t="str">
        <f>VLOOKUP($A374,Table4[],4,FALSE)</f>
        <v>Male</v>
      </c>
      <c r="G374" t="str">
        <f>VLOOKUP($A374,Table4[],5,FALSE)</f>
        <v>Chambersberg</v>
      </c>
      <c r="H374" t="str">
        <f>VLOOKUP($A374,Table4[],6,FALSE)</f>
        <v>Connecticut</v>
      </c>
      <c r="I374" t="str">
        <f>VLOOKUP($A374,Table4[],8,FALSE)</f>
        <v>Bronze</v>
      </c>
      <c r="J374" t="str">
        <f>VLOOKUP($C374,Table1[],2,FALSE)</f>
        <v>Women's Beanie Hat</v>
      </c>
      <c r="K374" t="str">
        <f>VLOOKUP($C374,Table1[],3,FALSE)</f>
        <v>Clothing</v>
      </c>
      <c r="L374" t="str">
        <f>VLOOKUP($C374,Table1[],4,FALSE)</f>
        <v>Accessories</v>
      </c>
      <c r="M374" t="str">
        <f>VLOOKUP($C374,Table1[],5,FALSE)</f>
        <v>Richardson-Carrillo</v>
      </c>
      <c r="N374">
        <f>VLOOKUP($C374,Table1[],6,FALSE)</f>
        <v>119.57</v>
      </c>
      <c r="O374">
        <f>VLOOKUP($C374,Table1[],7,FALSE)</f>
        <v>210</v>
      </c>
      <c r="P374" t="str">
        <f>_xlfn.XLOOKUP($B374,Table3[Store_ID],Table3[Store_Name])</f>
        <v>Johnson-Wright</v>
      </c>
      <c r="Q374" t="str" cm="1">
        <f t="array" ref="Q374">_xlfn.XLOOKUP($B374,Store_Dim!$A$2:$A$21,Table3[Region])</f>
        <v>North</v>
      </c>
      <c r="R374" t="str" cm="1">
        <f t="array" ref="R374">_xlfn.XLOOKUP($B374,Store_Dim!$A$2:$A$21,Table3[Store_Type])</f>
        <v>Outlet</v>
      </c>
      <c r="S374">
        <f>VLOOKUP(Table7[[#This Row],[Customer ID]],Table6[[Customer_ID]:[Total_Amount]],8,FALSE)</f>
        <v>3908.2428</v>
      </c>
    </row>
    <row r="375" spans="1:19" x14ac:dyDescent="0.3">
      <c r="A375" t="s">
        <v>1165</v>
      </c>
      <c r="B375" t="str">
        <f>_xlfn.XLOOKUP(Table7[[#This Row],[Customer ID]],Table6[Customer_ID],Table6[Store_ID])</f>
        <v>STORE1</v>
      </c>
      <c r="C375" t="str">
        <f>_xlfn.XLOOKUP(Table7[[#This Row],[Customer ID]],Table6[Customer_ID],Table6[Product_ID])</f>
        <v>PROD92</v>
      </c>
      <c r="D375" t="str">
        <f>VLOOKUP(Table7[[#This Row],[Customer ID]],Table4[#All],2,FALSE)</f>
        <v>Charles Conley</v>
      </c>
      <c r="E375">
        <f>VLOOKUP($A375,Table4[],3,FALSE)</f>
        <v>39</v>
      </c>
      <c r="F375" t="str">
        <f>VLOOKUP($A375,Table4[],4,FALSE)</f>
        <v>Female</v>
      </c>
      <c r="G375" t="str">
        <f>VLOOKUP($A375,Table4[],5,FALSE)</f>
        <v>Nathanshire</v>
      </c>
      <c r="H375" t="str">
        <f>VLOOKUP($A375,Table4[],6,FALSE)</f>
        <v>Maine</v>
      </c>
      <c r="I375" t="str">
        <f>VLOOKUP($A375,Table4[],8,FALSE)</f>
        <v>Gold</v>
      </c>
      <c r="J375" t="str">
        <f>VLOOKUP($C375,Table1[],2,FALSE)</f>
        <v>Microwave Oven</v>
      </c>
      <c r="K375" t="str">
        <f>VLOOKUP($C375,Table1[],3,FALSE)</f>
        <v>Home</v>
      </c>
      <c r="L375" t="str">
        <f>VLOOKUP($C375,Table1[],4,FALSE)</f>
        <v>Appliances</v>
      </c>
      <c r="M375" t="str">
        <f>VLOOKUP($C375,Table1[],5,FALSE)</f>
        <v>Green, Powell and Palmer</v>
      </c>
      <c r="N375">
        <f>VLOOKUP($C375,Table1[],6,FALSE)</f>
        <v>447.43</v>
      </c>
      <c r="O375">
        <f>VLOOKUP($C375,Table1[],7,FALSE)</f>
        <v>191</v>
      </c>
      <c r="P375" t="str">
        <f>_xlfn.XLOOKUP($B375,Table3[Store_ID],Table3[Store_Name])</f>
        <v>Martinez, Adkins and Johnson</v>
      </c>
      <c r="Q375" t="str" cm="1">
        <f t="array" ref="Q375">_xlfn.XLOOKUP($B375,Store_Dim!$A$2:$A$21,Table3[Region])</f>
        <v>North</v>
      </c>
      <c r="R375" t="str" cm="1">
        <f t="array" ref="R375">_xlfn.XLOOKUP($B375,Store_Dim!$A$2:$A$21,Table3[Store_Type])</f>
        <v>Flagship</v>
      </c>
      <c r="S375">
        <f>VLOOKUP(Table7[[#This Row],[Customer ID]],Table6[[Customer_ID]:[Total_Amount]],8,FALSE)</f>
        <v>1217.1579999999999</v>
      </c>
    </row>
    <row r="376" spans="1:19" x14ac:dyDescent="0.3">
      <c r="A376" t="s">
        <v>1168</v>
      </c>
      <c r="B376" t="str">
        <f>_xlfn.XLOOKUP(Table7[[#This Row],[Customer ID]],Table6[Customer_ID],Table6[Store_ID])</f>
        <v>STORE17</v>
      </c>
      <c r="C376" t="str">
        <f>_xlfn.XLOOKUP(Table7[[#This Row],[Customer ID]],Table6[Customer_ID],Table6[Product_ID])</f>
        <v>PROD91</v>
      </c>
      <c r="D376" t="str">
        <f>VLOOKUP(Table7[[#This Row],[Customer ID]],Table4[#All],2,FALSE)</f>
        <v>Frank Stewart</v>
      </c>
      <c r="E376">
        <f>VLOOKUP($A376,Table4[],3,FALSE)</f>
        <v>44</v>
      </c>
      <c r="F376" t="str">
        <f>VLOOKUP($A376,Table4[],4,FALSE)</f>
        <v>Female</v>
      </c>
      <c r="G376" t="str">
        <f>VLOOKUP($A376,Table4[],5,FALSE)</f>
        <v>Fischerborough</v>
      </c>
      <c r="H376" t="str">
        <f>VLOOKUP($A376,Table4[],6,FALSE)</f>
        <v>Delaware</v>
      </c>
      <c r="I376" t="str">
        <f>VLOOKUP($A376,Table4[],8,FALSE)</f>
        <v>Bronze</v>
      </c>
      <c r="J376" t="str">
        <f>VLOOKUP($C376,Table1[],2,FALSE)</f>
        <v>Women's High Heels</v>
      </c>
      <c r="K376" t="str">
        <f>VLOOKUP($C376,Table1[],3,FALSE)</f>
        <v>Clothing</v>
      </c>
      <c r="L376" t="str">
        <f>VLOOKUP($C376,Table1[],4,FALSE)</f>
        <v>Footwear</v>
      </c>
      <c r="M376" t="str">
        <f>VLOOKUP($C376,Table1[],5,FALSE)</f>
        <v>Smith-Charles</v>
      </c>
      <c r="N376">
        <f>VLOOKUP($C376,Table1[],6,FALSE)</f>
        <v>438.25</v>
      </c>
      <c r="O376">
        <f>VLOOKUP($C376,Table1[],7,FALSE)</f>
        <v>496</v>
      </c>
      <c r="P376" t="str">
        <f>_xlfn.XLOOKUP($B376,Table3[Store_ID],Table3[Store_Name])</f>
        <v>Holloway Ltd</v>
      </c>
      <c r="Q376" t="str" cm="1">
        <f t="array" ref="Q376">_xlfn.XLOOKUP($B376,Store_Dim!$A$2:$A$21,Table3[Region])</f>
        <v>North</v>
      </c>
      <c r="R376" t="str" cm="1">
        <f t="array" ref="R376">_xlfn.XLOOKUP($B376,Store_Dim!$A$2:$A$21,Table3[Store_Type])</f>
        <v>Flagship</v>
      </c>
      <c r="S376">
        <f>VLOOKUP(Table7[[#This Row],[Customer ID]],Table6[[Customer_ID]:[Total_Amount]],8,FALSE)</f>
        <v>1010.2344000000001</v>
      </c>
    </row>
    <row r="377" spans="1:19" x14ac:dyDescent="0.3">
      <c r="A377" t="s">
        <v>1171</v>
      </c>
      <c r="B377" t="str">
        <f>_xlfn.XLOOKUP(Table7[[#This Row],[Customer ID]],Table6[Customer_ID],Table6[Store_ID])</f>
        <v>STORE0</v>
      </c>
      <c r="C377" t="str">
        <f>_xlfn.XLOOKUP(Table7[[#This Row],[Customer ID]],Table6[Customer_ID],Table6[Product_ID])</f>
        <v>PROD20</v>
      </c>
      <c r="D377" t="str">
        <f>VLOOKUP(Table7[[#This Row],[Customer ID]],Table4[#All],2,FALSE)</f>
        <v>Tanya Lopez</v>
      </c>
      <c r="E377">
        <f>VLOOKUP($A377,Table4[],3,FALSE)</f>
        <v>34</v>
      </c>
      <c r="F377" t="str">
        <f>VLOOKUP($A377,Table4[],4,FALSE)</f>
        <v>Female</v>
      </c>
      <c r="G377" t="str">
        <f>VLOOKUP($A377,Table4[],5,FALSE)</f>
        <v>West Jeffreyburgh</v>
      </c>
      <c r="H377" t="str">
        <f>VLOOKUP($A377,Table4[],6,FALSE)</f>
        <v>Iowa</v>
      </c>
      <c r="I377" t="str">
        <f>VLOOKUP($A377,Table4[],8,FALSE)</f>
        <v>Gold</v>
      </c>
      <c r="J377" t="str">
        <f>VLOOKUP($C377,Table1[],2,FALSE)</f>
        <v>Outdoor Sports Water Bottle</v>
      </c>
      <c r="K377" t="str">
        <f>VLOOKUP($C377,Table1[],3,FALSE)</f>
        <v>Sports</v>
      </c>
      <c r="L377" t="str">
        <f>VLOOKUP($C377,Table1[],4,FALSE)</f>
        <v>Accessories</v>
      </c>
      <c r="M377" t="str">
        <f>VLOOKUP($C377,Table1[],5,FALSE)</f>
        <v>Soto-Ellis</v>
      </c>
      <c r="N377">
        <f>VLOOKUP($C377,Table1[],6,FALSE)</f>
        <v>131.51</v>
      </c>
      <c r="O377">
        <f>VLOOKUP($C377,Table1[],7,FALSE)</f>
        <v>199</v>
      </c>
      <c r="P377" t="str">
        <f>_xlfn.XLOOKUP($B377,Table3[Store_ID],Table3[Store_Name])</f>
        <v>Rivera-Warner</v>
      </c>
      <c r="Q377" t="str" cm="1">
        <f t="array" ref="Q377">_xlfn.XLOOKUP($B377,Store_Dim!$A$2:$A$21,Table3[Region])</f>
        <v>East</v>
      </c>
      <c r="R377" t="str" cm="1">
        <f t="array" ref="R377">_xlfn.XLOOKUP($B377,Store_Dim!$A$2:$A$21,Table3[Store_Type])</f>
        <v>Flagship</v>
      </c>
      <c r="S377">
        <f>VLOOKUP(Table7[[#This Row],[Customer ID]],Table6[[Customer_ID]:[Total_Amount]],8,FALSE)</f>
        <v>1756.35</v>
      </c>
    </row>
    <row r="378" spans="1:19" x14ac:dyDescent="0.3">
      <c r="A378" t="s">
        <v>1174</v>
      </c>
      <c r="B378" t="str">
        <f>_xlfn.XLOOKUP(Table7[[#This Row],[Customer ID]],Table6[Customer_ID],Table6[Store_ID])</f>
        <v>STORE14</v>
      </c>
      <c r="C378" t="str">
        <f>_xlfn.XLOOKUP(Table7[[#This Row],[Customer ID]],Table6[Customer_ID],Table6[Product_ID])</f>
        <v>PROD98</v>
      </c>
      <c r="D378" t="str">
        <f>VLOOKUP(Table7[[#This Row],[Customer ID]],Table4[#All],2,FALSE)</f>
        <v>Shelley Ponce</v>
      </c>
      <c r="E378">
        <f>VLOOKUP($A378,Table4[],3,FALSE)</f>
        <v>23</v>
      </c>
      <c r="F378" t="str">
        <f>VLOOKUP($A378,Table4[],4,FALSE)</f>
        <v>Male</v>
      </c>
      <c r="G378" t="str">
        <f>VLOOKUP($A378,Table4[],5,FALSE)</f>
        <v>South Cassandrachester</v>
      </c>
      <c r="H378" t="str">
        <f>VLOOKUP($A378,Table4[],6,FALSE)</f>
        <v>Rhode Island</v>
      </c>
      <c r="I378" t="str">
        <f>VLOOKUP($A378,Table4[],8,FALSE)</f>
        <v>Gold</v>
      </c>
      <c r="J378" t="str">
        <f>VLOOKUP($C378,Table1[],2,FALSE)</f>
        <v>Portable Bluetooth Speaker</v>
      </c>
      <c r="K378" t="str">
        <f>VLOOKUP($C378,Table1[],3,FALSE)</f>
        <v>Electronics</v>
      </c>
      <c r="L378" t="str">
        <f>VLOOKUP($C378,Table1[],4,FALSE)</f>
        <v>Audio</v>
      </c>
      <c r="M378" t="str">
        <f>VLOOKUP($C378,Table1[],5,FALSE)</f>
        <v>Flores-King</v>
      </c>
      <c r="N378">
        <f>VLOOKUP($C378,Table1[],6,FALSE)</f>
        <v>431.67</v>
      </c>
      <c r="O378">
        <f>VLOOKUP($C378,Table1[],7,FALSE)</f>
        <v>73</v>
      </c>
      <c r="P378" t="str">
        <f>_xlfn.XLOOKUP($B378,Table3[Store_ID],Table3[Store_Name])</f>
        <v>Mcdonald Inc</v>
      </c>
      <c r="Q378" t="str" cm="1">
        <f t="array" ref="Q378">_xlfn.XLOOKUP($B378,Store_Dim!$A$2:$A$21,Table3[Region])</f>
        <v>South</v>
      </c>
      <c r="R378" t="str" cm="1">
        <f t="array" ref="R378">_xlfn.XLOOKUP($B378,Store_Dim!$A$2:$A$21,Table3[Store_Type])</f>
        <v>Outlet</v>
      </c>
      <c r="S378">
        <f>VLOOKUP(Table7[[#This Row],[Customer ID]],Table6[[Customer_ID]:[Total_Amount]],8,FALSE)</f>
        <v>3139.3784000000001</v>
      </c>
    </row>
    <row r="379" spans="1:19" x14ac:dyDescent="0.3">
      <c r="A379" t="s">
        <v>1177</v>
      </c>
      <c r="B379" t="str">
        <f>_xlfn.XLOOKUP(Table7[[#This Row],[Customer ID]],Table6[Customer_ID],Table6[Store_ID])</f>
        <v>STORE3</v>
      </c>
      <c r="C379" t="str">
        <f>_xlfn.XLOOKUP(Table7[[#This Row],[Customer ID]],Table6[Customer_ID],Table6[Product_ID])</f>
        <v>PROD5</v>
      </c>
      <c r="D379" t="str">
        <f>VLOOKUP(Table7[[#This Row],[Customer ID]],Table4[#All],2,FALSE)</f>
        <v>Erika Padilla</v>
      </c>
      <c r="E379">
        <f>VLOOKUP($A379,Table4[],3,FALSE)</f>
        <v>50</v>
      </c>
      <c r="F379" t="str">
        <f>VLOOKUP($A379,Table4[],4,FALSE)</f>
        <v>Male</v>
      </c>
      <c r="G379" t="str">
        <f>VLOOKUP($A379,Table4[],5,FALSE)</f>
        <v>Andrewsland</v>
      </c>
      <c r="H379" t="str">
        <f>VLOOKUP($A379,Table4[],6,FALSE)</f>
        <v>Alabama</v>
      </c>
      <c r="I379" t="str">
        <f>VLOOKUP($A379,Table4[],8,FALSE)</f>
        <v>Silver</v>
      </c>
      <c r="J379" t="str">
        <f>VLOOKUP($C379,Table1[],2,FALSE)</f>
        <v>Men's Leather Belt</v>
      </c>
      <c r="K379" t="str">
        <f>VLOOKUP($C379,Table1[],3,FALSE)</f>
        <v>Clothing</v>
      </c>
      <c r="L379" t="str">
        <f>VLOOKUP($C379,Table1[],4,FALSE)</f>
        <v>Accessories</v>
      </c>
      <c r="M379" t="str">
        <f>VLOOKUP($C379,Table1[],5,FALSE)</f>
        <v>Baldwin, Garza and Gonzalez</v>
      </c>
      <c r="N379">
        <f>VLOOKUP($C379,Table1[],6,FALSE)</f>
        <v>261</v>
      </c>
      <c r="O379">
        <f>VLOOKUP($C379,Table1[],7,FALSE)</f>
        <v>59</v>
      </c>
      <c r="P379" t="str">
        <f>_xlfn.XLOOKUP($B379,Table3[Store_ID],Table3[Store_Name])</f>
        <v>Johnson-Wright</v>
      </c>
      <c r="Q379" t="str" cm="1">
        <f t="array" ref="Q379">_xlfn.XLOOKUP($B379,Store_Dim!$A$2:$A$21,Table3[Region])</f>
        <v>North</v>
      </c>
      <c r="R379" t="str" cm="1">
        <f t="array" ref="R379">_xlfn.XLOOKUP($B379,Store_Dim!$A$2:$A$21,Table3[Store_Type])</f>
        <v>Outlet</v>
      </c>
      <c r="S379">
        <f>VLOOKUP(Table7[[#This Row],[Customer ID]],Table6[[Customer_ID]:[Total_Amount]],8,FALSE)</f>
        <v>2933.3224</v>
      </c>
    </row>
    <row r="380" spans="1:19" x14ac:dyDescent="0.3">
      <c r="A380" t="s">
        <v>1180</v>
      </c>
      <c r="B380" t="str">
        <f>_xlfn.XLOOKUP(Table7[[#This Row],[Customer ID]],Table6[Customer_ID],Table6[Store_ID])</f>
        <v>STORE3</v>
      </c>
      <c r="C380" t="str">
        <f>_xlfn.XLOOKUP(Table7[[#This Row],[Customer ID]],Table6[Customer_ID],Table6[Product_ID])</f>
        <v>PROD4</v>
      </c>
      <c r="D380" t="str">
        <f>VLOOKUP(Table7[[#This Row],[Customer ID]],Table4[#All],2,FALSE)</f>
        <v>Martha Brown</v>
      </c>
      <c r="E380">
        <f>VLOOKUP($A380,Table4[],3,FALSE)</f>
        <v>20</v>
      </c>
      <c r="F380" t="str">
        <f>VLOOKUP($A380,Table4[],4,FALSE)</f>
        <v>Female</v>
      </c>
      <c r="G380" t="str">
        <f>VLOOKUP($A380,Table4[],5,FALSE)</f>
        <v>Novakstad</v>
      </c>
      <c r="H380" t="str">
        <f>VLOOKUP($A380,Table4[],6,FALSE)</f>
        <v>California</v>
      </c>
      <c r="I380" t="str">
        <f>VLOOKUP($A380,Table4[],8,FALSE)</f>
        <v>Gold</v>
      </c>
      <c r="J380" t="str">
        <f>VLOOKUP($C380,Table1[],2,FALSE)</f>
        <v>Women's Yoga Pants</v>
      </c>
      <c r="K380" t="str">
        <f>VLOOKUP($C380,Table1[],3,FALSE)</f>
        <v>Clothing</v>
      </c>
      <c r="L380" t="str">
        <f>VLOOKUP($C380,Table1[],4,FALSE)</f>
        <v>Bottoms</v>
      </c>
      <c r="M380" t="str">
        <f>VLOOKUP($C380,Table1[],5,FALSE)</f>
        <v>Gonzales-Davis</v>
      </c>
      <c r="N380">
        <f>VLOOKUP($C380,Table1[],6,FALSE)</f>
        <v>306.45999999999998</v>
      </c>
      <c r="O380">
        <f>VLOOKUP($C380,Table1[],7,FALSE)</f>
        <v>487</v>
      </c>
      <c r="P380" t="str">
        <f>_xlfn.XLOOKUP($B380,Table3[Store_ID],Table3[Store_Name])</f>
        <v>Johnson-Wright</v>
      </c>
      <c r="Q380" t="str" cm="1">
        <f t="array" ref="Q380">_xlfn.XLOOKUP($B380,Store_Dim!$A$2:$A$21,Table3[Region])</f>
        <v>North</v>
      </c>
      <c r="R380" t="str" cm="1">
        <f t="array" ref="R380">_xlfn.XLOOKUP($B380,Store_Dim!$A$2:$A$21,Table3[Store_Type])</f>
        <v>Outlet</v>
      </c>
      <c r="S380">
        <f>VLOOKUP(Table7[[#This Row],[Customer ID]],Table6[[Customer_ID]:[Total_Amount]],8,FALSE)</f>
        <v>1786.2336</v>
      </c>
    </row>
    <row r="381" spans="1:19" x14ac:dyDescent="0.3">
      <c r="A381" t="s">
        <v>1183</v>
      </c>
      <c r="B381" t="str">
        <f>_xlfn.XLOOKUP(Table7[[#This Row],[Customer ID]],Table6[Customer_ID],Table6[Store_ID])</f>
        <v>STORE10</v>
      </c>
      <c r="C381" t="str">
        <f>_xlfn.XLOOKUP(Table7[[#This Row],[Customer ID]],Table6[Customer_ID],Table6[Product_ID])</f>
        <v>PROD58</v>
      </c>
      <c r="D381" t="str">
        <f>VLOOKUP(Table7[[#This Row],[Customer ID]],Table4[#All],2,FALSE)</f>
        <v>Kristine Higgins</v>
      </c>
      <c r="E381">
        <f>VLOOKUP($A381,Table4[],3,FALSE)</f>
        <v>27</v>
      </c>
      <c r="F381" t="str">
        <f>VLOOKUP($A381,Table4[],4,FALSE)</f>
        <v>Female</v>
      </c>
      <c r="G381" t="str">
        <f>VLOOKUP($A381,Table4[],5,FALSE)</f>
        <v>Jennifertown</v>
      </c>
      <c r="H381" t="str">
        <f>VLOOKUP($A381,Table4[],6,FALSE)</f>
        <v>South Carolina</v>
      </c>
      <c r="I381" t="str">
        <f>VLOOKUP($A381,Table4[],8,FALSE)</f>
        <v>Silver</v>
      </c>
      <c r="J381" t="str">
        <f>VLOOKUP($C381,Table1[],2,FALSE)</f>
        <v>Womens Cotton Scarf</v>
      </c>
      <c r="K381" t="str">
        <f>VLOOKUP($C381,Table1[],3,FALSE)</f>
        <v>Clothing</v>
      </c>
      <c r="L381" t="str">
        <f>VLOOKUP($C381,Table1[],4,FALSE)</f>
        <v>Accessories</v>
      </c>
      <c r="M381" t="str">
        <f>VLOOKUP($C381,Table1[],5,FALSE)</f>
        <v>Shepherd-Gould</v>
      </c>
      <c r="N381">
        <f>VLOOKUP($C381,Table1[],6,FALSE)</f>
        <v>113.83</v>
      </c>
      <c r="O381">
        <f>VLOOKUP($C381,Table1[],7,FALSE)</f>
        <v>485</v>
      </c>
      <c r="P381" t="str">
        <f>_xlfn.XLOOKUP($B381,Table3[Store_ID],Table3[Store_Name])</f>
        <v>Hill, Wagner and Ballard</v>
      </c>
      <c r="Q381" t="str" cm="1">
        <f t="array" ref="Q381">_xlfn.XLOOKUP($B381,Store_Dim!$A$2:$A$21,Table3[Region])</f>
        <v>East</v>
      </c>
      <c r="R381" t="str" cm="1">
        <f t="array" ref="R381">_xlfn.XLOOKUP($B381,Store_Dim!$A$2:$A$21,Table3[Store_Type])</f>
        <v>Online</v>
      </c>
      <c r="S381">
        <f>VLOOKUP(Table7[[#This Row],[Customer ID]],Table6[[Customer_ID]:[Total_Amount]],8,FALSE)</f>
        <v>829.9606</v>
      </c>
    </row>
    <row r="382" spans="1:19" x14ac:dyDescent="0.3">
      <c r="A382" t="s">
        <v>1186</v>
      </c>
      <c r="B382" t="str">
        <f>_xlfn.XLOOKUP(Table7[[#This Row],[Customer ID]],Table6[Customer_ID],Table6[Store_ID])</f>
        <v>STORE10</v>
      </c>
      <c r="C382" t="str">
        <f>_xlfn.XLOOKUP(Table7[[#This Row],[Customer ID]],Table6[Customer_ID],Table6[Product_ID])</f>
        <v>PROD74</v>
      </c>
      <c r="D382" t="str">
        <f>VLOOKUP(Table7[[#This Row],[Customer ID]],Table4[#All],2,FALSE)</f>
        <v>Andrew Mason</v>
      </c>
      <c r="E382">
        <f>VLOOKUP($A382,Table4[],3,FALSE)</f>
        <v>52</v>
      </c>
      <c r="F382" t="str">
        <f>VLOOKUP($A382,Table4[],4,FALSE)</f>
        <v>Female</v>
      </c>
      <c r="G382" t="str">
        <f>VLOOKUP($A382,Table4[],5,FALSE)</f>
        <v>North Michael</v>
      </c>
      <c r="H382" t="str">
        <f>VLOOKUP($A382,Table4[],6,FALSE)</f>
        <v>Iowa</v>
      </c>
      <c r="I382" t="str">
        <f>VLOOKUP($A382,Table4[],8,FALSE)</f>
        <v>Bronze</v>
      </c>
      <c r="J382" t="str">
        <f>VLOOKUP($C382,Table1[],2,FALSE)</f>
        <v>Bluetooth Car Audio System</v>
      </c>
      <c r="K382" t="str">
        <f>VLOOKUP($C382,Table1[],3,FALSE)</f>
        <v>Electronics</v>
      </c>
      <c r="L382" t="str">
        <f>VLOOKUP($C382,Table1[],4,FALSE)</f>
        <v>Audio</v>
      </c>
      <c r="M382" t="str">
        <f>VLOOKUP($C382,Table1[],5,FALSE)</f>
        <v>Bruce-Bowen</v>
      </c>
      <c r="N382">
        <f>VLOOKUP($C382,Table1[],6,FALSE)</f>
        <v>403.71</v>
      </c>
      <c r="O382">
        <f>VLOOKUP($C382,Table1[],7,FALSE)</f>
        <v>159</v>
      </c>
      <c r="P382" t="str">
        <f>_xlfn.XLOOKUP($B382,Table3[Store_ID],Table3[Store_Name])</f>
        <v>Hill, Wagner and Ballard</v>
      </c>
      <c r="Q382" t="str" cm="1">
        <f t="array" ref="Q382">_xlfn.XLOOKUP($B382,Store_Dim!$A$2:$A$21,Table3[Region])</f>
        <v>East</v>
      </c>
      <c r="R382" t="str" cm="1">
        <f t="array" ref="R382">_xlfn.XLOOKUP($B382,Store_Dim!$A$2:$A$21,Table3[Store_Type])</f>
        <v>Online</v>
      </c>
      <c r="S382">
        <f>VLOOKUP(Table7[[#This Row],[Customer ID]],Table6[[Customer_ID]:[Total_Amount]],8,FALSE)</f>
        <v>24.442599999999999</v>
      </c>
    </row>
    <row r="383" spans="1:19" x14ac:dyDescent="0.3">
      <c r="A383" t="s">
        <v>1189</v>
      </c>
      <c r="B383" t="str">
        <f>_xlfn.XLOOKUP(Table7[[#This Row],[Customer ID]],Table6[Customer_ID],Table6[Store_ID])</f>
        <v>STORE14</v>
      </c>
      <c r="C383" t="str">
        <f>_xlfn.XLOOKUP(Table7[[#This Row],[Customer ID]],Table6[Customer_ID],Table6[Product_ID])</f>
        <v>PROD68</v>
      </c>
      <c r="D383" t="str">
        <f>VLOOKUP(Table7[[#This Row],[Customer ID]],Table4[#All],2,FALSE)</f>
        <v>Tammy Brennan</v>
      </c>
      <c r="E383">
        <f>VLOOKUP($A383,Table4[],3,FALSE)</f>
        <v>60</v>
      </c>
      <c r="F383" t="str">
        <f>VLOOKUP($A383,Table4[],4,FALSE)</f>
        <v>Male</v>
      </c>
      <c r="G383" t="str">
        <f>VLOOKUP($A383,Table4[],5,FALSE)</f>
        <v>Lake Brandontown</v>
      </c>
      <c r="H383" t="str">
        <f>VLOOKUP($A383,Table4[],6,FALSE)</f>
        <v>South Carolina</v>
      </c>
      <c r="I383" t="str">
        <f>VLOOKUP($A383,Table4[],8,FALSE)</f>
        <v>Gold</v>
      </c>
      <c r="J383" t="str">
        <f>VLOOKUP($C383,Table1[],2,FALSE)</f>
        <v>Wooden Nightstand</v>
      </c>
      <c r="K383" t="str">
        <f>VLOOKUP($C383,Table1[],3,FALSE)</f>
        <v>Home</v>
      </c>
      <c r="L383" t="str">
        <f>VLOOKUP($C383,Table1[],4,FALSE)</f>
        <v>Furniture</v>
      </c>
      <c r="M383" t="str">
        <f>VLOOKUP($C383,Table1[],5,FALSE)</f>
        <v>Wolfe, Ross and Hester</v>
      </c>
      <c r="N383">
        <f>VLOOKUP($C383,Table1[],6,FALSE)</f>
        <v>243.7</v>
      </c>
      <c r="O383">
        <f>VLOOKUP($C383,Table1[],7,FALSE)</f>
        <v>130</v>
      </c>
      <c r="P383" t="str">
        <f>_xlfn.XLOOKUP($B383,Table3[Store_ID],Table3[Store_Name])</f>
        <v>Mcdonald Inc</v>
      </c>
      <c r="Q383" t="str" cm="1">
        <f t="array" ref="Q383">_xlfn.XLOOKUP($B383,Store_Dim!$A$2:$A$21,Table3[Region])</f>
        <v>South</v>
      </c>
      <c r="R383" t="str" cm="1">
        <f t="array" ref="R383">_xlfn.XLOOKUP($B383,Store_Dim!$A$2:$A$21,Table3[Store_Type])</f>
        <v>Outlet</v>
      </c>
      <c r="S383">
        <f>VLOOKUP(Table7[[#This Row],[Customer ID]],Table6[[Customer_ID]:[Total_Amount]],8,FALSE)</f>
        <v>392.04</v>
      </c>
    </row>
    <row r="384" spans="1:19" x14ac:dyDescent="0.3">
      <c r="A384" t="s">
        <v>1195</v>
      </c>
      <c r="B384" t="str">
        <f>_xlfn.XLOOKUP(Table7[[#This Row],[Customer ID]],Table6[Customer_ID],Table6[Store_ID])</f>
        <v>STORE4</v>
      </c>
      <c r="C384" t="str">
        <f>_xlfn.XLOOKUP(Table7[[#This Row],[Customer ID]],Table6[Customer_ID],Table6[Product_ID])</f>
        <v>PROD76</v>
      </c>
      <c r="D384" t="str">
        <f>VLOOKUP(Table7[[#This Row],[Customer ID]],Table4[#All],2,FALSE)</f>
        <v>Timothy Gardner</v>
      </c>
      <c r="E384">
        <f>VLOOKUP($A384,Table4[],3,FALSE)</f>
        <v>28</v>
      </c>
      <c r="F384" t="str">
        <f>VLOOKUP($A384,Table4[],4,FALSE)</f>
        <v>Female</v>
      </c>
      <c r="G384" t="str">
        <f>VLOOKUP($A384,Table4[],5,FALSE)</f>
        <v>New Dawn</v>
      </c>
      <c r="H384" t="str">
        <f>VLOOKUP($A384,Table4[],6,FALSE)</f>
        <v>New Jersey</v>
      </c>
      <c r="I384" t="str">
        <f>VLOOKUP($A384,Table4[],8,FALSE)</f>
        <v>Silver</v>
      </c>
      <c r="J384" t="str">
        <f>VLOOKUP($C384,Table1[],2,FALSE)</f>
        <v>Wireless Mouse</v>
      </c>
      <c r="K384" t="str">
        <f>VLOOKUP($C384,Table1[],3,FALSE)</f>
        <v>Electronics</v>
      </c>
      <c r="L384" t="str">
        <f>VLOOKUP($C384,Table1[],4,FALSE)</f>
        <v>Computer</v>
      </c>
      <c r="M384" t="str">
        <f>VLOOKUP($C384,Table1[],5,FALSE)</f>
        <v>Larson Ltd</v>
      </c>
      <c r="N384">
        <f>VLOOKUP($C384,Table1[],6,FALSE)</f>
        <v>392.89</v>
      </c>
      <c r="O384">
        <f>VLOOKUP($C384,Table1[],7,FALSE)</f>
        <v>320</v>
      </c>
      <c r="P384" t="str">
        <f>_xlfn.XLOOKUP($B384,Table3[Store_ID],Table3[Store_Name])</f>
        <v>Alexander Group</v>
      </c>
      <c r="Q384" t="str" cm="1">
        <f t="array" ref="Q384">_xlfn.XLOOKUP($B384,Store_Dim!$A$2:$A$21,Table3[Region])</f>
        <v>South</v>
      </c>
      <c r="R384" t="str" cm="1">
        <f t="array" ref="R384">_xlfn.XLOOKUP($B384,Store_Dim!$A$2:$A$21,Table3[Store_Type])</f>
        <v>Online</v>
      </c>
      <c r="S384">
        <f>VLOOKUP(Table7[[#This Row],[Customer ID]],Table6[[Customer_ID]:[Total_Amount]],8,FALSE)</f>
        <v>81.673900000000003</v>
      </c>
    </row>
    <row r="385" spans="1:19" x14ac:dyDescent="0.3">
      <c r="A385" t="s">
        <v>1198</v>
      </c>
      <c r="B385" t="str">
        <f>_xlfn.XLOOKUP(Table7[[#This Row],[Customer ID]],Table6[Customer_ID],Table6[Store_ID])</f>
        <v>STORE8</v>
      </c>
      <c r="C385" t="str">
        <f>_xlfn.XLOOKUP(Table7[[#This Row],[Customer ID]],Table6[Customer_ID],Table6[Product_ID])</f>
        <v>PROD82</v>
      </c>
      <c r="D385" t="str">
        <f>VLOOKUP(Table7[[#This Row],[Customer ID]],Table4[#All],2,FALSE)</f>
        <v>Timothy Valenzuela</v>
      </c>
      <c r="E385">
        <f>VLOOKUP($A385,Table4[],3,FALSE)</f>
        <v>53</v>
      </c>
      <c r="F385" t="str">
        <f>VLOOKUP($A385,Table4[],4,FALSE)</f>
        <v>Male</v>
      </c>
      <c r="G385" t="str">
        <f>VLOOKUP($A385,Table4[],5,FALSE)</f>
        <v>Stevensshire</v>
      </c>
      <c r="H385" t="str">
        <f>VLOOKUP($A385,Table4[],6,FALSE)</f>
        <v>Missouri</v>
      </c>
      <c r="I385" t="str">
        <f>VLOOKUP($A385,Table4[],8,FALSE)</f>
        <v>Platinum</v>
      </c>
      <c r="J385" t="str">
        <f>VLOOKUP($C385,Table1[],2,FALSE)</f>
        <v>Fitness Resistance Bands</v>
      </c>
      <c r="K385" t="str">
        <f>VLOOKUP($C385,Table1[],3,FALSE)</f>
        <v>Sports</v>
      </c>
      <c r="L385" t="str">
        <f>VLOOKUP($C385,Table1[],4,FALSE)</f>
        <v>Fitness</v>
      </c>
      <c r="M385" t="str">
        <f>VLOOKUP($C385,Table1[],5,FALSE)</f>
        <v>Reese-Watson</v>
      </c>
      <c r="N385">
        <f>VLOOKUP($C385,Table1[],6,FALSE)</f>
        <v>152.91999999999999</v>
      </c>
      <c r="O385">
        <f>VLOOKUP($C385,Table1[],7,FALSE)</f>
        <v>281</v>
      </c>
      <c r="P385" t="str">
        <f>_xlfn.XLOOKUP($B385,Table3[Store_ID],Table3[Store_Name])</f>
        <v>Bean, Jones and Park</v>
      </c>
      <c r="Q385" t="str" cm="1">
        <f t="array" ref="Q385">_xlfn.XLOOKUP($B385,Store_Dim!$A$2:$A$21,Table3[Region])</f>
        <v>West</v>
      </c>
      <c r="R385" t="str" cm="1">
        <f t="array" ref="R385">_xlfn.XLOOKUP($B385,Store_Dim!$A$2:$A$21,Table3[Store_Type])</f>
        <v>Online</v>
      </c>
      <c r="S385">
        <f>VLOOKUP(Table7[[#This Row],[Customer ID]],Table6[[Customer_ID]:[Total_Amount]],8,FALSE)</f>
        <v>2221.9061999999999</v>
      </c>
    </row>
    <row r="386" spans="1:19" x14ac:dyDescent="0.3">
      <c r="A386" t="s">
        <v>1201</v>
      </c>
      <c r="B386" t="str">
        <f>_xlfn.XLOOKUP(Table7[[#This Row],[Customer ID]],Table6[Customer_ID],Table6[Store_ID])</f>
        <v>STORE16</v>
      </c>
      <c r="C386" t="str">
        <f>_xlfn.XLOOKUP(Table7[[#This Row],[Customer ID]],Table6[Customer_ID],Table6[Product_ID])</f>
        <v>PROD91</v>
      </c>
      <c r="D386" t="str">
        <f>VLOOKUP(Table7[[#This Row],[Customer ID]],Table4[#All],2,FALSE)</f>
        <v>Cynthia Lopez</v>
      </c>
      <c r="E386">
        <f>VLOOKUP($A386,Table4[],3,FALSE)</f>
        <v>50</v>
      </c>
      <c r="F386" t="str">
        <f>VLOOKUP($A386,Table4[],4,FALSE)</f>
        <v>Male</v>
      </c>
      <c r="G386" t="str">
        <f>VLOOKUP($A386,Table4[],5,FALSE)</f>
        <v>Joseland</v>
      </c>
      <c r="H386" t="str">
        <f>VLOOKUP($A386,Table4[],6,FALSE)</f>
        <v>Nebraska</v>
      </c>
      <c r="I386" t="str">
        <f>VLOOKUP($A386,Table4[],8,FALSE)</f>
        <v>Platinum</v>
      </c>
      <c r="J386" t="str">
        <f>VLOOKUP($C386,Table1[],2,FALSE)</f>
        <v>Women's High Heels</v>
      </c>
      <c r="K386" t="str">
        <f>VLOOKUP($C386,Table1[],3,FALSE)</f>
        <v>Clothing</v>
      </c>
      <c r="L386" t="str">
        <f>VLOOKUP($C386,Table1[],4,FALSE)</f>
        <v>Footwear</v>
      </c>
      <c r="M386" t="str">
        <f>VLOOKUP($C386,Table1[],5,FALSE)</f>
        <v>Smith-Charles</v>
      </c>
      <c r="N386">
        <f>VLOOKUP($C386,Table1[],6,FALSE)</f>
        <v>438.25</v>
      </c>
      <c r="O386">
        <f>VLOOKUP($C386,Table1[],7,FALSE)</f>
        <v>496</v>
      </c>
      <c r="P386" t="str">
        <f>_xlfn.XLOOKUP($B386,Table3[Store_ID],Table3[Store_Name])</f>
        <v>Frederick-Wright</v>
      </c>
      <c r="Q386" t="str" cm="1">
        <f t="array" ref="Q386">_xlfn.XLOOKUP($B386,Store_Dim!$A$2:$A$21,Table3[Region])</f>
        <v>West</v>
      </c>
      <c r="R386" t="str" cm="1">
        <f t="array" ref="R386">_xlfn.XLOOKUP($B386,Store_Dim!$A$2:$A$21,Table3[Store_Type])</f>
        <v>Flagship</v>
      </c>
      <c r="S386">
        <f>VLOOKUP(Table7[[#This Row],[Customer ID]],Table6[[Customer_ID]:[Total_Amount]],8,FALSE)</f>
        <v>484.60230000000001</v>
      </c>
    </row>
    <row r="387" spans="1:19" x14ac:dyDescent="0.3">
      <c r="A387" t="s">
        <v>1204</v>
      </c>
      <c r="B387" t="str">
        <f>_xlfn.XLOOKUP(Table7[[#This Row],[Customer ID]],Table6[Customer_ID],Table6[Store_ID])</f>
        <v>STORE0</v>
      </c>
      <c r="C387" t="str">
        <f>_xlfn.XLOOKUP(Table7[[#This Row],[Customer ID]],Table6[Customer_ID],Table6[Product_ID])</f>
        <v>PROD11</v>
      </c>
      <c r="D387" t="str">
        <f>VLOOKUP(Table7[[#This Row],[Customer ID]],Table4[#All],2,FALSE)</f>
        <v>Daniel Bell</v>
      </c>
      <c r="E387">
        <f>VLOOKUP($A387,Table4[],3,FALSE)</f>
        <v>56</v>
      </c>
      <c r="F387" t="str">
        <f>VLOOKUP($A387,Table4[],4,FALSE)</f>
        <v>Male</v>
      </c>
      <c r="G387" t="str">
        <f>VLOOKUP($A387,Table4[],5,FALSE)</f>
        <v>Deniseberg</v>
      </c>
      <c r="H387" t="str">
        <f>VLOOKUP($A387,Table4[],6,FALSE)</f>
        <v>Arkansas</v>
      </c>
      <c r="I387" t="str">
        <f>VLOOKUP($A387,Table4[],8,FALSE)</f>
        <v>Silver</v>
      </c>
      <c r="J387" t="str">
        <f>VLOOKUP($C387,Table1[],2,FALSE)</f>
        <v>HD Smart TV Stick</v>
      </c>
      <c r="K387" t="str">
        <f>VLOOKUP($C387,Table1[],3,FALSE)</f>
        <v>Electronics</v>
      </c>
      <c r="L387" t="str">
        <f>VLOOKUP($C387,Table1[],4,FALSE)</f>
        <v>Accessories</v>
      </c>
      <c r="M387" t="str">
        <f>VLOOKUP($C387,Table1[],5,FALSE)</f>
        <v>Gibson, Hobbs and Weaver</v>
      </c>
      <c r="N387">
        <f>VLOOKUP($C387,Table1[],6,FALSE)</f>
        <v>449.4</v>
      </c>
      <c r="O387">
        <f>VLOOKUP($C387,Table1[],7,FALSE)</f>
        <v>338</v>
      </c>
      <c r="P387" t="str">
        <f>_xlfn.XLOOKUP($B387,Table3[Store_ID],Table3[Store_Name])</f>
        <v>Rivera-Warner</v>
      </c>
      <c r="Q387" t="str" cm="1">
        <f t="array" ref="Q387">_xlfn.XLOOKUP($B387,Store_Dim!$A$2:$A$21,Table3[Region])</f>
        <v>East</v>
      </c>
      <c r="R387" t="str" cm="1">
        <f t="array" ref="R387">_xlfn.XLOOKUP($B387,Store_Dim!$A$2:$A$21,Table3[Store_Type])</f>
        <v>Flagship</v>
      </c>
      <c r="S387">
        <f>VLOOKUP(Table7[[#This Row],[Customer ID]],Table6[[Customer_ID]:[Total_Amount]],8,FALSE)</f>
        <v>264.93889999999999</v>
      </c>
    </row>
    <row r="388" spans="1:19" x14ac:dyDescent="0.3">
      <c r="A388" t="s">
        <v>1207</v>
      </c>
      <c r="B388" t="str">
        <f>_xlfn.XLOOKUP(Table7[[#This Row],[Customer ID]],Table6[Customer_ID],Table6[Store_ID])</f>
        <v>STORE19</v>
      </c>
      <c r="C388" t="str">
        <f>_xlfn.XLOOKUP(Table7[[#This Row],[Customer ID]],Table6[Customer_ID],Table6[Product_ID])</f>
        <v>PROD29</v>
      </c>
      <c r="D388" t="str">
        <f>VLOOKUP(Table7[[#This Row],[Customer ID]],Table4[#All],2,FALSE)</f>
        <v>Heidi Tyler</v>
      </c>
      <c r="E388">
        <f>VLOOKUP($A388,Table4[],3,FALSE)</f>
        <v>40</v>
      </c>
      <c r="F388" t="str">
        <f>VLOOKUP($A388,Table4[],4,FALSE)</f>
        <v>Female</v>
      </c>
      <c r="G388" t="str">
        <f>VLOOKUP($A388,Table4[],5,FALSE)</f>
        <v>Dawnstad</v>
      </c>
      <c r="H388" t="str">
        <f>VLOOKUP($A388,Table4[],6,FALSE)</f>
        <v>Oregon</v>
      </c>
      <c r="I388" t="str">
        <f>VLOOKUP($A388,Table4[],8,FALSE)</f>
        <v>Bronze</v>
      </c>
      <c r="J388" t="str">
        <f>VLOOKUP($C388,Table1[],2,FALSE)</f>
        <v>Fabric Sofa Throw Blanket</v>
      </c>
      <c r="K388" t="str">
        <f>VLOOKUP($C388,Table1[],3,FALSE)</f>
        <v>Home</v>
      </c>
      <c r="L388" t="str">
        <f>VLOOKUP($C388,Table1[],4,FALSE)</f>
        <v>Decor</v>
      </c>
      <c r="M388" t="str">
        <f>VLOOKUP($C388,Table1[],5,FALSE)</f>
        <v>Hoffman Group</v>
      </c>
      <c r="N388">
        <f>VLOOKUP($C388,Table1[],6,FALSE)</f>
        <v>218.48</v>
      </c>
      <c r="O388">
        <f>VLOOKUP($C388,Table1[],7,FALSE)</f>
        <v>276</v>
      </c>
      <c r="P388" t="str">
        <f>_xlfn.XLOOKUP($B388,Table3[Store_ID],Table3[Store_Name])</f>
        <v>Mann-Austin</v>
      </c>
      <c r="Q388" t="str" cm="1">
        <f t="array" ref="Q388">_xlfn.XLOOKUP($B388,Store_Dim!$A$2:$A$21,Table3[Region])</f>
        <v>East</v>
      </c>
      <c r="R388" t="str" cm="1">
        <f t="array" ref="R388">_xlfn.XLOOKUP($B388,Store_Dim!$A$2:$A$21,Table3[Store_Type])</f>
        <v>Online</v>
      </c>
      <c r="S388">
        <f>VLOOKUP(Table7[[#This Row],[Customer ID]],Table6[[Customer_ID]:[Total_Amount]],8,FALSE)</f>
        <v>1245.4304</v>
      </c>
    </row>
    <row r="389" spans="1:19" x14ac:dyDescent="0.3">
      <c r="A389" t="s">
        <v>1210</v>
      </c>
      <c r="B389" t="str">
        <f>_xlfn.XLOOKUP(Table7[[#This Row],[Customer ID]],Table6[Customer_ID],Table6[Store_ID])</f>
        <v>STORE10</v>
      </c>
      <c r="C389" t="str">
        <f>_xlfn.XLOOKUP(Table7[[#This Row],[Customer ID]],Table6[Customer_ID],Table6[Product_ID])</f>
        <v>PROD52</v>
      </c>
      <c r="D389" t="str">
        <f>VLOOKUP(Table7[[#This Row],[Customer ID]],Table4[#All],2,FALSE)</f>
        <v>Jacqueline Payne</v>
      </c>
      <c r="E389">
        <f>VLOOKUP($A389,Table4[],3,FALSE)</f>
        <v>46</v>
      </c>
      <c r="F389" t="str">
        <f>VLOOKUP($A389,Table4[],4,FALSE)</f>
        <v>Male</v>
      </c>
      <c r="G389" t="str">
        <f>VLOOKUP($A389,Table4[],5,FALSE)</f>
        <v>Gutierrezstad</v>
      </c>
      <c r="H389" t="str">
        <f>VLOOKUP($A389,Table4[],6,FALSE)</f>
        <v>Missouri</v>
      </c>
      <c r="I389" t="str">
        <f>VLOOKUP($A389,Table4[],8,FALSE)</f>
        <v>Gold</v>
      </c>
      <c r="J389" t="str">
        <f>VLOOKUP($C389,Table1[],2,FALSE)</f>
        <v>Rugby Ball</v>
      </c>
      <c r="K389" t="str">
        <f>VLOOKUP($C389,Table1[],3,FALSE)</f>
        <v>Sports</v>
      </c>
      <c r="L389" t="str">
        <f>VLOOKUP($C389,Table1[],4,FALSE)</f>
        <v>Team Sports</v>
      </c>
      <c r="M389" t="str">
        <f>VLOOKUP($C389,Table1[],5,FALSE)</f>
        <v>Harris Inc</v>
      </c>
      <c r="N389">
        <f>VLOOKUP($C389,Table1[],6,FALSE)</f>
        <v>212.26</v>
      </c>
      <c r="O389">
        <f>VLOOKUP($C389,Table1[],7,FALSE)</f>
        <v>82</v>
      </c>
      <c r="P389" t="str">
        <f>_xlfn.XLOOKUP($B389,Table3[Store_ID],Table3[Store_Name])</f>
        <v>Hill, Wagner and Ballard</v>
      </c>
      <c r="Q389" t="str" cm="1">
        <f t="array" ref="Q389">_xlfn.XLOOKUP($B389,Store_Dim!$A$2:$A$21,Table3[Region])</f>
        <v>East</v>
      </c>
      <c r="R389" t="str" cm="1">
        <f t="array" ref="R389">_xlfn.XLOOKUP($B389,Store_Dim!$A$2:$A$21,Table3[Store_Type])</f>
        <v>Online</v>
      </c>
      <c r="S389">
        <f>VLOOKUP(Table7[[#This Row],[Customer ID]],Table6[[Customer_ID]:[Total_Amount]],8,FALSE)</f>
        <v>537.11840000000007</v>
      </c>
    </row>
    <row r="390" spans="1:19" x14ac:dyDescent="0.3">
      <c r="A390" t="s">
        <v>1213</v>
      </c>
      <c r="B390" t="str">
        <f>_xlfn.XLOOKUP(Table7[[#This Row],[Customer ID]],Table6[Customer_ID],Table6[Store_ID])</f>
        <v>STORE3</v>
      </c>
      <c r="C390" t="str">
        <f>_xlfn.XLOOKUP(Table7[[#This Row],[Customer ID]],Table6[Customer_ID],Table6[Product_ID])</f>
        <v>PROD80</v>
      </c>
      <c r="D390" t="str">
        <f>VLOOKUP(Table7[[#This Row],[Customer ID]],Table4[#All],2,FALSE)</f>
        <v>Michael Mcneil</v>
      </c>
      <c r="E390">
        <f>VLOOKUP($A390,Table4[],3,FALSE)</f>
        <v>46</v>
      </c>
      <c r="F390" t="str">
        <f>VLOOKUP($A390,Table4[],4,FALSE)</f>
        <v>Male</v>
      </c>
      <c r="G390" t="str">
        <f>VLOOKUP($A390,Table4[],5,FALSE)</f>
        <v>Stewartchester</v>
      </c>
      <c r="H390" t="str">
        <f>VLOOKUP($A390,Table4[],6,FALSE)</f>
        <v>Utah</v>
      </c>
      <c r="I390" t="str">
        <f>VLOOKUP($A390,Table4[],8,FALSE)</f>
        <v>Bronze</v>
      </c>
      <c r="J390" t="str">
        <f>VLOOKUP($C390,Table1[],2,FALSE)</f>
        <v>Wall-Mounted Spice Rack</v>
      </c>
      <c r="K390" t="str">
        <f>VLOOKUP($C390,Table1[],3,FALSE)</f>
        <v>Home</v>
      </c>
      <c r="L390" t="str">
        <f>VLOOKUP($C390,Table1[],4,FALSE)</f>
        <v>Kitchen</v>
      </c>
      <c r="M390" t="str">
        <f>VLOOKUP($C390,Table1[],5,FALSE)</f>
        <v>Allison Ltd</v>
      </c>
      <c r="N390">
        <f>VLOOKUP($C390,Table1[],6,FALSE)</f>
        <v>143.43</v>
      </c>
      <c r="O390">
        <f>VLOOKUP($C390,Table1[],7,FALSE)</f>
        <v>58</v>
      </c>
      <c r="P390" t="str">
        <f>_xlfn.XLOOKUP($B390,Table3[Store_ID],Table3[Store_Name])</f>
        <v>Johnson-Wright</v>
      </c>
      <c r="Q390" t="str" cm="1">
        <f t="array" ref="Q390">_xlfn.XLOOKUP($B390,Store_Dim!$A$2:$A$21,Table3[Region])</f>
        <v>North</v>
      </c>
      <c r="R390" t="str" cm="1">
        <f t="array" ref="R390">_xlfn.XLOOKUP($B390,Store_Dim!$A$2:$A$21,Table3[Store_Type])</f>
        <v>Outlet</v>
      </c>
      <c r="S390">
        <f>VLOOKUP(Table7[[#This Row],[Customer ID]],Table6[[Customer_ID]:[Total_Amount]],8,FALSE)</f>
        <v>3502.9688000000001</v>
      </c>
    </row>
    <row r="391" spans="1:19" x14ac:dyDescent="0.3">
      <c r="A391" t="s">
        <v>1216</v>
      </c>
      <c r="B391" t="str">
        <f>_xlfn.XLOOKUP(Table7[[#This Row],[Customer ID]],Table6[Customer_ID],Table6[Store_ID])</f>
        <v>STORE16</v>
      </c>
      <c r="C391" t="str">
        <f>_xlfn.XLOOKUP(Table7[[#This Row],[Customer ID]],Table6[Customer_ID],Table6[Product_ID])</f>
        <v>PROD89</v>
      </c>
      <c r="D391" t="str">
        <f>VLOOKUP(Table7[[#This Row],[Customer ID]],Table4[#All],2,FALSE)</f>
        <v>Alejandro Evans</v>
      </c>
      <c r="E391">
        <f>VLOOKUP($A391,Table4[],3,FALSE)</f>
        <v>43</v>
      </c>
      <c r="F391" t="str">
        <f>VLOOKUP($A391,Table4[],4,FALSE)</f>
        <v>Female</v>
      </c>
      <c r="G391" t="str">
        <f>VLOOKUP($A391,Table4[],5,FALSE)</f>
        <v>Cannonberg</v>
      </c>
      <c r="H391" t="str">
        <f>VLOOKUP($A391,Table4[],6,FALSE)</f>
        <v>Connecticut</v>
      </c>
      <c r="I391" t="str">
        <f>VLOOKUP($A391,Table4[],8,FALSE)</f>
        <v>Bronze</v>
      </c>
      <c r="J391" t="str">
        <f>VLOOKUP($C391,Table1[],2,FALSE)</f>
        <v>Face Foundation Kit</v>
      </c>
      <c r="K391" t="str">
        <f>VLOOKUP($C391,Table1[],3,FALSE)</f>
        <v>Beauty</v>
      </c>
      <c r="L391" t="str">
        <f>VLOOKUP($C391,Table1[],4,FALSE)</f>
        <v>Makeup</v>
      </c>
      <c r="M391" t="str">
        <f>VLOOKUP($C391,Table1[],5,FALSE)</f>
        <v>Taylor-Elliott</v>
      </c>
      <c r="N391">
        <f>VLOOKUP($C391,Table1[],6,FALSE)</f>
        <v>183.04</v>
      </c>
      <c r="O391">
        <f>VLOOKUP($C391,Table1[],7,FALSE)</f>
        <v>457</v>
      </c>
      <c r="P391" t="str">
        <f>_xlfn.XLOOKUP($B391,Table3[Store_ID],Table3[Store_Name])</f>
        <v>Frederick-Wright</v>
      </c>
      <c r="Q391" t="str" cm="1">
        <f t="array" ref="Q391">_xlfn.XLOOKUP($B391,Store_Dim!$A$2:$A$21,Table3[Region])</f>
        <v>West</v>
      </c>
      <c r="R391" t="str" cm="1">
        <f t="array" ref="R391">_xlfn.XLOOKUP($B391,Store_Dim!$A$2:$A$21,Table3[Store_Type])</f>
        <v>Flagship</v>
      </c>
      <c r="S391">
        <f>VLOOKUP(Table7[[#This Row],[Customer ID]],Table6[[Customer_ID]:[Total_Amount]],8,FALSE)</f>
        <v>193.1234</v>
      </c>
    </row>
    <row r="392" spans="1:19" x14ac:dyDescent="0.3">
      <c r="A392" t="s">
        <v>1222</v>
      </c>
      <c r="B392" t="str">
        <f>_xlfn.XLOOKUP(Table7[[#This Row],[Customer ID]],Table6[Customer_ID],Table6[Store_ID])</f>
        <v>STORE18</v>
      </c>
      <c r="C392" t="str">
        <f>_xlfn.XLOOKUP(Table7[[#This Row],[Customer ID]],Table6[Customer_ID],Table6[Product_ID])</f>
        <v>PROD43</v>
      </c>
      <c r="D392" t="str">
        <f>VLOOKUP(Table7[[#This Row],[Customer ID]],Table4[#All],2,FALSE)</f>
        <v>Alexander Byrd</v>
      </c>
      <c r="E392">
        <f>VLOOKUP($A392,Table4[],3,FALSE)</f>
        <v>25</v>
      </c>
      <c r="F392" t="str">
        <f>VLOOKUP($A392,Table4[],4,FALSE)</f>
        <v>Female</v>
      </c>
      <c r="G392" t="str">
        <f>VLOOKUP($A392,Table4[],5,FALSE)</f>
        <v>Parkerview</v>
      </c>
      <c r="H392" t="str">
        <f>VLOOKUP($A392,Table4[],6,FALSE)</f>
        <v>New York</v>
      </c>
      <c r="I392" t="str">
        <f>VLOOKUP($A392,Table4[],8,FALSE)</f>
        <v>Silver</v>
      </c>
      <c r="J392" t="str">
        <f>VLOOKUP($C392,Table1[],2,FALSE)</f>
        <v>USB External Hard Drive</v>
      </c>
      <c r="K392" t="str">
        <f>VLOOKUP($C392,Table1[],3,FALSE)</f>
        <v>Electronics</v>
      </c>
      <c r="L392" t="str">
        <f>VLOOKUP($C392,Table1[],4,FALSE)</f>
        <v>Computer</v>
      </c>
      <c r="M392" t="str">
        <f>VLOOKUP($C392,Table1[],5,FALSE)</f>
        <v>Robinson Inc</v>
      </c>
      <c r="N392">
        <f>VLOOKUP($C392,Table1[],6,FALSE)</f>
        <v>253.33</v>
      </c>
      <c r="O392">
        <f>VLOOKUP($C392,Table1[],7,FALSE)</f>
        <v>266</v>
      </c>
      <c r="P392" t="str">
        <f>_xlfn.XLOOKUP($B392,Table3[Store_ID],Table3[Store_Name])</f>
        <v>Guerrero-Schmitt</v>
      </c>
      <c r="Q392" t="str" cm="1">
        <f t="array" ref="Q392">_xlfn.XLOOKUP($B392,Store_Dim!$A$2:$A$21,Table3[Region])</f>
        <v>East</v>
      </c>
      <c r="R392" t="str" cm="1">
        <f t="array" ref="R392">_xlfn.XLOOKUP($B392,Store_Dim!$A$2:$A$21,Table3[Store_Type])</f>
        <v>Flagship</v>
      </c>
      <c r="S392">
        <f>VLOOKUP(Table7[[#This Row],[Customer ID]],Table6[[Customer_ID]:[Total_Amount]],8,FALSE)</f>
        <v>459.85680000000002</v>
      </c>
    </row>
    <row r="393" spans="1:19" x14ac:dyDescent="0.3">
      <c r="A393" t="s">
        <v>1225</v>
      </c>
      <c r="B393" t="str">
        <f>_xlfn.XLOOKUP(Table7[[#This Row],[Customer ID]],Table6[Customer_ID],Table6[Store_ID])</f>
        <v>STORE9</v>
      </c>
      <c r="C393" t="str">
        <f>_xlfn.XLOOKUP(Table7[[#This Row],[Customer ID]],Table6[Customer_ID],Table6[Product_ID])</f>
        <v>PROD94</v>
      </c>
      <c r="D393" t="str">
        <f>VLOOKUP(Table7[[#This Row],[Customer ID]],Table4[#All],2,FALSE)</f>
        <v>Charles Norman Phd</v>
      </c>
      <c r="E393">
        <f>VLOOKUP($A393,Table4[],3,FALSE)</f>
        <v>62</v>
      </c>
      <c r="F393" t="str">
        <f>VLOOKUP($A393,Table4[],4,FALSE)</f>
        <v>Female</v>
      </c>
      <c r="G393" t="str">
        <f>VLOOKUP($A393,Table4[],5,FALSE)</f>
        <v>East Jennifer</v>
      </c>
      <c r="H393" t="str">
        <f>VLOOKUP($A393,Table4[],6,FALSE)</f>
        <v>Kansas</v>
      </c>
      <c r="I393" t="str">
        <f>VLOOKUP($A393,Table4[],8,FALSE)</f>
        <v>Platinum</v>
      </c>
      <c r="J393" t="str">
        <f>VLOOKUP($C393,Table1[],2,FALSE)</f>
        <v>Vitamin E Body Lotion</v>
      </c>
      <c r="K393" t="str">
        <f>VLOOKUP($C393,Table1[],3,FALSE)</f>
        <v>Beauty</v>
      </c>
      <c r="L393" t="str">
        <f>VLOOKUP($C393,Table1[],4,FALSE)</f>
        <v>Skincare</v>
      </c>
      <c r="M393" t="str">
        <f>VLOOKUP($C393,Table1[],5,FALSE)</f>
        <v>Hoffman-Williams</v>
      </c>
      <c r="N393">
        <f>VLOOKUP($C393,Table1[],6,FALSE)</f>
        <v>358.47</v>
      </c>
      <c r="O393">
        <f>VLOOKUP($C393,Table1[],7,FALSE)</f>
        <v>213</v>
      </c>
      <c r="P393" t="str">
        <f>_xlfn.XLOOKUP($B393,Table3[Store_ID],Table3[Store_Name])</f>
        <v>Moore, Padilla and Butler</v>
      </c>
      <c r="Q393" t="str" cm="1">
        <f t="array" ref="Q393">_xlfn.XLOOKUP($B393,Store_Dim!$A$2:$A$21,Table3[Region])</f>
        <v>South</v>
      </c>
      <c r="R393" t="str" cm="1">
        <f t="array" ref="R393">_xlfn.XLOOKUP($B393,Store_Dim!$A$2:$A$21,Table3[Store_Type])</f>
        <v>Flagship</v>
      </c>
      <c r="S393">
        <f>VLOOKUP(Table7[[#This Row],[Customer ID]],Table6[[Customer_ID]:[Total_Amount]],8,FALSE)</f>
        <v>1304.9459999999999</v>
      </c>
    </row>
    <row r="394" spans="1:19" x14ac:dyDescent="0.3">
      <c r="A394" t="s">
        <v>1226</v>
      </c>
      <c r="B394" t="str">
        <f>_xlfn.XLOOKUP(Table7[[#This Row],[Customer ID]],Table6[Customer_ID],Table6[Store_ID])</f>
        <v>STORE8</v>
      </c>
      <c r="C394" t="str">
        <f>_xlfn.XLOOKUP(Table7[[#This Row],[Customer ID]],Table6[Customer_ID],Table6[Product_ID])</f>
        <v>PROD75</v>
      </c>
      <c r="D394" t="str">
        <f>VLOOKUP(Table7[[#This Row],[Customer ID]],Table4[#All],2,FALSE)</f>
        <v>Jennifer Johnson</v>
      </c>
      <c r="E394">
        <f>VLOOKUP($A394,Table4[],3,FALSE)</f>
        <v>54</v>
      </c>
      <c r="F394" t="str">
        <f>VLOOKUP($A394,Table4[],4,FALSE)</f>
        <v>Male</v>
      </c>
      <c r="G394" t="str">
        <f>VLOOKUP($A394,Table4[],5,FALSE)</f>
        <v>Cheyenneborough</v>
      </c>
      <c r="H394" t="str">
        <f>VLOOKUP($A394,Table4[],6,FALSE)</f>
        <v>New Hampshire</v>
      </c>
      <c r="I394" t="str">
        <f>VLOOKUP($A394,Table4[],8,FALSE)</f>
        <v>Bronze</v>
      </c>
      <c r="J394" t="str">
        <f>VLOOKUP($C394,Table1[],2,FALSE)</f>
        <v>Women's Ankle Boots</v>
      </c>
      <c r="K394" t="str">
        <f>VLOOKUP($C394,Table1[],3,FALSE)</f>
        <v>Clothing</v>
      </c>
      <c r="L394" t="str">
        <f>VLOOKUP($C394,Table1[],4,FALSE)</f>
        <v>Footwear</v>
      </c>
      <c r="M394" t="str">
        <f>VLOOKUP($C394,Table1[],5,FALSE)</f>
        <v>Poole PLC</v>
      </c>
      <c r="N394">
        <f>VLOOKUP($C394,Table1[],6,FALSE)</f>
        <v>158.13999999999999</v>
      </c>
      <c r="O394">
        <f>VLOOKUP($C394,Table1[],7,FALSE)</f>
        <v>82</v>
      </c>
      <c r="P394" t="str">
        <f>_xlfn.XLOOKUP($B394,Table3[Store_ID],Table3[Store_Name])</f>
        <v>Bean, Jones and Park</v>
      </c>
      <c r="Q394" t="str" cm="1">
        <f t="array" ref="Q394">_xlfn.XLOOKUP($B394,Store_Dim!$A$2:$A$21,Table3[Region])</f>
        <v>West</v>
      </c>
      <c r="R394" t="str" cm="1">
        <f t="array" ref="R394">_xlfn.XLOOKUP($B394,Store_Dim!$A$2:$A$21,Table3[Store_Type])</f>
        <v>Online</v>
      </c>
      <c r="S394">
        <f>VLOOKUP(Table7[[#This Row],[Customer ID]],Table6[[Customer_ID]:[Total_Amount]],8,FALSE)</f>
        <v>1154.8943999999999</v>
      </c>
    </row>
    <row r="395" spans="1:19" x14ac:dyDescent="0.3">
      <c r="A395" t="s">
        <v>1229</v>
      </c>
      <c r="B395" t="str">
        <f>_xlfn.XLOOKUP(Table7[[#This Row],[Customer ID]],Table6[Customer_ID],Table6[Store_ID])</f>
        <v>STORE12</v>
      </c>
      <c r="C395" t="str">
        <f>_xlfn.XLOOKUP(Table7[[#This Row],[Customer ID]],Table6[Customer_ID],Table6[Product_ID])</f>
        <v>PROD66</v>
      </c>
      <c r="D395" t="str">
        <f>VLOOKUP(Table7[[#This Row],[Customer ID]],Table4[#All],2,FALSE)</f>
        <v>John Donaldson</v>
      </c>
      <c r="E395">
        <f>VLOOKUP($A395,Table4[],3,FALSE)</f>
        <v>27</v>
      </c>
      <c r="F395" t="str">
        <f>VLOOKUP($A395,Table4[],4,FALSE)</f>
        <v>Male</v>
      </c>
      <c r="G395" t="str">
        <f>VLOOKUP($A395,Table4[],5,FALSE)</f>
        <v>New Edward</v>
      </c>
      <c r="H395" t="str">
        <f>VLOOKUP($A395,Table4[],6,FALSE)</f>
        <v>Maine</v>
      </c>
      <c r="I395" t="str">
        <f>VLOOKUP($A395,Table4[],8,FALSE)</f>
        <v>Bronze</v>
      </c>
      <c r="J395" t="str">
        <f>VLOOKUP($C395,Table1[],2,FALSE)</f>
        <v>Women's Hair Dryer Brush</v>
      </c>
      <c r="K395" t="str">
        <f>VLOOKUP($C395,Table1[],3,FALSE)</f>
        <v>Beauty</v>
      </c>
      <c r="L395" t="str">
        <f>VLOOKUP($C395,Table1[],4,FALSE)</f>
        <v>Haircare</v>
      </c>
      <c r="M395" t="str">
        <f>VLOOKUP($C395,Table1[],5,FALSE)</f>
        <v>Torres, Spencer and Potter</v>
      </c>
      <c r="N395">
        <f>VLOOKUP($C395,Table1[],6,FALSE)</f>
        <v>340.39</v>
      </c>
      <c r="O395">
        <f>VLOOKUP($C395,Table1[],7,FALSE)</f>
        <v>177</v>
      </c>
      <c r="P395" t="str">
        <f>_xlfn.XLOOKUP($B395,Table3[Store_ID],Table3[Store_Name])</f>
        <v>Thomas, Bridges and Harris</v>
      </c>
      <c r="Q395" t="str" cm="1">
        <f t="array" ref="Q395">_xlfn.XLOOKUP($B395,Store_Dim!$A$2:$A$21,Table3[Region])</f>
        <v>North</v>
      </c>
      <c r="R395" t="str" cm="1">
        <f t="array" ref="R395">_xlfn.XLOOKUP($B395,Store_Dim!$A$2:$A$21,Table3[Store_Type])</f>
        <v>Online</v>
      </c>
      <c r="S395">
        <f>VLOOKUP(Table7[[#This Row],[Customer ID]],Table6[[Customer_ID]:[Total_Amount]],8,FALSE)</f>
        <v>1443.7103999999999</v>
      </c>
    </row>
    <row r="396" spans="1:19" x14ac:dyDescent="0.3">
      <c r="A396" t="s">
        <v>1232</v>
      </c>
      <c r="B396" t="str">
        <f>_xlfn.XLOOKUP(Table7[[#This Row],[Customer ID]],Table6[Customer_ID],Table6[Store_ID])</f>
        <v>STORE4</v>
      </c>
      <c r="C396" t="str">
        <f>_xlfn.XLOOKUP(Table7[[#This Row],[Customer ID]],Table6[Customer_ID],Table6[Product_ID])</f>
        <v>PROD39</v>
      </c>
      <c r="D396" t="str">
        <f>VLOOKUP(Table7[[#This Row],[Customer ID]],Table4[#All],2,FALSE)</f>
        <v>Mark Rogers</v>
      </c>
      <c r="E396">
        <f>VLOOKUP($A396,Table4[],3,FALSE)</f>
        <v>57</v>
      </c>
      <c r="F396" t="str">
        <f>VLOOKUP($A396,Table4[],4,FALSE)</f>
        <v>Female</v>
      </c>
      <c r="G396" t="str">
        <f>VLOOKUP($A396,Table4[],5,FALSE)</f>
        <v>Bookertown</v>
      </c>
      <c r="H396" t="str">
        <f>VLOOKUP($A396,Table4[],6,FALSE)</f>
        <v>Oklahoma</v>
      </c>
      <c r="I396" t="str">
        <f>VLOOKUP($A396,Table4[],8,FALSE)</f>
        <v>Platinum</v>
      </c>
      <c r="J396" t="str">
        <f>VLOOKUP($C396,Table1[],2,FALSE)</f>
        <v>Portable Power Bank</v>
      </c>
      <c r="K396" t="str">
        <f>VLOOKUP($C396,Table1[],3,FALSE)</f>
        <v>Electronics</v>
      </c>
      <c r="L396" t="str">
        <f>VLOOKUP($C396,Table1[],4,FALSE)</f>
        <v>Mobile</v>
      </c>
      <c r="M396" t="str">
        <f>VLOOKUP($C396,Table1[],5,FALSE)</f>
        <v>Cummings and Sons</v>
      </c>
      <c r="N396">
        <f>VLOOKUP($C396,Table1[],6,FALSE)</f>
        <v>326.06</v>
      </c>
      <c r="O396">
        <f>VLOOKUP($C396,Table1[],7,FALSE)</f>
        <v>301</v>
      </c>
      <c r="P396" t="str">
        <f>_xlfn.XLOOKUP($B396,Table3[Store_ID],Table3[Store_Name])</f>
        <v>Alexander Group</v>
      </c>
      <c r="Q396" t="str" cm="1">
        <f t="array" ref="Q396">_xlfn.XLOOKUP($B396,Store_Dim!$A$2:$A$21,Table3[Region])</f>
        <v>South</v>
      </c>
      <c r="R396" t="str" cm="1">
        <f t="array" ref="R396">_xlfn.XLOOKUP($B396,Store_Dim!$A$2:$A$21,Table3[Store_Type])</f>
        <v>Online</v>
      </c>
      <c r="S396">
        <f>VLOOKUP(Table7[[#This Row],[Customer ID]],Table6[[Customer_ID]:[Total_Amount]],8,FALSE)</f>
        <v>2950.14</v>
      </c>
    </row>
    <row r="397" spans="1:19" x14ac:dyDescent="0.3">
      <c r="A397" t="s">
        <v>1235</v>
      </c>
      <c r="B397" t="str">
        <f>_xlfn.XLOOKUP(Table7[[#This Row],[Customer ID]],Table6[Customer_ID],Table6[Store_ID])</f>
        <v>STORE16</v>
      </c>
      <c r="C397" t="str">
        <f>_xlfn.XLOOKUP(Table7[[#This Row],[Customer ID]],Table6[Customer_ID],Table6[Product_ID])</f>
        <v>PROD34</v>
      </c>
      <c r="D397" t="str">
        <f>VLOOKUP(Table7[[#This Row],[Customer ID]],Table4[#All],2,FALSE)</f>
        <v>Terry Moses</v>
      </c>
      <c r="E397">
        <f>VLOOKUP($A397,Table4[],3,FALSE)</f>
        <v>51</v>
      </c>
      <c r="F397" t="str">
        <f>VLOOKUP($A397,Table4[],4,FALSE)</f>
        <v>Female</v>
      </c>
      <c r="G397" t="str">
        <f>VLOOKUP($A397,Table4[],5,FALSE)</f>
        <v>Leahmouth</v>
      </c>
      <c r="H397" t="str">
        <f>VLOOKUP($A397,Table4[],6,FALSE)</f>
        <v>Nevada</v>
      </c>
      <c r="I397" t="str">
        <f>VLOOKUP($A397,Table4[],8,FALSE)</f>
        <v>Platinum</v>
      </c>
      <c r="J397" t="str">
        <f>VLOOKUP($C397,Table1[],2,FALSE)</f>
        <v>Gaming Mechanical Keyboard</v>
      </c>
      <c r="K397" t="str">
        <f>VLOOKUP($C397,Table1[],3,FALSE)</f>
        <v>Electronics</v>
      </c>
      <c r="L397" t="str">
        <f>VLOOKUP($C397,Table1[],4,FALSE)</f>
        <v>Computer</v>
      </c>
      <c r="M397" t="str">
        <f>VLOOKUP($C397,Table1[],5,FALSE)</f>
        <v>Lucero LLC</v>
      </c>
      <c r="N397">
        <f>VLOOKUP($C397,Table1[],6,FALSE)</f>
        <v>419.28</v>
      </c>
      <c r="O397">
        <f>VLOOKUP($C397,Table1[],7,FALSE)</f>
        <v>86</v>
      </c>
      <c r="P397" t="str">
        <f>_xlfn.XLOOKUP($B397,Table3[Store_ID],Table3[Store_Name])</f>
        <v>Frederick-Wright</v>
      </c>
      <c r="Q397" t="str" cm="1">
        <f t="array" ref="Q397">_xlfn.XLOOKUP($B397,Store_Dim!$A$2:$A$21,Table3[Region])</f>
        <v>West</v>
      </c>
      <c r="R397" t="str" cm="1">
        <f t="array" ref="R397">_xlfn.XLOOKUP($B397,Store_Dim!$A$2:$A$21,Table3[Store_Type])</f>
        <v>Flagship</v>
      </c>
      <c r="S397">
        <f>VLOOKUP(Table7[[#This Row],[Customer ID]],Table6[[Customer_ID]:[Total_Amount]],8,FALSE)</f>
        <v>1278.3407999999999</v>
      </c>
    </row>
    <row r="398" spans="1:19" x14ac:dyDescent="0.3">
      <c r="A398" t="s">
        <v>1238</v>
      </c>
      <c r="B398" t="str">
        <f>_xlfn.XLOOKUP(Table7[[#This Row],[Customer ID]],Table6[Customer_ID],Table6[Store_ID])</f>
        <v>STORE0</v>
      </c>
      <c r="C398" t="str">
        <f>_xlfn.XLOOKUP(Table7[[#This Row],[Customer ID]],Table6[Customer_ID],Table6[Product_ID])</f>
        <v>PROD21</v>
      </c>
      <c r="D398" t="str">
        <f>VLOOKUP(Table7[[#This Row],[Customer ID]],Table4[#All],2,FALSE)</f>
        <v>Cassandra Perez</v>
      </c>
      <c r="E398">
        <f>VLOOKUP($A398,Table4[],3,FALSE)</f>
        <v>31</v>
      </c>
      <c r="F398" t="str">
        <f>VLOOKUP($A398,Table4[],4,FALSE)</f>
        <v>Male</v>
      </c>
      <c r="G398" t="str">
        <f>VLOOKUP($A398,Table4[],5,FALSE)</f>
        <v>Brandonville</v>
      </c>
      <c r="H398" t="str">
        <f>VLOOKUP($A398,Table4[],6,FALSE)</f>
        <v>Mississippi</v>
      </c>
      <c r="I398" t="str">
        <f>VLOOKUP($A398,Table4[],8,FALSE)</f>
        <v>Bronze</v>
      </c>
      <c r="J398" t="str">
        <f>VLOOKUP($C398,Table1[],2,FALSE)</f>
        <v>Multi-Purpose Storage Box</v>
      </c>
      <c r="K398" t="str">
        <f>VLOOKUP($C398,Table1[],3,FALSE)</f>
        <v>Home</v>
      </c>
      <c r="L398" t="str">
        <f>VLOOKUP($C398,Table1[],4,FALSE)</f>
        <v>Storage</v>
      </c>
      <c r="M398" t="str">
        <f>VLOOKUP($C398,Table1[],5,FALSE)</f>
        <v>Gardner-Montes</v>
      </c>
      <c r="N398">
        <f>VLOOKUP($C398,Table1[],6,FALSE)</f>
        <v>123.46</v>
      </c>
      <c r="O398">
        <f>VLOOKUP($C398,Table1[],7,FALSE)</f>
        <v>76</v>
      </c>
      <c r="P398" t="str">
        <f>_xlfn.XLOOKUP($B398,Table3[Store_ID],Table3[Store_Name])</f>
        <v>Rivera-Warner</v>
      </c>
      <c r="Q398" t="str" cm="1">
        <f t="array" ref="Q398">_xlfn.XLOOKUP($B398,Store_Dim!$A$2:$A$21,Table3[Region])</f>
        <v>East</v>
      </c>
      <c r="R398" t="str" cm="1">
        <f t="array" ref="R398">_xlfn.XLOOKUP($B398,Store_Dim!$A$2:$A$21,Table3[Store_Type])</f>
        <v>Flagship</v>
      </c>
      <c r="S398">
        <f>VLOOKUP(Table7[[#This Row],[Customer ID]],Table6[[Customer_ID]:[Total_Amount]],8,FALSE)</f>
        <v>605.43299999999999</v>
      </c>
    </row>
    <row r="399" spans="1:19" x14ac:dyDescent="0.3">
      <c r="A399" t="s">
        <v>1240</v>
      </c>
      <c r="B399" t="str">
        <f>_xlfn.XLOOKUP(Table7[[#This Row],[Customer ID]],Table6[Customer_ID],Table6[Store_ID])</f>
        <v>STORE18</v>
      </c>
      <c r="C399" t="str">
        <f>_xlfn.XLOOKUP(Table7[[#This Row],[Customer ID]],Table6[Customer_ID],Table6[Product_ID])</f>
        <v>PROD17</v>
      </c>
      <c r="D399" t="str">
        <f>VLOOKUP(Table7[[#This Row],[Customer ID]],Table4[#All],2,FALSE)</f>
        <v>Justin Ingram</v>
      </c>
      <c r="E399">
        <f>VLOOKUP($A399,Table4[],3,FALSE)</f>
        <v>34</v>
      </c>
      <c r="F399" t="str">
        <f>VLOOKUP($A399,Table4[],4,FALSE)</f>
        <v>Male</v>
      </c>
      <c r="G399" t="str">
        <f>VLOOKUP($A399,Table4[],5,FALSE)</f>
        <v>Lake Lisaland</v>
      </c>
      <c r="H399" t="str">
        <f>VLOOKUP($A399,Table4[],6,FALSE)</f>
        <v>Louisiana</v>
      </c>
      <c r="I399" t="str">
        <f>VLOOKUP($A399,Table4[],8,FALSE)</f>
        <v>Bronze</v>
      </c>
      <c r="J399" t="str">
        <f>VLOOKUP($C399,Table1[],2,FALSE)</f>
        <v>Soccer Training Cone Set</v>
      </c>
      <c r="K399" t="str">
        <f>VLOOKUP($C399,Table1[],3,FALSE)</f>
        <v>Sports</v>
      </c>
      <c r="L399" t="str">
        <f>VLOOKUP($C399,Table1[],4,FALSE)</f>
        <v>Accessories</v>
      </c>
      <c r="M399" t="str">
        <f>VLOOKUP($C399,Table1[],5,FALSE)</f>
        <v>Ford, Murphy and Wilson</v>
      </c>
      <c r="N399">
        <f>VLOOKUP($C399,Table1[],6,FALSE)</f>
        <v>144.53</v>
      </c>
      <c r="O399">
        <f>VLOOKUP($C399,Table1[],7,FALSE)</f>
        <v>367</v>
      </c>
      <c r="P399" t="str">
        <f>_xlfn.XLOOKUP($B399,Table3[Store_ID],Table3[Store_Name])</f>
        <v>Guerrero-Schmitt</v>
      </c>
      <c r="Q399" t="str" cm="1">
        <f t="array" ref="Q399">_xlfn.XLOOKUP($B399,Store_Dim!$A$2:$A$21,Table3[Region])</f>
        <v>East</v>
      </c>
      <c r="R399" t="str" cm="1">
        <f t="array" ref="R399">_xlfn.XLOOKUP($B399,Store_Dim!$A$2:$A$21,Table3[Store_Type])</f>
        <v>Flagship</v>
      </c>
      <c r="S399">
        <f>VLOOKUP(Table7[[#This Row],[Customer ID]],Table6[[Customer_ID]:[Total_Amount]],8,FALSE)</f>
        <v>133.4332</v>
      </c>
    </row>
    <row r="400" spans="1:19" x14ac:dyDescent="0.3">
      <c r="A400" t="s">
        <v>1243</v>
      </c>
      <c r="B400" t="str">
        <f>_xlfn.XLOOKUP(Table7[[#This Row],[Customer ID]],Table6[Customer_ID],Table6[Store_ID])</f>
        <v>STORE7</v>
      </c>
      <c r="C400" t="str">
        <f>_xlfn.XLOOKUP(Table7[[#This Row],[Customer ID]],Table6[Customer_ID],Table6[Product_ID])</f>
        <v>PROD15</v>
      </c>
      <c r="D400" t="str">
        <f>VLOOKUP(Table7[[#This Row],[Customer ID]],Table4[#All],2,FALSE)</f>
        <v>David Ross</v>
      </c>
      <c r="E400">
        <f>VLOOKUP($A400,Table4[],3,FALSE)</f>
        <v>22</v>
      </c>
      <c r="F400" t="str">
        <f>VLOOKUP($A400,Table4[],4,FALSE)</f>
        <v>Female</v>
      </c>
      <c r="G400" t="str">
        <f>VLOOKUP($A400,Table4[],5,FALSE)</f>
        <v>South Angela</v>
      </c>
      <c r="H400" t="str">
        <f>VLOOKUP($A400,Table4[],6,FALSE)</f>
        <v>Arkansas</v>
      </c>
      <c r="I400" t="str">
        <f>VLOOKUP($A400,Table4[],8,FALSE)</f>
        <v>Silver</v>
      </c>
      <c r="J400" t="str">
        <f>VLOOKUP($C400,Table1[],2,FALSE)</f>
        <v>4K Home Projector</v>
      </c>
      <c r="K400" t="str">
        <f>VLOOKUP($C400,Table1[],3,FALSE)</f>
        <v>Electronics</v>
      </c>
      <c r="L400" t="str">
        <f>VLOOKUP($C400,Table1[],4,FALSE)</f>
        <v>Appliances</v>
      </c>
      <c r="M400" t="str">
        <f>VLOOKUP($C400,Table1[],5,FALSE)</f>
        <v>Thomas LLC</v>
      </c>
      <c r="N400">
        <f>VLOOKUP($C400,Table1[],6,FALSE)</f>
        <v>465.34</v>
      </c>
      <c r="O400">
        <f>VLOOKUP($C400,Table1[],7,FALSE)</f>
        <v>301</v>
      </c>
      <c r="P400" t="str">
        <f>_xlfn.XLOOKUP($B400,Table3[Store_ID],Table3[Store_Name])</f>
        <v>Martinez-Mullins</v>
      </c>
      <c r="Q400" t="str" cm="1">
        <f t="array" ref="Q400">_xlfn.XLOOKUP($B400,Store_Dim!$A$2:$A$21,Table3[Region])</f>
        <v>South</v>
      </c>
      <c r="R400" t="str" cm="1">
        <f t="array" ref="R400">_xlfn.XLOOKUP($B400,Store_Dim!$A$2:$A$21,Table3[Store_Type])</f>
        <v>Online</v>
      </c>
      <c r="S400">
        <f>VLOOKUP(Table7[[#This Row],[Customer ID]],Table6[[Customer_ID]:[Total_Amount]],8,FALSE)</f>
        <v>2552.3015999999998</v>
      </c>
    </row>
    <row r="401" spans="1:19" x14ac:dyDescent="0.3">
      <c r="A401" t="s">
        <v>1246</v>
      </c>
      <c r="B401" t="str">
        <f>_xlfn.XLOOKUP(Table7[[#This Row],[Customer ID]],Table6[Customer_ID],Table6[Store_ID])</f>
        <v>STORE2</v>
      </c>
      <c r="C401" t="str">
        <f>_xlfn.XLOOKUP(Table7[[#This Row],[Customer ID]],Table6[Customer_ID],Table6[Product_ID])</f>
        <v>PROD48</v>
      </c>
      <c r="D401" t="str">
        <f>VLOOKUP(Table7[[#This Row],[Customer ID]],Table4[#All],2,FALSE)</f>
        <v>Eric Wolfe</v>
      </c>
      <c r="E401">
        <f>VLOOKUP($A401,Table4[],3,FALSE)</f>
        <v>18</v>
      </c>
      <c r="F401" t="str">
        <f>VLOOKUP($A401,Table4[],4,FALSE)</f>
        <v>Female</v>
      </c>
      <c r="G401" t="str">
        <f>VLOOKUP($A401,Table4[],5,FALSE)</f>
        <v>Garciaview</v>
      </c>
      <c r="H401" t="str">
        <f>VLOOKUP($A401,Table4[],6,FALSE)</f>
        <v>Louisiana</v>
      </c>
      <c r="I401" t="str">
        <f>VLOOKUP($A401,Table4[],8,FALSE)</f>
        <v>Gold</v>
      </c>
      <c r="J401" t="str">
        <f>VLOOKUP($C401,Table1[],2,FALSE)</f>
        <v>Car Dashboard Phone Holder</v>
      </c>
      <c r="K401" t="str">
        <f>VLOOKUP($C401,Table1[],3,FALSE)</f>
        <v>Electronics</v>
      </c>
      <c r="L401" t="str">
        <f>VLOOKUP($C401,Table1[],4,FALSE)</f>
        <v>Accessories</v>
      </c>
      <c r="M401" t="str">
        <f>VLOOKUP($C401,Table1[],5,FALSE)</f>
        <v>Byrd, Stewart and Valdez</v>
      </c>
      <c r="N401">
        <f>VLOOKUP($C401,Table1[],6,FALSE)</f>
        <v>177.98</v>
      </c>
      <c r="O401">
        <f>VLOOKUP($C401,Table1[],7,FALSE)</f>
        <v>103</v>
      </c>
      <c r="P401" t="str">
        <f>_xlfn.XLOOKUP($B401,Table3[Store_ID],Table3[Store_Name])</f>
        <v>Black-Horn</v>
      </c>
      <c r="Q401" t="str" cm="1">
        <f t="array" ref="Q401">_xlfn.XLOOKUP($B401,Store_Dim!$A$2:$A$21,Table3[Region])</f>
        <v>South</v>
      </c>
      <c r="R401" t="str" cm="1">
        <f t="array" ref="R401">_xlfn.XLOOKUP($B401,Store_Dim!$A$2:$A$21,Table3[Store_Type])</f>
        <v>Outlet</v>
      </c>
      <c r="S401">
        <f>VLOOKUP(Table7[[#This Row],[Customer ID]],Table6[[Customer_ID]:[Total_Amount]],8,FALSE)</f>
        <v>300.2022</v>
      </c>
    </row>
    <row r="402" spans="1:19" x14ac:dyDescent="0.3">
      <c r="A402" t="s">
        <v>1249</v>
      </c>
      <c r="B402" t="str">
        <f>_xlfn.XLOOKUP(Table7[[#This Row],[Customer ID]],Table6[Customer_ID],Table6[Store_ID])</f>
        <v>STORE1</v>
      </c>
      <c r="C402" t="str">
        <f>_xlfn.XLOOKUP(Table7[[#This Row],[Customer ID]],Table6[Customer_ID],Table6[Product_ID])</f>
        <v>PROD16</v>
      </c>
      <c r="D402" t="str">
        <f>VLOOKUP(Table7[[#This Row],[Customer ID]],Table4[#All],2,FALSE)</f>
        <v>David Lozano</v>
      </c>
      <c r="E402">
        <f>VLOOKUP($A402,Table4[],3,FALSE)</f>
        <v>23</v>
      </c>
      <c r="F402" t="str">
        <f>VLOOKUP($A402,Table4[],4,FALSE)</f>
        <v>Female</v>
      </c>
      <c r="G402" t="str">
        <f>VLOOKUP($A402,Table4[],5,FALSE)</f>
        <v>North Michaelfurt</v>
      </c>
      <c r="H402" t="str">
        <f>VLOOKUP($A402,Table4[],6,FALSE)</f>
        <v>Wisconsin</v>
      </c>
      <c r="I402" t="str">
        <f>VLOOKUP($A402,Table4[],8,FALSE)</f>
        <v>Gold</v>
      </c>
      <c r="J402" t="str">
        <f>VLOOKUP($C402,Table1[],2,FALSE)</f>
        <v>Beard Grooming Kit</v>
      </c>
      <c r="K402" t="str">
        <f>VLOOKUP($C402,Table1[],3,FALSE)</f>
        <v>Beauty</v>
      </c>
      <c r="L402" t="str">
        <f>VLOOKUP($C402,Table1[],4,FALSE)</f>
        <v>Grooming</v>
      </c>
      <c r="M402" t="str">
        <f>VLOOKUP($C402,Table1[],5,FALSE)</f>
        <v>Erickson-Green</v>
      </c>
      <c r="N402">
        <f>VLOOKUP($C402,Table1[],6,FALSE)</f>
        <v>337.42</v>
      </c>
      <c r="O402">
        <f>VLOOKUP($C402,Table1[],7,FALSE)</f>
        <v>256</v>
      </c>
      <c r="P402" t="str">
        <f>_xlfn.XLOOKUP($B402,Table3[Store_ID],Table3[Store_Name])</f>
        <v>Martinez, Adkins and Johnson</v>
      </c>
      <c r="Q402" t="str" cm="1">
        <f t="array" ref="Q402">_xlfn.XLOOKUP($B402,Store_Dim!$A$2:$A$21,Table3[Region])</f>
        <v>North</v>
      </c>
      <c r="R402" t="str" cm="1">
        <f t="array" ref="R402">_xlfn.XLOOKUP($B402,Store_Dim!$A$2:$A$21,Table3[Store_Type])</f>
        <v>Flagship</v>
      </c>
      <c r="S402">
        <f>VLOOKUP(Table7[[#This Row],[Customer ID]],Table6[[Customer_ID]:[Total_Amount]],8,FALSE)</f>
        <v>339.27080000000001</v>
      </c>
    </row>
    <row r="403" spans="1:19" x14ac:dyDescent="0.3">
      <c r="A403" t="s">
        <v>1252</v>
      </c>
      <c r="B403" t="str">
        <f>_xlfn.XLOOKUP(Table7[[#This Row],[Customer ID]],Table6[Customer_ID],Table6[Store_ID])</f>
        <v>STORE15</v>
      </c>
      <c r="C403" t="str">
        <f>_xlfn.XLOOKUP(Table7[[#This Row],[Customer ID]],Table6[Customer_ID],Table6[Product_ID])</f>
        <v>PROD70</v>
      </c>
      <c r="D403" t="str">
        <f>VLOOKUP(Table7[[#This Row],[Customer ID]],Table4[#All],2,FALSE)</f>
        <v>Joseph Mendoza</v>
      </c>
      <c r="E403">
        <f>VLOOKUP($A403,Table4[],3,FALSE)</f>
        <v>33</v>
      </c>
      <c r="F403" t="str">
        <f>VLOOKUP($A403,Table4[],4,FALSE)</f>
        <v>Male</v>
      </c>
      <c r="G403" t="str">
        <f>VLOOKUP($A403,Table4[],5,FALSE)</f>
        <v>Ashleymouth</v>
      </c>
      <c r="H403" t="str">
        <f>VLOOKUP($A403,Table4[],6,FALSE)</f>
        <v>Maryland</v>
      </c>
      <c r="I403" t="str">
        <f>VLOOKUP($A403,Table4[],8,FALSE)</f>
        <v>Gold</v>
      </c>
      <c r="J403" t="str">
        <f>VLOOKUP($C403,Table1[],2,FALSE)</f>
        <v>Kitchen Storage Rack</v>
      </c>
      <c r="K403" t="str">
        <f>VLOOKUP($C403,Table1[],3,FALSE)</f>
        <v>Home</v>
      </c>
      <c r="L403" t="str">
        <f>VLOOKUP($C403,Table1[],4,FALSE)</f>
        <v>Storage</v>
      </c>
      <c r="M403" t="str">
        <f>VLOOKUP($C403,Table1[],5,FALSE)</f>
        <v>Duran Group</v>
      </c>
      <c r="N403">
        <f>VLOOKUP($C403,Table1[],6,FALSE)</f>
        <v>138.05000000000001</v>
      </c>
      <c r="O403">
        <f>VLOOKUP($C403,Table1[],7,FALSE)</f>
        <v>89</v>
      </c>
      <c r="P403" t="str">
        <f>_xlfn.XLOOKUP($B403,Table3[Store_ID],Table3[Store_Name])</f>
        <v>Shelton PLC</v>
      </c>
      <c r="Q403" t="str" cm="1">
        <f t="array" ref="Q403">_xlfn.XLOOKUP($B403,Store_Dim!$A$2:$A$21,Table3[Region])</f>
        <v>North</v>
      </c>
      <c r="R403" t="str" cm="1">
        <f t="array" ref="R403">_xlfn.XLOOKUP($B403,Store_Dim!$A$2:$A$21,Table3[Store_Type])</f>
        <v>Flagship</v>
      </c>
      <c r="S403">
        <f>VLOOKUP(Table7[[#This Row],[Customer ID]],Table6[[Customer_ID]:[Total_Amount]],8,FALSE)</f>
        <v>1048.1238000000001</v>
      </c>
    </row>
    <row r="404" spans="1:19" x14ac:dyDescent="0.3">
      <c r="A404" t="s">
        <v>1255</v>
      </c>
      <c r="B404" t="str">
        <f>_xlfn.XLOOKUP(Table7[[#This Row],[Customer ID]],Table6[Customer_ID],Table6[Store_ID])</f>
        <v>STORE10</v>
      </c>
      <c r="C404" t="str">
        <f>_xlfn.XLOOKUP(Table7[[#This Row],[Customer ID]],Table6[Customer_ID],Table6[Product_ID])</f>
        <v>PROD31</v>
      </c>
      <c r="D404" t="str">
        <f>VLOOKUP(Table7[[#This Row],[Customer ID]],Table4[#All],2,FALSE)</f>
        <v>Isabel Foster</v>
      </c>
      <c r="E404">
        <f>VLOOKUP($A404,Table4[],3,FALSE)</f>
        <v>36</v>
      </c>
      <c r="F404" t="str">
        <f>VLOOKUP($A404,Table4[],4,FALSE)</f>
        <v>Male</v>
      </c>
      <c r="G404" t="str">
        <f>VLOOKUP($A404,Table4[],5,FALSE)</f>
        <v>Port Joshuaville</v>
      </c>
      <c r="H404" t="str">
        <f>VLOOKUP($A404,Table4[],6,FALSE)</f>
        <v>New Jersey</v>
      </c>
      <c r="I404" t="str">
        <f>VLOOKUP($A404,Table4[],8,FALSE)</f>
        <v>Gold</v>
      </c>
      <c r="J404" t="str">
        <f>VLOOKUP($C404,Table1[],2,FALSE)</f>
        <v>Basketball</v>
      </c>
      <c r="K404" t="str">
        <f>VLOOKUP($C404,Table1[],3,FALSE)</f>
        <v>Sports</v>
      </c>
      <c r="L404" t="str">
        <f>VLOOKUP($C404,Table1[],4,FALSE)</f>
        <v>Team Sports</v>
      </c>
      <c r="M404" t="str">
        <f>VLOOKUP($C404,Table1[],5,FALSE)</f>
        <v>Nolan-Snow</v>
      </c>
      <c r="N404">
        <f>VLOOKUP($C404,Table1[],6,FALSE)</f>
        <v>204.39</v>
      </c>
      <c r="O404">
        <f>VLOOKUP($C404,Table1[],7,FALSE)</f>
        <v>281</v>
      </c>
      <c r="P404" t="str">
        <f>_xlfn.XLOOKUP($B404,Table3[Store_ID],Table3[Store_Name])</f>
        <v>Hill, Wagner and Ballard</v>
      </c>
      <c r="Q404" t="str" cm="1">
        <f t="array" ref="Q404">_xlfn.XLOOKUP($B404,Store_Dim!$A$2:$A$21,Table3[Region])</f>
        <v>East</v>
      </c>
      <c r="R404" t="str" cm="1">
        <f t="array" ref="R404">_xlfn.XLOOKUP($B404,Store_Dim!$A$2:$A$21,Table3[Store_Type])</f>
        <v>Online</v>
      </c>
      <c r="S404">
        <f>VLOOKUP(Table7[[#This Row],[Customer ID]],Table6[[Customer_ID]:[Total_Amount]],8,FALSE)</f>
        <v>180.93530000000001</v>
      </c>
    </row>
    <row r="405" spans="1:19" x14ac:dyDescent="0.3">
      <c r="A405" t="s">
        <v>1258</v>
      </c>
      <c r="B405" t="str">
        <f>_xlfn.XLOOKUP(Table7[[#This Row],[Customer ID]],Table6[Customer_ID],Table6[Store_ID])</f>
        <v>STORE3</v>
      </c>
      <c r="C405" t="str">
        <f>_xlfn.XLOOKUP(Table7[[#This Row],[Customer ID]],Table6[Customer_ID],Table6[Product_ID])</f>
        <v>PROD97</v>
      </c>
      <c r="D405" t="str">
        <f>VLOOKUP(Table7[[#This Row],[Customer ID]],Table4[#All],2,FALSE)</f>
        <v>Sarah Smith</v>
      </c>
      <c r="E405">
        <f>VLOOKUP($A405,Table4[],3,FALSE)</f>
        <v>55</v>
      </c>
      <c r="F405" t="str">
        <f>VLOOKUP($A405,Table4[],4,FALSE)</f>
        <v>Male</v>
      </c>
      <c r="G405" t="str">
        <f>VLOOKUP($A405,Table4[],5,FALSE)</f>
        <v>Kathleenport</v>
      </c>
      <c r="H405" t="str">
        <f>VLOOKUP($A405,Table4[],6,FALSE)</f>
        <v>Wyoming</v>
      </c>
      <c r="I405" t="str">
        <f>VLOOKUP($A405,Table4[],8,FALSE)</f>
        <v>Gold</v>
      </c>
      <c r="J405" t="str">
        <f>VLOOKUP($C405,Table1[],2,FALSE)</f>
        <v>Cricket Bat</v>
      </c>
      <c r="K405" t="str">
        <f>VLOOKUP($C405,Table1[],3,FALSE)</f>
        <v>Sports</v>
      </c>
      <c r="L405" t="str">
        <f>VLOOKUP($C405,Table1[],4,FALSE)</f>
        <v>Team Sports</v>
      </c>
      <c r="M405" t="str">
        <f>VLOOKUP($C405,Table1[],5,FALSE)</f>
        <v>Khan LLC</v>
      </c>
      <c r="N405">
        <f>VLOOKUP($C405,Table1[],6,FALSE)</f>
        <v>245.98</v>
      </c>
      <c r="O405">
        <f>VLOOKUP($C405,Table1[],7,FALSE)</f>
        <v>471</v>
      </c>
      <c r="P405" t="str">
        <f>_xlfn.XLOOKUP($B405,Table3[Store_ID],Table3[Store_Name])</f>
        <v>Johnson-Wright</v>
      </c>
      <c r="Q405" t="str" cm="1">
        <f t="array" ref="Q405">_xlfn.XLOOKUP($B405,Store_Dim!$A$2:$A$21,Table3[Region])</f>
        <v>North</v>
      </c>
      <c r="R405" t="str" cm="1">
        <f t="array" ref="R405">_xlfn.XLOOKUP($B405,Store_Dim!$A$2:$A$21,Table3[Store_Type])</f>
        <v>Outlet</v>
      </c>
      <c r="S405">
        <f>VLOOKUP(Table7[[#This Row],[Customer ID]],Table6[[Customer_ID]:[Total_Amount]],8,FALSE)</f>
        <v>198.41640000000001</v>
      </c>
    </row>
    <row r="406" spans="1:19" x14ac:dyDescent="0.3">
      <c r="A406" t="s">
        <v>1261</v>
      </c>
      <c r="B406" t="str">
        <f>_xlfn.XLOOKUP(Table7[[#This Row],[Customer ID]],Table6[Customer_ID],Table6[Store_ID])</f>
        <v>STORE14</v>
      </c>
      <c r="C406" t="str">
        <f>_xlfn.XLOOKUP(Table7[[#This Row],[Customer ID]],Table6[Customer_ID],Table6[Product_ID])</f>
        <v>PROD96</v>
      </c>
      <c r="D406" t="str">
        <f>VLOOKUP(Table7[[#This Row],[Customer ID]],Table4[#All],2,FALSE)</f>
        <v>Jackie Thompson</v>
      </c>
      <c r="E406">
        <f>VLOOKUP($A406,Table4[],3,FALSE)</f>
        <v>48</v>
      </c>
      <c r="F406" t="str">
        <f>VLOOKUP($A406,Table4[],4,FALSE)</f>
        <v>Female</v>
      </c>
      <c r="G406" t="str">
        <f>VLOOKUP($A406,Table4[],5,FALSE)</f>
        <v>South Edwin</v>
      </c>
      <c r="H406" t="str">
        <f>VLOOKUP($A406,Table4[],6,FALSE)</f>
        <v>New Jersey</v>
      </c>
      <c r="I406" t="str">
        <f>VLOOKUP($A406,Table4[],8,FALSE)</f>
        <v>Bronze</v>
      </c>
      <c r="J406" t="str">
        <f>VLOOKUP($C406,Table1[],2,FALSE)</f>
        <v>Women's Formal Blazer</v>
      </c>
      <c r="K406" t="str">
        <f>VLOOKUP($C406,Table1[],3,FALSE)</f>
        <v>Clothing</v>
      </c>
      <c r="L406" t="str">
        <f>VLOOKUP($C406,Table1[],4,FALSE)</f>
        <v>Outerwear</v>
      </c>
      <c r="M406" t="str">
        <f>VLOOKUP($C406,Table1[],5,FALSE)</f>
        <v>Phillips and Sons</v>
      </c>
      <c r="N406">
        <f>VLOOKUP($C406,Table1[],6,FALSE)</f>
        <v>358.47</v>
      </c>
      <c r="O406">
        <f>VLOOKUP($C406,Table1[],7,FALSE)</f>
        <v>143</v>
      </c>
      <c r="P406" t="str">
        <f>_xlfn.XLOOKUP($B406,Table3[Store_ID],Table3[Store_Name])</f>
        <v>Mcdonald Inc</v>
      </c>
      <c r="Q406" t="str" cm="1">
        <f t="array" ref="Q406">_xlfn.XLOOKUP($B406,Store_Dim!$A$2:$A$21,Table3[Region])</f>
        <v>South</v>
      </c>
      <c r="R406" t="str" cm="1">
        <f t="array" ref="R406">_xlfn.XLOOKUP($B406,Store_Dim!$A$2:$A$21,Table3[Store_Type])</f>
        <v>Outlet</v>
      </c>
      <c r="S406">
        <f>VLOOKUP(Table7[[#This Row],[Customer ID]],Table6[[Customer_ID]:[Total_Amount]],8,FALSE)</f>
        <v>2681.3406</v>
      </c>
    </row>
    <row r="407" spans="1:19" x14ac:dyDescent="0.3">
      <c r="A407" t="s">
        <v>1264</v>
      </c>
      <c r="B407" t="str">
        <f>_xlfn.XLOOKUP(Table7[[#This Row],[Customer ID]],Table6[Customer_ID],Table6[Store_ID])</f>
        <v>STORE15</v>
      </c>
      <c r="C407" t="str">
        <f>_xlfn.XLOOKUP(Table7[[#This Row],[Customer ID]],Table6[Customer_ID],Table6[Product_ID])</f>
        <v>PROD18</v>
      </c>
      <c r="D407" t="str">
        <f>VLOOKUP(Table7[[#This Row],[Customer ID]],Table4[#All],2,FALSE)</f>
        <v>Katrina Perez</v>
      </c>
      <c r="E407">
        <f>VLOOKUP($A407,Table4[],3,FALSE)</f>
        <v>63</v>
      </c>
      <c r="F407" t="str">
        <f>VLOOKUP($A407,Table4[],4,FALSE)</f>
        <v>Male</v>
      </c>
      <c r="G407" t="str">
        <f>VLOOKUP($A407,Table4[],5,FALSE)</f>
        <v>West Rebecca</v>
      </c>
      <c r="H407" t="str">
        <f>VLOOKUP($A407,Table4[],6,FALSE)</f>
        <v>Ohio</v>
      </c>
      <c r="I407" t="str">
        <f>VLOOKUP($A407,Table4[],8,FALSE)</f>
        <v>Silver</v>
      </c>
      <c r="J407" t="str">
        <f>VLOOKUP($C407,Table1[],2,FALSE)</f>
        <v>Women's Denim Jeans</v>
      </c>
      <c r="K407" t="str">
        <f>VLOOKUP($C407,Table1[],3,FALSE)</f>
        <v>Clothing</v>
      </c>
      <c r="L407" t="str">
        <f>VLOOKUP($C407,Table1[],4,FALSE)</f>
        <v>Bottoms</v>
      </c>
      <c r="M407" t="str">
        <f>VLOOKUP($C407,Table1[],5,FALSE)</f>
        <v>Guerra-Hendrix</v>
      </c>
      <c r="N407">
        <f>VLOOKUP($C407,Table1[],6,FALSE)</f>
        <v>303.75</v>
      </c>
      <c r="O407">
        <f>VLOOKUP($C407,Table1[],7,FALSE)</f>
        <v>343</v>
      </c>
      <c r="P407" t="str">
        <f>_xlfn.XLOOKUP($B407,Table3[Store_ID],Table3[Store_Name])</f>
        <v>Shelton PLC</v>
      </c>
      <c r="Q407" t="str" cm="1">
        <f t="array" ref="Q407">_xlfn.XLOOKUP($B407,Store_Dim!$A$2:$A$21,Table3[Region])</f>
        <v>North</v>
      </c>
      <c r="R407" t="str" cm="1">
        <f t="array" ref="R407">_xlfn.XLOOKUP($B407,Store_Dim!$A$2:$A$21,Table3[Store_Type])</f>
        <v>Flagship</v>
      </c>
      <c r="S407">
        <f>VLOOKUP(Table7[[#This Row],[Customer ID]],Table6[[Customer_ID]:[Total_Amount]],8,FALSE)</f>
        <v>116.23139999999999</v>
      </c>
    </row>
    <row r="408" spans="1:19" x14ac:dyDescent="0.3">
      <c r="A408" t="s">
        <v>1267</v>
      </c>
      <c r="B408" t="str">
        <f>_xlfn.XLOOKUP(Table7[[#This Row],[Customer ID]],Table6[Customer_ID],Table6[Store_ID])</f>
        <v>STORE12</v>
      </c>
      <c r="C408" t="str">
        <f>_xlfn.XLOOKUP(Table7[[#This Row],[Customer ID]],Table6[Customer_ID],Table6[Product_ID])</f>
        <v>PROD53</v>
      </c>
      <c r="D408" t="str">
        <f>VLOOKUP(Table7[[#This Row],[Customer ID]],Table4[#All],2,FALSE)</f>
        <v>Shane Brown</v>
      </c>
      <c r="E408">
        <f>VLOOKUP($A408,Table4[],3,FALSE)</f>
        <v>23</v>
      </c>
      <c r="F408" t="str">
        <f>VLOOKUP($A408,Table4[],4,FALSE)</f>
        <v>Female</v>
      </c>
      <c r="G408" t="str">
        <f>VLOOKUP($A408,Table4[],5,FALSE)</f>
        <v>East Andrea</v>
      </c>
      <c r="H408" t="str">
        <f>VLOOKUP($A408,Table4[],6,FALSE)</f>
        <v>Michigan</v>
      </c>
      <c r="I408" t="str">
        <f>VLOOKUP($A408,Table4[],8,FALSE)</f>
        <v>Gold</v>
      </c>
      <c r="J408" t="str">
        <f>VLOOKUP($C408,Table1[],2,FALSE)</f>
        <v>Men's Track Pants</v>
      </c>
      <c r="K408" t="str">
        <f>VLOOKUP($C408,Table1[],3,FALSE)</f>
        <v>Clothing</v>
      </c>
      <c r="L408" t="str">
        <f>VLOOKUP($C408,Table1[],4,FALSE)</f>
        <v>Bottoms</v>
      </c>
      <c r="M408" t="str">
        <f>VLOOKUP($C408,Table1[],5,FALSE)</f>
        <v>Hamilton, Woods and Walker</v>
      </c>
      <c r="N408">
        <f>VLOOKUP($C408,Table1[],6,FALSE)</f>
        <v>386.56</v>
      </c>
      <c r="O408">
        <f>VLOOKUP($C408,Table1[],7,FALSE)</f>
        <v>125</v>
      </c>
      <c r="P408" t="str">
        <f>_xlfn.XLOOKUP($B408,Table3[Store_ID],Table3[Store_Name])</f>
        <v>Thomas, Bridges and Harris</v>
      </c>
      <c r="Q408" t="str" cm="1">
        <f t="array" ref="Q408">_xlfn.XLOOKUP($B408,Store_Dim!$A$2:$A$21,Table3[Region])</f>
        <v>North</v>
      </c>
      <c r="R408" t="str" cm="1">
        <f t="array" ref="R408">_xlfn.XLOOKUP($B408,Store_Dim!$A$2:$A$21,Table3[Store_Type])</f>
        <v>Online</v>
      </c>
      <c r="S408">
        <f>VLOOKUP(Table7[[#This Row],[Customer ID]],Table6[[Customer_ID]:[Total_Amount]],8,FALSE)</f>
        <v>288.98239999999998</v>
      </c>
    </row>
    <row r="409" spans="1:19" x14ac:dyDescent="0.3">
      <c r="A409" t="s">
        <v>1269</v>
      </c>
      <c r="B409" t="str">
        <f>_xlfn.XLOOKUP(Table7[[#This Row],[Customer ID]],Table6[Customer_ID],Table6[Store_ID])</f>
        <v>STORE14</v>
      </c>
      <c r="C409" t="str">
        <f>_xlfn.XLOOKUP(Table7[[#This Row],[Customer ID]],Table6[Customer_ID],Table6[Product_ID])</f>
        <v>PROD70</v>
      </c>
      <c r="D409" t="str">
        <f>VLOOKUP(Table7[[#This Row],[Customer ID]],Table4[#All],2,FALSE)</f>
        <v>Megan Ryan</v>
      </c>
      <c r="E409">
        <f>VLOOKUP($A409,Table4[],3,FALSE)</f>
        <v>59</v>
      </c>
      <c r="F409" t="str">
        <f>VLOOKUP($A409,Table4[],4,FALSE)</f>
        <v>Female</v>
      </c>
      <c r="G409" t="str">
        <f>VLOOKUP($A409,Table4[],5,FALSE)</f>
        <v>Andrewsfurt</v>
      </c>
      <c r="H409" t="str">
        <f>VLOOKUP($A409,Table4[],6,FALSE)</f>
        <v>Idaho</v>
      </c>
      <c r="I409" t="str">
        <f>VLOOKUP($A409,Table4[],8,FALSE)</f>
        <v>Bronze</v>
      </c>
      <c r="J409" t="str">
        <f>VLOOKUP($C409,Table1[],2,FALSE)</f>
        <v>Kitchen Storage Rack</v>
      </c>
      <c r="K409" t="str">
        <f>VLOOKUP($C409,Table1[],3,FALSE)</f>
        <v>Home</v>
      </c>
      <c r="L409" t="str">
        <f>VLOOKUP($C409,Table1[],4,FALSE)</f>
        <v>Storage</v>
      </c>
      <c r="M409" t="str">
        <f>VLOOKUP($C409,Table1[],5,FALSE)</f>
        <v>Duran Group</v>
      </c>
      <c r="N409">
        <f>VLOOKUP($C409,Table1[],6,FALSE)</f>
        <v>138.05000000000001</v>
      </c>
      <c r="O409">
        <f>VLOOKUP($C409,Table1[],7,FALSE)</f>
        <v>89</v>
      </c>
      <c r="P409" t="str">
        <f>_xlfn.XLOOKUP($B409,Table3[Store_ID],Table3[Store_Name])</f>
        <v>Mcdonald Inc</v>
      </c>
      <c r="Q409" t="str" cm="1">
        <f t="array" ref="Q409">_xlfn.XLOOKUP($B409,Store_Dim!$A$2:$A$21,Table3[Region])</f>
        <v>South</v>
      </c>
      <c r="R409" t="str" cm="1">
        <f t="array" ref="R409">_xlfn.XLOOKUP($B409,Store_Dim!$A$2:$A$21,Table3[Store_Type])</f>
        <v>Outlet</v>
      </c>
      <c r="S409">
        <f>VLOOKUP(Table7[[#This Row],[Customer ID]],Table6[[Customer_ID]:[Total_Amount]],8,FALSE)</f>
        <v>445.80599999999998</v>
      </c>
    </row>
    <row r="410" spans="1:19" x14ac:dyDescent="0.3">
      <c r="A410" t="s">
        <v>1272</v>
      </c>
      <c r="B410" t="str">
        <f>_xlfn.XLOOKUP(Table7[[#This Row],[Customer ID]],Table6[Customer_ID],Table6[Store_ID])</f>
        <v>STORE11</v>
      </c>
      <c r="C410" t="str">
        <f>_xlfn.XLOOKUP(Table7[[#This Row],[Customer ID]],Table6[Customer_ID],Table6[Product_ID])</f>
        <v>PROD4</v>
      </c>
      <c r="D410" t="str">
        <f>VLOOKUP(Table7[[#This Row],[Customer ID]],Table4[#All],2,FALSE)</f>
        <v>Melissa Valentine</v>
      </c>
      <c r="E410">
        <f>VLOOKUP($A410,Table4[],3,FALSE)</f>
        <v>35</v>
      </c>
      <c r="F410" t="str">
        <f>VLOOKUP($A410,Table4[],4,FALSE)</f>
        <v>Female</v>
      </c>
      <c r="G410" t="str">
        <f>VLOOKUP($A410,Table4[],5,FALSE)</f>
        <v>East Patriciafort</v>
      </c>
      <c r="H410" t="str">
        <f>VLOOKUP($A410,Table4[],6,FALSE)</f>
        <v>Missouri</v>
      </c>
      <c r="I410" t="str">
        <f>VLOOKUP($A410,Table4[],8,FALSE)</f>
        <v>Gold</v>
      </c>
      <c r="J410" t="str">
        <f>VLOOKUP($C410,Table1[],2,FALSE)</f>
        <v>Women's Yoga Pants</v>
      </c>
      <c r="K410" t="str">
        <f>VLOOKUP($C410,Table1[],3,FALSE)</f>
        <v>Clothing</v>
      </c>
      <c r="L410" t="str">
        <f>VLOOKUP($C410,Table1[],4,FALSE)</f>
        <v>Bottoms</v>
      </c>
      <c r="M410" t="str">
        <f>VLOOKUP($C410,Table1[],5,FALSE)</f>
        <v>Gonzales-Davis</v>
      </c>
      <c r="N410">
        <f>VLOOKUP($C410,Table1[],6,FALSE)</f>
        <v>306.45999999999998</v>
      </c>
      <c r="O410">
        <f>VLOOKUP($C410,Table1[],7,FALSE)</f>
        <v>487</v>
      </c>
      <c r="P410" t="str">
        <f>_xlfn.XLOOKUP($B410,Table3[Store_ID],Table3[Store_Name])</f>
        <v>Aguirre-Keller</v>
      </c>
      <c r="Q410" t="str" cm="1">
        <f t="array" ref="Q410">_xlfn.XLOOKUP($B410,Store_Dim!$A$2:$A$21,Table3[Region])</f>
        <v>South</v>
      </c>
      <c r="R410" t="str" cm="1">
        <f t="array" ref="R410">_xlfn.XLOOKUP($B410,Store_Dim!$A$2:$A$21,Table3[Store_Type])</f>
        <v>Online</v>
      </c>
      <c r="S410">
        <f>VLOOKUP(Table7[[#This Row],[Customer ID]],Table6[[Customer_ID]:[Total_Amount]],8,FALSE)</f>
        <v>646.29599999999994</v>
      </c>
    </row>
    <row r="411" spans="1:19" x14ac:dyDescent="0.3">
      <c r="A411" t="s">
        <v>1275</v>
      </c>
      <c r="B411" t="str">
        <f>_xlfn.XLOOKUP(Table7[[#This Row],[Customer ID]],Table6[Customer_ID],Table6[Store_ID])</f>
        <v>STORE7</v>
      </c>
      <c r="C411" t="str">
        <f>_xlfn.XLOOKUP(Table7[[#This Row],[Customer ID]],Table6[Customer_ID],Table6[Product_ID])</f>
        <v>PROD79</v>
      </c>
      <c r="D411" t="str">
        <f>VLOOKUP(Table7[[#This Row],[Customer ID]],Table4[#All],2,FALSE)</f>
        <v>Tyler Cook</v>
      </c>
      <c r="E411">
        <f>VLOOKUP($A411,Table4[],3,FALSE)</f>
        <v>26</v>
      </c>
      <c r="F411" t="str">
        <f>VLOOKUP($A411,Table4[],4,FALSE)</f>
        <v>Female</v>
      </c>
      <c r="G411" t="str">
        <f>VLOOKUP($A411,Table4[],5,FALSE)</f>
        <v>Kramerview</v>
      </c>
      <c r="H411" t="str">
        <f>VLOOKUP($A411,Table4[],6,FALSE)</f>
        <v>Alaska</v>
      </c>
      <c r="I411" t="str">
        <f>VLOOKUP($A411,Table4[],8,FALSE)</f>
        <v>Silver</v>
      </c>
      <c r="J411" t="str">
        <f>VLOOKUP($C411,Table1[],2,FALSE)</f>
        <v>Decorative Lamp Shade</v>
      </c>
      <c r="K411" t="str">
        <f>VLOOKUP($C411,Table1[],3,FALSE)</f>
        <v>Home</v>
      </c>
      <c r="L411" t="str">
        <f>VLOOKUP($C411,Table1[],4,FALSE)</f>
        <v>Lighting</v>
      </c>
      <c r="M411" t="str">
        <f>VLOOKUP($C411,Table1[],5,FALSE)</f>
        <v>Ramirez-Hanson</v>
      </c>
      <c r="N411">
        <f>VLOOKUP($C411,Table1[],6,FALSE)</f>
        <v>228.53</v>
      </c>
      <c r="O411">
        <f>VLOOKUP($C411,Table1[],7,FALSE)</f>
        <v>469</v>
      </c>
      <c r="P411" t="str">
        <f>_xlfn.XLOOKUP($B411,Table3[Store_ID],Table3[Store_Name])</f>
        <v>Martinez-Mullins</v>
      </c>
      <c r="Q411" t="str" cm="1">
        <f t="array" ref="Q411">_xlfn.XLOOKUP($B411,Store_Dim!$A$2:$A$21,Table3[Region])</f>
        <v>South</v>
      </c>
      <c r="R411" t="str" cm="1">
        <f t="array" ref="R411">_xlfn.XLOOKUP($B411,Store_Dim!$A$2:$A$21,Table3[Store_Type])</f>
        <v>Online</v>
      </c>
      <c r="S411">
        <f>VLOOKUP(Table7[[#This Row],[Customer ID]],Table6[[Customer_ID]:[Total_Amount]],8,FALSE)</f>
        <v>1620.8255999999999</v>
      </c>
    </row>
    <row r="412" spans="1:19" x14ac:dyDescent="0.3">
      <c r="A412" t="s">
        <v>1278</v>
      </c>
      <c r="B412" t="str">
        <f>_xlfn.XLOOKUP(Table7[[#This Row],[Customer ID]],Table6[Customer_ID],Table6[Store_ID])</f>
        <v>STORE11</v>
      </c>
      <c r="C412" t="str">
        <f>_xlfn.XLOOKUP(Table7[[#This Row],[Customer ID]],Table6[Customer_ID],Table6[Product_ID])</f>
        <v>PROD49</v>
      </c>
      <c r="D412" t="str">
        <f>VLOOKUP(Table7[[#This Row],[Customer ID]],Table4[#All],2,FALSE)</f>
        <v>Jennifer Myers</v>
      </c>
      <c r="E412">
        <f>VLOOKUP($A412,Table4[],3,FALSE)</f>
        <v>46</v>
      </c>
      <c r="F412" t="str">
        <f>VLOOKUP($A412,Table4[],4,FALSE)</f>
        <v>Male</v>
      </c>
      <c r="G412" t="str">
        <f>VLOOKUP($A412,Table4[],5,FALSE)</f>
        <v>Marthaborough</v>
      </c>
      <c r="H412" t="str">
        <f>VLOOKUP($A412,Table4[],6,FALSE)</f>
        <v>Wisconsin</v>
      </c>
      <c r="I412" t="str">
        <f>VLOOKUP($A412,Table4[],8,FALSE)</f>
        <v>Platinum</v>
      </c>
      <c r="J412" t="str">
        <f>VLOOKUP($C412,Table1[],2,FALSE)</f>
        <v>Men's Roll-On Perfume</v>
      </c>
      <c r="K412" t="str">
        <f>VLOOKUP($C412,Table1[],3,FALSE)</f>
        <v>Beauty</v>
      </c>
      <c r="L412" t="str">
        <f>VLOOKUP($C412,Table1[],4,FALSE)</f>
        <v>Fragrance</v>
      </c>
      <c r="M412" t="str">
        <f>VLOOKUP($C412,Table1[],5,FALSE)</f>
        <v>Sullivan and Sons</v>
      </c>
      <c r="N412">
        <f>VLOOKUP($C412,Table1[],6,FALSE)</f>
        <v>43.29</v>
      </c>
      <c r="O412">
        <f>VLOOKUP($C412,Table1[],7,FALSE)</f>
        <v>267</v>
      </c>
      <c r="P412" t="str">
        <f>_xlfn.XLOOKUP($B412,Table3[Store_ID],Table3[Store_Name])</f>
        <v>Aguirre-Keller</v>
      </c>
      <c r="Q412" t="str" cm="1">
        <f t="array" ref="Q412">_xlfn.XLOOKUP($B412,Store_Dim!$A$2:$A$21,Table3[Region])</f>
        <v>South</v>
      </c>
      <c r="R412" t="str" cm="1">
        <f t="array" ref="R412">_xlfn.XLOOKUP($B412,Store_Dim!$A$2:$A$21,Table3[Store_Type])</f>
        <v>Online</v>
      </c>
      <c r="S412">
        <f>VLOOKUP(Table7[[#This Row],[Customer ID]],Table6[[Customer_ID]:[Total_Amount]],8,FALSE)</f>
        <v>783.59400000000005</v>
      </c>
    </row>
    <row r="413" spans="1:19" x14ac:dyDescent="0.3">
      <c r="A413" t="s">
        <v>1281</v>
      </c>
      <c r="B413" t="str">
        <f>_xlfn.XLOOKUP(Table7[[#This Row],[Customer ID]],Table6[Customer_ID],Table6[Store_ID])</f>
        <v>STORE15</v>
      </c>
      <c r="C413" t="str">
        <f>_xlfn.XLOOKUP(Table7[[#This Row],[Customer ID]],Table6[Customer_ID],Table6[Product_ID])</f>
        <v>PROD97</v>
      </c>
      <c r="D413" t="str">
        <f>VLOOKUP(Table7[[#This Row],[Customer ID]],Table4[#All],2,FALSE)</f>
        <v>Karen King</v>
      </c>
      <c r="E413">
        <f>VLOOKUP($A413,Table4[],3,FALSE)</f>
        <v>64</v>
      </c>
      <c r="F413" t="str">
        <f>VLOOKUP($A413,Table4[],4,FALSE)</f>
        <v>Female</v>
      </c>
      <c r="G413" t="str">
        <f>VLOOKUP($A413,Table4[],5,FALSE)</f>
        <v>Kimburgh</v>
      </c>
      <c r="H413" t="str">
        <f>VLOOKUP($A413,Table4[],6,FALSE)</f>
        <v>North Carolina</v>
      </c>
      <c r="I413" t="str">
        <f>VLOOKUP($A413,Table4[],8,FALSE)</f>
        <v>Bronze</v>
      </c>
      <c r="J413" t="str">
        <f>VLOOKUP($C413,Table1[],2,FALSE)</f>
        <v>Cricket Bat</v>
      </c>
      <c r="K413" t="str">
        <f>VLOOKUP($C413,Table1[],3,FALSE)</f>
        <v>Sports</v>
      </c>
      <c r="L413" t="str">
        <f>VLOOKUP($C413,Table1[],4,FALSE)</f>
        <v>Team Sports</v>
      </c>
      <c r="M413" t="str">
        <f>VLOOKUP($C413,Table1[],5,FALSE)</f>
        <v>Khan LLC</v>
      </c>
      <c r="N413">
        <f>VLOOKUP($C413,Table1[],6,FALSE)</f>
        <v>245.98</v>
      </c>
      <c r="O413">
        <f>VLOOKUP($C413,Table1[],7,FALSE)</f>
        <v>471</v>
      </c>
      <c r="P413" t="str">
        <f>_xlfn.XLOOKUP($B413,Table3[Store_ID],Table3[Store_Name])</f>
        <v>Shelton PLC</v>
      </c>
      <c r="Q413" t="str" cm="1">
        <f t="array" ref="Q413">_xlfn.XLOOKUP($B413,Store_Dim!$A$2:$A$21,Table3[Region])</f>
        <v>North</v>
      </c>
      <c r="R413" t="str" cm="1">
        <f t="array" ref="R413">_xlfn.XLOOKUP($B413,Store_Dim!$A$2:$A$21,Table3[Store_Type])</f>
        <v>Flagship</v>
      </c>
      <c r="S413">
        <f>VLOOKUP(Table7[[#This Row],[Customer ID]],Table6[[Customer_ID]:[Total_Amount]],8,FALSE)</f>
        <v>1501.152</v>
      </c>
    </row>
    <row r="414" spans="1:19" x14ac:dyDescent="0.3">
      <c r="A414" t="s">
        <v>1284</v>
      </c>
      <c r="B414" t="str">
        <f>_xlfn.XLOOKUP(Table7[[#This Row],[Customer ID]],Table6[Customer_ID],Table6[Store_ID])</f>
        <v>STORE18</v>
      </c>
      <c r="C414" t="str">
        <f>_xlfn.XLOOKUP(Table7[[#This Row],[Customer ID]],Table6[Customer_ID],Table6[Product_ID])</f>
        <v>PROD89</v>
      </c>
      <c r="D414" t="str">
        <f>VLOOKUP(Table7[[#This Row],[Customer ID]],Table4[#All],2,FALSE)</f>
        <v>Luke Parks</v>
      </c>
      <c r="E414">
        <f>VLOOKUP($A414,Table4[],3,FALSE)</f>
        <v>60</v>
      </c>
      <c r="F414" t="str">
        <f>VLOOKUP($A414,Table4[],4,FALSE)</f>
        <v>Female</v>
      </c>
      <c r="G414" t="str">
        <f>VLOOKUP($A414,Table4[],5,FALSE)</f>
        <v>West Mario</v>
      </c>
      <c r="H414" t="str">
        <f>VLOOKUP($A414,Table4[],6,FALSE)</f>
        <v>New Hampshire</v>
      </c>
      <c r="I414" t="str">
        <f>VLOOKUP($A414,Table4[],8,FALSE)</f>
        <v>Silver</v>
      </c>
      <c r="J414" t="str">
        <f>VLOOKUP($C414,Table1[],2,FALSE)</f>
        <v>Face Foundation Kit</v>
      </c>
      <c r="K414" t="str">
        <f>VLOOKUP($C414,Table1[],3,FALSE)</f>
        <v>Beauty</v>
      </c>
      <c r="L414" t="str">
        <f>VLOOKUP($C414,Table1[],4,FALSE)</f>
        <v>Makeup</v>
      </c>
      <c r="M414" t="str">
        <f>VLOOKUP($C414,Table1[],5,FALSE)</f>
        <v>Taylor-Elliott</v>
      </c>
      <c r="N414">
        <f>VLOOKUP($C414,Table1[],6,FALSE)</f>
        <v>183.04</v>
      </c>
      <c r="O414">
        <f>VLOOKUP($C414,Table1[],7,FALSE)</f>
        <v>457</v>
      </c>
      <c r="P414" t="str">
        <f>_xlfn.XLOOKUP($B414,Table3[Store_ID],Table3[Store_Name])</f>
        <v>Guerrero-Schmitt</v>
      </c>
      <c r="Q414" t="str" cm="1">
        <f t="array" ref="Q414">_xlfn.XLOOKUP($B414,Store_Dim!$A$2:$A$21,Table3[Region])</f>
        <v>East</v>
      </c>
      <c r="R414" t="str" cm="1">
        <f t="array" ref="R414">_xlfn.XLOOKUP($B414,Store_Dim!$A$2:$A$21,Table3[Store_Type])</f>
        <v>Flagship</v>
      </c>
      <c r="S414">
        <f>VLOOKUP(Table7[[#This Row],[Customer ID]],Table6[[Customer_ID]:[Total_Amount]],8,FALSE)</f>
        <v>165.31710000000001</v>
      </c>
    </row>
    <row r="415" spans="1:19" x14ac:dyDescent="0.3">
      <c r="A415" t="s">
        <v>1287</v>
      </c>
      <c r="B415" t="str">
        <f>_xlfn.XLOOKUP(Table7[[#This Row],[Customer ID]],Table6[Customer_ID],Table6[Store_ID])</f>
        <v>STORE8</v>
      </c>
      <c r="C415" t="str">
        <f>_xlfn.XLOOKUP(Table7[[#This Row],[Customer ID]],Table6[Customer_ID],Table6[Product_ID])</f>
        <v>PROD3</v>
      </c>
      <c r="D415" t="str">
        <f>VLOOKUP(Table7[[#This Row],[Customer ID]],Table4[#All],2,FALSE)</f>
        <v>Monica Miller</v>
      </c>
      <c r="E415">
        <f>VLOOKUP($A415,Table4[],3,FALSE)</f>
        <v>33</v>
      </c>
      <c r="F415" t="str">
        <f>VLOOKUP($A415,Table4[],4,FALSE)</f>
        <v>Male</v>
      </c>
      <c r="G415" t="str">
        <f>VLOOKUP($A415,Table4[],5,FALSE)</f>
        <v>Lake David</v>
      </c>
      <c r="H415" t="str">
        <f>VLOOKUP($A415,Table4[],6,FALSE)</f>
        <v>Mississippi</v>
      </c>
      <c r="I415" t="str">
        <f>VLOOKUP($A415,Table4[],8,FALSE)</f>
        <v>Gold</v>
      </c>
      <c r="J415" t="str">
        <f>VLOOKUP($C415,Table1[],2,FALSE)</f>
        <v>Men's Running Jacket</v>
      </c>
      <c r="K415" t="str">
        <f>VLOOKUP($C415,Table1[],3,FALSE)</f>
        <v>Clothing</v>
      </c>
      <c r="L415" t="str">
        <f>VLOOKUP($C415,Table1[],4,FALSE)</f>
        <v>Outerwear</v>
      </c>
      <c r="M415" t="str">
        <f>VLOOKUP($C415,Table1[],5,FALSE)</f>
        <v>Pineda Ltd</v>
      </c>
      <c r="N415">
        <f>VLOOKUP($C415,Table1[],6,FALSE)</f>
        <v>364.67</v>
      </c>
      <c r="O415">
        <f>VLOOKUP($C415,Table1[],7,FALSE)</f>
        <v>452</v>
      </c>
      <c r="P415" t="str">
        <f>_xlfn.XLOOKUP($B415,Table3[Store_ID],Table3[Store_Name])</f>
        <v>Bean, Jones and Park</v>
      </c>
      <c r="Q415" t="str" cm="1">
        <f t="array" ref="Q415">_xlfn.XLOOKUP($B415,Store_Dim!$A$2:$A$21,Table3[Region])</f>
        <v>West</v>
      </c>
      <c r="R415" t="str" cm="1">
        <f t="array" ref="R415">_xlfn.XLOOKUP($B415,Store_Dim!$A$2:$A$21,Table3[Store_Type])</f>
        <v>Online</v>
      </c>
      <c r="S415">
        <f>VLOOKUP(Table7[[#This Row],[Customer ID]],Table6[[Customer_ID]:[Total_Amount]],8,FALSE)</f>
        <v>2404.8024</v>
      </c>
    </row>
    <row r="416" spans="1:19" x14ac:dyDescent="0.3">
      <c r="A416" t="s">
        <v>1290</v>
      </c>
      <c r="B416" t="str">
        <f>_xlfn.XLOOKUP(Table7[[#This Row],[Customer ID]],Table6[Customer_ID],Table6[Store_ID])</f>
        <v>STORE16</v>
      </c>
      <c r="C416" t="str">
        <f>_xlfn.XLOOKUP(Table7[[#This Row],[Customer ID]],Table6[Customer_ID],Table6[Product_ID])</f>
        <v>PROD21</v>
      </c>
      <c r="D416" t="str">
        <f>VLOOKUP(Table7[[#This Row],[Customer ID]],Table4[#All],2,FALSE)</f>
        <v>Dr. Tamara White Md</v>
      </c>
      <c r="E416">
        <f>VLOOKUP($A416,Table4[],3,FALSE)</f>
        <v>60</v>
      </c>
      <c r="F416" t="str">
        <f>VLOOKUP($A416,Table4[],4,FALSE)</f>
        <v>Male</v>
      </c>
      <c r="G416" t="str">
        <f>VLOOKUP($A416,Table4[],5,FALSE)</f>
        <v>New Benjamin</v>
      </c>
      <c r="H416" t="str">
        <f>VLOOKUP($A416,Table4[],6,FALSE)</f>
        <v>North Carolina</v>
      </c>
      <c r="I416" t="str">
        <f>VLOOKUP($A416,Table4[],8,FALSE)</f>
        <v>Bronze</v>
      </c>
      <c r="J416" t="str">
        <f>VLOOKUP($C416,Table1[],2,FALSE)</f>
        <v>Multi-Purpose Storage Box</v>
      </c>
      <c r="K416" t="str">
        <f>VLOOKUP($C416,Table1[],3,FALSE)</f>
        <v>Home</v>
      </c>
      <c r="L416" t="str">
        <f>VLOOKUP($C416,Table1[],4,FALSE)</f>
        <v>Storage</v>
      </c>
      <c r="M416" t="str">
        <f>VLOOKUP($C416,Table1[],5,FALSE)</f>
        <v>Gardner-Montes</v>
      </c>
      <c r="N416">
        <f>VLOOKUP($C416,Table1[],6,FALSE)</f>
        <v>123.46</v>
      </c>
      <c r="O416">
        <f>VLOOKUP($C416,Table1[],7,FALSE)</f>
        <v>76</v>
      </c>
      <c r="P416" t="str">
        <f>_xlfn.XLOOKUP($B416,Table3[Store_ID],Table3[Store_Name])</f>
        <v>Frederick-Wright</v>
      </c>
      <c r="Q416" t="str" cm="1">
        <f t="array" ref="Q416">_xlfn.XLOOKUP($B416,Store_Dim!$A$2:$A$21,Table3[Region])</f>
        <v>West</v>
      </c>
      <c r="R416" t="str" cm="1">
        <f t="array" ref="R416">_xlfn.XLOOKUP($B416,Store_Dim!$A$2:$A$21,Table3[Store_Type])</f>
        <v>Flagship</v>
      </c>
      <c r="S416">
        <f>VLOOKUP(Table7[[#This Row],[Customer ID]],Table6[[Customer_ID]:[Total_Amount]],8,FALSE)</f>
        <v>707.77440000000013</v>
      </c>
    </row>
    <row r="417" spans="1:19" x14ac:dyDescent="0.3">
      <c r="A417" t="s">
        <v>1292</v>
      </c>
      <c r="B417" t="str">
        <f>_xlfn.XLOOKUP(Table7[[#This Row],[Customer ID]],Table6[Customer_ID],Table6[Store_ID])</f>
        <v>STORE8</v>
      </c>
      <c r="C417" t="str">
        <f>_xlfn.XLOOKUP(Table7[[#This Row],[Customer ID]],Table6[Customer_ID],Table6[Product_ID])</f>
        <v>PROD81</v>
      </c>
      <c r="D417" t="str">
        <f>VLOOKUP(Table7[[#This Row],[Customer ID]],Table4[#All],2,FALSE)</f>
        <v>Holly Robinson</v>
      </c>
      <c r="E417">
        <f>VLOOKUP($A417,Table4[],3,FALSE)</f>
        <v>45</v>
      </c>
      <c r="F417" t="str">
        <f>VLOOKUP($A417,Table4[],4,FALSE)</f>
        <v>Female</v>
      </c>
      <c r="G417" t="str">
        <f>VLOOKUP($A417,Table4[],5,FALSE)</f>
        <v>East Amy</v>
      </c>
      <c r="H417" t="str">
        <f>VLOOKUP($A417,Table4[],6,FALSE)</f>
        <v>Washington</v>
      </c>
      <c r="I417" t="str">
        <f>VLOOKUP($A417,Table4[],8,FALSE)</f>
        <v>Platinum</v>
      </c>
      <c r="J417" t="str">
        <f>VLOOKUP($C417,Table1[],2,FALSE)</f>
        <v>Badminton Racket Set</v>
      </c>
      <c r="K417" t="str">
        <f>VLOOKUP($C417,Table1[],3,FALSE)</f>
        <v>Sports</v>
      </c>
      <c r="L417" t="str">
        <f>VLOOKUP($C417,Table1[],4,FALSE)</f>
        <v>Equipment</v>
      </c>
      <c r="M417" t="str">
        <f>VLOOKUP($C417,Table1[],5,FALSE)</f>
        <v>Robinson-Brown</v>
      </c>
      <c r="N417">
        <f>VLOOKUP($C417,Table1[],6,FALSE)</f>
        <v>285.54000000000002</v>
      </c>
      <c r="O417">
        <f>VLOOKUP($C417,Table1[],7,FALSE)</f>
        <v>358</v>
      </c>
      <c r="P417" t="str">
        <f>_xlfn.XLOOKUP($B417,Table3[Store_ID],Table3[Store_Name])</f>
        <v>Bean, Jones and Park</v>
      </c>
      <c r="Q417" t="str" cm="1">
        <f t="array" ref="Q417">_xlfn.XLOOKUP($B417,Store_Dim!$A$2:$A$21,Table3[Region])</f>
        <v>West</v>
      </c>
      <c r="R417" t="str" cm="1">
        <f t="array" ref="R417">_xlfn.XLOOKUP($B417,Store_Dim!$A$2:$A$21,Table3[Store_Type])</f>
        <v>Online</v>
      </c>
      <c r="S417">
        <f>VLOOKUP(Table7[[#This Row],[Customer ID]],Table6[[Customer_ID]:[Total_Amount]],8,FALSE)</f>
        <v>65.729200000000006</v>
      </c>
    </row>
    <row r="418" spans="1:19" x14ac:dyDescent="0.3">
      <c r="A418" t="s">
        <v>1295</v>
      </c>
      <c r="B418" t="str">
        <f>_xlfn.XLOOKUP(Table7[[#This Row],[Customer ID]],Table6[Customer_ID],Table6[Store_ID])</f>
        <v>STORE2</v>
      </c>
      <c r="C418" t="str">
        <f>_xlfn.XLOOKUP(Table7[[#This Row],[Customer ID]],Table6[Customer_ID],Table6[Product_ID])</f>
        <v>PROD49</v>
      </c>
      <c r="D418" t="str">
        <f>VLOOKUP(Table7[[#This Row],[Customer ID]],Table4[#All],2,FALSE)</f>
        <v>Brittany Edwards Dds</v>
      </c>
      <c r="E418">
        <f>VLOOKUP($A418,Table4[],3,FALSE)</f>
        <v>42</v>
      </c>
      <c r="F418" t="str">
        <f>VLOOKUP($A418,Table4[],4,FALSE)</f>
        <v>Female</v>
      </c>
      <c r="G418" t="str">
        <f>VLOOKUP($A418,Table4[],5,FALSE)</f>
        <v>Aliciahaven</v>
      </c>
      <c r="H418" t="str">
        <f>VLOOKUP($A418,Table4[],6,FALSE)</f>
        <v>Kansas</v>
      </c>
      <c r="I418" t="str">
        <f>VLOOKUP($A418,Table4[],8,FALSE)</f>
        <v>Platinum</v>
      </c>
      <c r="J418" t="str">
        <f>VLOOKUP($C418,Table1[],2,FALSE)</f>
        <v>Men's Roll-On Perfume</v>
      </c>
      <c r="K418" t="str">
        <f>VLOOKUP($C418,Table1[],3,FALSE)</f>
        <v>Beauty</v>
      </c>
      <c r="L418" t="str">
        <f>VLOOKUP($C418,Table1[],4,FALSE)</f>
        <v>Fragrance</v>
      </c>
      <c r="M418" t="str">
        <f>VLOOKUP($C418,Table1[],5,FALSE)</f>
        <v>Sullivan and Sons</v>
      </c>
      <c r="N418">
        <f>VLOOKUP($C418,Table1[],6,FALSE)</f>
        <v>43.29</v>
      </c>
      <c r="O418">
        <f>VLOOKUP($C418,Table1[],7,FALSE)</f>
        <v>267</v>
      </c>
      <c r="P418" t="str">
        <f>_xlfn.XLOOKUP($B418,Table3[Store_ID],Table3[Store_Name])</f>
        <v>Black-Horn</v>
      </c>
      <c r="Q418" t="str" cm="1">
        <f t="array" ref="Q418">_xlfn.XLOOKUP($B418,Store_Dim!$A$2:$A$21,Table3[Region])</f>
        <v>South</v>
      </c>
      <c r="R418" t="str" cm="1">
        <f t="array" ref="R418">_xlfn.XLOOKUP($B418,Store_Dim!$A$2:$A$21,Table3[Store_Type])</f>
        <v>Outlet</v>
      </c>
      <c r="S418">
        <f>VLOOKUP(Table7[[#This Row],[Customer ID]],Table6[[Customer_ID]:[Total_Amount]],8,FALSE)</f>
        <v>2952.5216</v>
      </c>
    </row>
    <row r="419" spans="1:19" x14ac:dyDescent="0.3">
      <c r="A419" t="s">
        <v>1297</v>
      </c>
      <c r="B419" t="str">
        <f>_xlfn.XLOOKUP(Table7[[#This Row],[Customer ID]],Table6[Customer_ID],Table6[Store_ID])</f>
        <v>STORE16</v>
      </c>
      <c r="C419" t="str">
        <f>_xlfn.XLOOKUP(Table7[[#This Row],[Customer ID]],Table6[Customer_ID],Table6[Product_ID])</f>
        <v>PROD13</v>
      </c>
      <c r="D419" t="str">
        <f>VLOOKUP(Table7[[#This Row],[Customer ID]],Table4[#All],2,FALSE)</f>
        <v>Rebecca Baker</v>
      </c>
      <c r="E419">
        <f>VLOOKUP($A419,Table4[],3,FALSE)</f>
        <v>35</v>
      </c>
      <c r="F419" t="str">
        <f>VLOOKUP($A419,Table4[],4,FALSE)</f>
        <v>Male</v>
      </c>
      <c r="G419" t="str">
        <f>VLOOKUP($A419,Table4[],5,FALSE)</f>
        <v>New Katherine</v>
      </c>
      <c r="H419" t="str">
        <f>VLOOKUP($A419,Table4[],6,FALSE)</f>
        <v>Kansas</v>
      </c>
      <c r="I419" t="str">
        <f>VLOOKUP($A419,Table4[],8,FALSE)</f>
        <v>Silver</v>
      </c>
      <c r="J419" t="str">
        <f>VLOOKUP($C419,Table1[],2,FALSE)</f>
        <v>USB-C Fast Charger</v>
      </c>
      <c r="K419" t="str">
        <f>VLOOKUP($C419,Table1[],3,FALSE)</f>
        <v>Electronics</v>
      </c>
      <c r="L419" t="str">
        <f>VLOOKUP($C419,Table1[],4,FALSE)</f>
        <v>Accessories</v>
      </c>
      <c r="M419" t="str">
        <f>VLOOKUP($C419,Table1[],5,FALSE)</f>
        <v>Dawson-Perkins</v>
      </c>
      <c r="N419">
        <f>VLOOKUP($C419,Table1[],6,FALSE)</f>
        <v>242.23</v>
      </c>
      <c r="O419">
        <f>VLOOKUP($C419,Table1[],7,FALSE)</f>
        <v>453</v>
      </c>
      <c r="P419" t="str">
        <f>_xlfn.XLOOKUP($B419,Table3[Store_ID],Table3[Store_Name])</f>
        <v>Frederick-Wright</v>
      </c>
      <c r="Q419" t="str" cm="1">
        <f t="array" ref="Q419">_xlfn.XLOOKUP($B419,Store_Dim!$A$2:$A$21,Table3[Region])</f>
        <v>West</v>
      </c>
      <c r="R419" t="str" cm="1">
        <f t="array" ref="R419">_xlfn.XLOOKUP($B419,Store_Dim!$A$2:$A$21,Table3[Store_Type])</f>
        <v>Flagship</v>
      </c>
      <c r="S419">
        <f>VLOOKUP(Table7[[#This Row],[Customer ID]],Table6[[Customer_ID]:[Total_Amount]],8,FALSE)</f>
        <v>1706.1695999999999</v>
      </c>
    </row>
    <row r="420" spans="1:19" x14ac:dyDescent="0.3">
      <c r="A420" t="s">
        <v>1300</v>
      </c>
      <c r="B420" t="str">
        <f>_xlfn.XLOOKUP(Table7[[#This Row],[Customer ID]],Table6[Customer_ID],Table6[Store_ID])</f>
        <v>STORE14</v>
      </c>
      <c r="C420" t="str">
        <f>_xlfn.XLOOKUP(Table7[[#This Row],[Customer ID]],Table6[Customer_ID],Table6[Product_ID])</f>
        <v>PROD92</v>
      </c>
      <c r="D420" t="str">
        <f>VLOOKUP(Table7[[#This Row],[Customer ID]],Table4[#All],2,FALSE)</f>
        <v>Edwin Barnes</v>
      </c>
      <c r="E420">
        <f>VLOOKUP($A420,Table4[],3,FALSE)</f>
        <v>53</v>
      </c>
      <c r="F420" t="str">
        <f>VLOOKUP($A420,Table4[],4,FALSE)</f>
        <v>Male</v>
      </c>
      <c r="G420" t="str">
        <f>VLOOKUP($A420,Table4[],5,FALSE)</f>
        <v>Lake Alexandra</v>
      </c>
      <c r="H420" t="str">
        <f>VLOOKUP($A420,Table4[],6,FALSE)</f>
        <v>North Carolina</v>
      </c>
      <c r="I420" t="str">
        <f>VLOOKUP($A420,Table4[],8,FALSE)</f>
        <v>Bronze</v>
      </c>
      <c r="J420" t="str">
        <f>VLOOKUP($C420,Table1[],2,FALSE)</f>
        <v>Microwave Oven</v>
      </c>
      <c r="K420" t="str">
        <f>VLOOKUP($C420,Table1[],3,FALSE)</f>
        <v>Home</v>
      </c>
      <c r="L420" t="str">
        <f>VLOOKUP($C420,Table1[],4,FALSE)</f>
        <v>Appliances</v>
      </c>
      <c r="M420" t="str">
        <f>VLOOKUP($C420,Table1[],5,FALSE)</f>
        <v>Green, Powell and Palmer</v>
      </c>
      <c r="N420">
        <f>VLOOKUP($C420,Table1[],6,FALSE)</f>
        <v>447.43</v>
      </c>
      <c r="O420">
        <f>VLOOKUP($C420,Table1[],7,FALSE)</f>
        <v>191</v>
      </c>
      <c r="P420" t="str">
        <f>_xlfn.XLOOKUP($B420,Table3[Store_ID],Table3[Store_Name])</f>
        <v>Mcdonald Inc</v>
      </c>
      <c r="Q420" t="str" cm="1">
        <f t="array" ref="Q420">_xlfn.XLOOKUP($B420,Store_Dim!$A$2:$A$21,Table3[Region])</f>
        <v>South</v>
      </c>
      <c r="R420" t="str" cm="1">
        <f t="array" ref="R420">_xlfn.XLOOKUP($B420,Store_Dim!$A$2:$A$21,Table3[Store_Type])</f>
        <v>Outlet</v>
      </c>
      <c r="S420">
        <f>VLOOKUP(Table7[[#This Row],[Customer ID]],Table6[[Customer_ID]:[Total_Amount]],8,FALSE)</f>
        <v>922.20749999999987</v>
      </c>
    </row>
    <row r="421" spans="1:19" x14ac:dyDescent="0.3">
      <c r="A421" t="s">
        <v>1303</v>
      </c>
      <c r="B421" t="str">
        <f>_xlfn.XLOOKUP(Table7[[#This Row],[Customer ID]],Table6[Customer_ID],Table6[Store_ID])</f>
        <v>STORE10</v>
      </c>
      <c r="C421" t="str">
        <f>_xlfn.XLOOKUP(Table7[[#This Row],[Customer ID]],Table6[Customer_ID],Table6[Product_ID])</f>
        <v>PROD75</v>
      </c>
      <c r="D421" t="str">
        <f>VLOOKUP(Table7[[#This Row],[Customer ID]],Table4[#All],2,FALSE)</f>
        <v>Bryce Hawkins</v>
      </c>
      <c r="E421">
        <f>VLOOKUP($A421,Table4[],3,FALSE)</f>
        <v>40</v>
      </c>
      <c r="F421" t="str">
        <f>VLOOKUP($A421,Table4[],4,FALSE)</f>
        <v>Male</v>
      </c>
      <c r="G421" t="str">
        <f>VLOOKUP($A421,Table4[],5,FALSE)</f>
        <v>Lake Monique</v>
      </c>
      <c r="H421" t="str">
        <f>VLOOKUP($A421,Table4[],6,FALSE)</f>
        <v>Utah</v>
      </c>
      <c r="I421" t="str">
        <f>VLOOKUP($A421,Table4[],8,FALSE)</f>
        <v>Bronze</v>
      </c>
      <c r="J421" t="str">
        <f>VLOOKUP($C421,Table1[],2,FALSE)</f>
        <v>Women's Ankle Boots</v>
      </c>
      <c r="K421" t="str">
        <f>VLOOKUP($C421,Table1[],3,FALSE)</f>
        <v>Clothing</v>
      </c>
      <c r="L421" t="str">
        <f>VLOOKUP($C421,Table1[],4,FALSE)</f>
        <v>Footwear</v>
      </c>
      <c r="M421" t="str">
        <f>VLOOKUP($C421,Table1[],5,FALSE)</f>
        <v>Poole PLC</v>
      </c>
      <c r="N421">
        <f>VLOOKUP($C421,Table1[],6,FALSE)</f>
        <v>158.13999999999999</v>
      </c>
      <c r="O421">
        <f>VLOOKUP($C421,Table1[],7,FALSE)</f>
        <v>82</v>
      </c>
      <c r="P421" t="str">
        <f>_xlfn.XLOOKUP($B421,Table3[Store_ID],Table3[Store_Name])</f>
        <v>Hill, Wagner and Ballard</v>
      </c>
      <c r="Q421" t="str" cm="1">
        <f t="array" ref="Q421">_xlfn.XLOOKUP($B421,Store_Dim!$A$2:$A$21,Table3[Region])</f>
        <v>East</v>
      </c>
      <c r="R421" t="str" cm="1">
        <f t="array" ref="R421">_xlfn.XLOOKUP($B421,Store_Dim!$A$2:$A$21,Table3[Store_Type])</f>
        <v>Online</v>
      </c>
      <c r="S421">
        <f>VLOOKUP(Table7[[#This Row],[Customer ID]],Table6[[Customer_ID]:[Total_Amount]],8,FALSE)</f>
        <v>2240.7020000000002</v>
      </c>
    </row>
    <row r="422" spans="1:19" x14ac:dyDescent="0.3">
      <c r="A422" t="s">
        <v>1306</v>
      </c>
      <c r="B422" t="str">
        <f>_xlfn.XLOOKUP(Table7[[#This Row],[Customer ID]],Table6[Customer_ID],Table6[Store_ID])</f>
        <v>STORE10</v>
      </c>
      <c r="C422" t="str">
        <f>_xlfn.XLOOKUP(Table7[[#This Row],[Customer ID]],Table6[Customer_ID],Table6[Product_ID])</f>
        <v>PROD63</v>
      </c>
      <c r="D422" t="str">
        <f>VLOOKUP(Table7[[#This Row],[Customer ID]],Table4[#All],2,FALSE)</f>
        <v>Jeanette Nichols</v>
      </c>
      <c r="E422">
        <f>VLOOKUP($A422,Table4[],3,FALSE)</f>
        <v>28</v>
      </c>
      <c r="F422" t="str">
        <f>VLOOKUP($A422,Table4[],4,FALSE)</f>
        <v>Male</v>
      </c>
      <c r="G422" t="str">
        <f>VLOOKUP($A422,Table4[],5,FALSE)</f>
        <v>Aguilarland</v>
      </c>
      <c r="H422" t="str">
        <f>VLOOKUP($A422,Table4[],6,FALSE)</f>
        <v>North Carolina</v>
      </c>
      <c r="I422" t="str">
        <f>VLOOKUP($A422,Table4[],8,FALSE)</f>
        <v>Platinum</v>
      </c>
      <c r="J422" t="str">
        <f>VLOOKUP($C422,Table1[],2,FALSE)</f>
        <v>Organic Sunscreen Lotion</v>
      </c>
      <c r="K422" t="str">
        <f>VLOOKUP($C422,Table1[],3,FALSE)</f>
        <v>Beauty</v>
      </c>
      <c r="L422" t="str">
        <f>VLOOKUP($C422,Table1[],4,FALSE)</f>
        <v>Skincare</v>
      </c>
      <c r="M422" t="str">
        <f>VLOOKUP($C422,Table1[],5,FALSE)</f>
        <v>Anderson-Riley</v>
      </c>
      <c r="N422">
        <f>VLOOKUP($C422,Table1[],6,FALSE)</f>
        <v>266.86</v>
      </c>
      <c r="O422">
        <f>VLOOKUP($C422,Table1[],7,FALSE)</f>
        <v>458</v>
      </c>
      <c r="P422" t="str">
        <f>_xlfn.XLOOKUP($B422,Table3[Store_ID],Table3[Store_Name])</f>
        <v>Hill, Wagner and Ballard</v>
      </c>
      <c r="Q422" t="str" cm="1">
        <f t="array" ref="Q422">_xlfn.XLOOKUP($B422,Store_Dim!$A$2:$A$21,Table3[Region])</f>
        <v>East</v>
      </c>
      <c r="R422" t="str" cm="1">
        <f t="array" ref="R422">_xlfn.XLOOKUP($B422,Store_Dim!$A$2:$A$21,Table3[Store_Type])</f>
        <v>Online</v>
      </c>
      <c r="S422">
        <f>VLOOKUP(Table7[[#This Row],[Customer ID]],Table6[[Customer_ID]:[Total_Amount]],8,FALSE)</f>
        <v>359.61380000000003</v>
      </c>
    </row>
    <row r="423" spans="1:19" x14ac:dyDescent="0.3">
      <c r="A423" t="s">
        <v>1309</v>
      </c>
      <c r="B423" t="str">
        <f>_xlfn.XLOOKUP(Table7[[#This Row],[Customer ID]],Table6[Customer_ID],Table6[Store_ID])</f>
        <v>STORE5</v>
      </c>
      <c r="C423" t="str">
        <f>_xlfn.XLOOKUP(Table7[[#This Row],[Customer ID]],Table6[Customer_ID],Table6[Product_ID])</f>
        <v>PROD53</v>
      </c>
      <c r="D423" t="str">
        <f>VLOOKUP(Table7[[#This Row],[Customer ID]],Table4[#All],2,FALSE)</f>
        <v>Jose Stewart</v>
      </c>
      <c r="E423">
        <f>VLOOKUP($A423,Table4[],3,FALSE)</f>
        <v>18</v>
      </c>
      <c r="F423" t="str">
        <f>VLOOKUP($A423,Table4[],4,FALSE)</f>
        <v>Female</v>
      </c>
      <c r="G423" t="str">
        <f>VLOOKUP($A423,Table4[],5,FALSE)</f>
        <v>South Robert</v>
      </c>
      <c r="H423" t="str">
        <f>VLOOKUP($A423,Table4[],6,FALSE)</f>
        <v>Maine</v>
      </c>
      <c r="I423" t="str">
        <f>VLOOKUP($A423,Table4[],8,FALSE)</f>
        <v>Gold</v>
      </c>
      <c r="J423" t="str">
        <f>VLOOKUP($C423,Table1[],2,FALSE)</f>
        <v>Men's Track Pants</v>
      </c>
      <c r="K423" t="str">
        <f>VLOOKUP($C423,Table1[],3,FALSE)</f>
        <v>Clothing</v>
      </c>
      <c r="L423" t="str">
        <f>VLOOKUP($C423,Table1[],4,FALSE)</f>
        <v>Bottoms</v>
      </c>
      <c r="M423" t="str">
        <f>VLOOKUP($C423,Table1[],5,FALSE)</f>
        <v>Hamilton, Woods and Walker</v>
      </c>
      <c r="N423">
        <f>VLOOKUP($C423,Table1[],6,FALSE)</f>
        <v>386.56</v>
      </c>
      <c r="O423">
        <f>VLOOKUP($C423,Table1[],7,FALSE)</f>
        <v>125</v>
      </c>
      <c r="P423" t="str">
        <f>_xlfn.XLOOKUP($B423,Table3[Store_ID],Table3[Store_Name])</f>
        <v>Gray Ltd</v>
      </c>
      <c r="Q423" t="str" cm="1">
        <f t="array" ref="Q423">_xlfn.XLOOKUP($B423,Store_Dim!$A$2:$A$21,Table3[Region])</f>
        <v>North</v>
      </c>
      <c r="R423" t="str" cm="1">
        <f t="array" ref="R423">_xlfn.XLOOKUP($B423,Store_Dim!$A$2:$A$21,Table3[Store_Type])</f>
        <v>Outlet</v>
      </c>
      <c r="S423">
        <f>VLOOKUP(Table7[[#This Row],[Customer ID]],Table6[[Customer_ID]:[Total_Amount]],8,FALSE)</f>
        <v>1349.0568000000001</v>
      </c>
    </row>
    <row r="424" spans="1:19" x14ac:dyDescent="0.3">
      <c r="A424" t="s">
        <v>1312</v>
      </c>
      <c r="B424" t="str">
        <f>_xlfn.XLOOKUP(Table7[[#This Row],[Customer ID]],Table6[Customer_ID],Table6[Store_ID])</f>
        <v>STORE3</v>
      </c>
      <c r="C424" t="str">
        <f>_xlfn.XLOOKUP(Table7[[#This Row],[Customer ID]],Table6[Customer_ID],Table6[Product_ID])</f>
        <v>PROD63</v>
      </c>
      <c r="D424" t="str">
        <f>VLOOKUP(Table7[[#This Row],[Customer ID]],Table4[#All],2,FALSE)</f>
        <v>Samuel Mullins</v>
      </c>
      <c r="E424">
        <f>VLOOKUP($A424,Table4[],3,FALSE)</f>
        <v>27</v>
      </c>
      <c r="F424" t="str">
        <f>VLOOKUP($A424,Table4[],4,FALSE)</f>
        <v>Female</v>
      </c>
      <c r="G424" t="str">
        <f>VLOOKUP($A424,Table4[],5,FALSE)</f>
        <v>Hartmouth</v>
      </c>
      <c r="H424" t="str">
        <f>VLOOKUP($A424,Table4[],6,FALSE)</f>
        <v>Louisiana</v>
      </c>
      <c r="I424" t="str">
        <f>VLOOKUP($A424,Table4[],8,FALSE)</f>
        <v>Bronze</v>
      </c>
      <c r="J424" t="str">
        <f>VLOOKUP($C424,Table1[],2,FALSE)</f>
        <v>Organic Sunscreen Lotion</v>
      </c>
      <c r="K424" t="str">
        <f>VLOOKUP($C424,Table1[],3,FALSE)</f>
        <v>Beauty</v>
      </c>
      <c r="L424" t="str">
        <f>VLOOKUP($C424,Table1[],4,FALSE)</f>
        <v>Skincare</v>
      </c>
      <c r="M424" t="str">
        <f>VLOOKUP($C424,Table1[],5,FALSE)</f>
        <v>Anderson-Riley</v>
      </c>
      <c r="N424">
        <f>VLOOKUP($C424,Table1[],6,FALSE)</f>
        <v>266.86</v>
      </c>
      <c r="O424">
        <f>VLOOKUP($C424,Table1[],7,FALSE)</f>
        <v>458</v>
      </c>
      <c r="P424" t="str">
        <f>_xlfn.XLOOKUP($B424,Table3[Store_ID],Table3[Store_Name])</f>
        <v>Johnson-Wright</v>
      </c>
      <c r="Q424" t="str" cm="1">
        <f t="array" ref="Q424">_xlfn.XLOOKUP($B424,Store_Dim!$A$2:$A$21,Table3[Region])</f>
        <v>North</v>
      </c>
      <c r="R424" t="str" cm="1">
        <f t="array" ref="R424">_xlfn.XLOOKUP($B424,Store_Dim!$A$2:$A$21,Table3[Store_Type])</f>
        <v>Outlet</v>
      </c>
      <c r="S424">
        <f>VLOOKUP(Table7[[#This Row],[Customer ID]],Table6[[Customer_ID]:[Total_Amount]],8,FALSE)</f>
        <v>1301.6094000000001</v>
      </c>
    </row>
    <row r="425" spans="1:19" x14ac:dyDescent="0.3">
      <c r="A425" t="s">
        <v>1318</v>
      </c>
      <c r="B425" t="str">
        <f>_xlfn.XLOOKUP(Table7[[#This Row],[Customer ID]],Table6[Customer_ID],Table6[Store_ID])</f>
        <v>STORE13</v>
      </c>
      <c r="C425" t="str">
        <f>_xlfn.XLOOKUP(Table7[[#This Row],[Customer ID]],Table6[Customer_ID],Table6[Product_ID])</f>
        <v>PROD87</v>
      </c>
      <c r="D425" t="str">
        <f>VLOOKUP(Table7[[#This Row],[Customer ID]],Table4[#All],2,FALSE)</f>
        <v>Kimberly Roberts</v>
      </c>
      <c r="E425">
        <f>VLOOKUP($A425,Table4[],3,FALSE)</f>
        <v>36</v>
      </c>
      <c r="F425" t="str">
        <f>VLOOKUP($A425,Table4[],4,FALSE)</f>
        <v>Female</v>
      </c>
      <c r="G425" t="str">
        <f>VLOOKUP($A425,Table4[],5,FALSE)</f>
        <v>Josephchester</v>
      </c>
      <c r="H425" t="str">
        <f>VLOOKUP($A425,Table4[],6,FALSE)</f>
        <v>New Jersey</v>
      </c>
      <c r="I425" t="str">
        <f>VLOOKUP($A425,Table4[],8,FALSE)</f>
        <v>Gold</v>
      </c>
      <c r="J425" t="str">
        <f>VLOOKUP($C425,Table1[],2,FALSE)</f>
        <v>LED Bedside Lamp</v>
      </c>
      <c r="K425" t="str">
        <f>VLOOKUP($C425,Table1[],3,FALSE)</f>
        <v>Home</v>
      </c>
      <c r="L425" t="str">
        <f>VLOOKUP($C425,Table1[],4,FALSE)</f>
        <v>Lighting</v>
      </c>
      <c r="M425" t="str">
        <f>VLOOKUP($C425,Table1[],5,FALSE)</f>
        <v>Aguilar, Horton and Lewis</v>
      </c>
      <c r="N425">
        <f>VLOOKUP($C425,Table1[],6,FALSE)</f>
        <v>371.38</v>
      </c>
      <c r="O425">
        <f>VLOOKUP($C425,Table1[],7,FALSE)</f>
        <v>220</v>
      </c>
      <c r="P425" t="str">
        <f>_xlfn.XLOOKUP($B425,Table3[Store_ID],Table3[Store_Name])</f>
        <v>Gardner, Humphrey and Contreras</v>
      </c>
      <c r="Q425" t="str" cm="1">
        <f t="array" ref="Q425">_xlfn.XLOOKUP($B425,Store_Dim!$A$2:$A$21,Table3[Region])</f>
        <v>East</v>
      </c>
      <c r="R425" t="str" cm="1">
        <f t="array" ref="R425">_xlfn.XLOOKUP($B425,Store_Dim!$A$2:$A$21,Table3[Store_Type])</f>
        <v>Flagship</v>
      </c>
      <c r="S425">
        <f>VLOOKUP(Table7[[#This Row],[Customer ID]],Table6[[Customer_ID]:[Total_Amount]],8,FALSE)</f>
        <v>2280.0509999999999</v>
      </c>
    </row>
    <row r="426" spans="1:19" x14ac:dyDescent="0.3">
      <c r="A426" t="s">
        <v>1321</v>
      </c>
      <c r="B426" t="str">
        <f>_xlfn.XLOOKUP(Table7[[#This Row],[Customer ID]],Table6[Customer_ID],Table6[Store_ID])</f>
        <v>STORE3</v>
      </c>
      <c r="C426" t="str">
        <f>_xlfn.XLOOKUP(Table7[[#This Row],[Customer ID]],Table6[Customer_ID],Table6[Product_ID])</f>
        <v>PROD94</v>
      </c>
      <c r="D426" t="str">
        <f>VLOOKUP(Table7[[#This Row],[Customer ID]],Table4[#All],2,FALSE)</f>
        <v>John Smith</v>
      </c>
      <c r="E426">
        <f>VLOOKUP($A426,Table4[],3,FALSE)</f>
        <v>27</v>
      </c>
      <c r="F426" t="str">
        <f>VLOOKUP($A426,Table4[],4,FALSE)</f>
        <v>Male</v>
      </c>
      <c r="G426" t="str">
        <f>VLOOKUP($A426,Table4[],5,FALSE)</f>
        <v>South Andrewport</v>
      </c>
      <c r="H426" t="str">
        <f>VLOOKUP($A426,Table4[],6,FALSE)</f>
        <v>California</v>
      </c>
      <c r="I426" t="str">
        <f>VLOOKUP($A426,Table4[],8,FALSE)</f>
        <v>Platinum</v>
      </c>
      <c r="J426" t="str">
        <f>VLOOKUP($C426,Table1[],2,FALSE)</f>
        <v>Vitamin E Body Lotion</v>
      </c>
      <c r="K426" t="str">
        <f>VLOOKUP($C426,Table1[],3,FALSE)</f>
        <v>Beauty</v>
      </c>
      <c r="L426" t="str">
        <f>VLOOKUP($C426,Table1[],4,FALSE)</f>
        <v>Skincare</v>
      </c>
      <c r="M426" t="str">
        <f>VLOOKUP($C426,Table1[],5,FALSE)</f>
        <v>Hoffman-Williams</v>
      </c>
      <c r="N426">
        <f>VLOOKUP($C426,Table1[],6,FALSE)</f>
        <v>358.47</v>
      </c>
      <c r="O426">
        <f>VLOOKUP($C426,Table1[],7,FALSE)</f>
        <v>213</v>
      </c>
      <c r="P426" t="str">
        <f>_xlfn.XLOOKUP($B426,Table3[Store_ID],Table3[Store_Name])</f>
        <v>Johnson-Wright</v>
      </c>
      <c r="Q426" t="str" cm="1">
        <f t="array" ref="Q426">_xlfn.XLOOKUP($B426,Store_Dim!$A$2:$A$21,Table3[Region])</f>
        <v>North</v>
      </c>
      <c r="R426" t="str" cm="1">
        <f t="array" ref="R426">_xlfn.XLOOKUP($B426,Store_Dim!$A$2:$A$21,Table3[Store_Type])</f>
        <v>Outlet</v>
      </c>
      <c r="S426">
        <f>VLOOKUP(Table7[[#This Row],[Customer ID]],Table6[[Customer_ID]:[Total_Amount]],8,FALSE)</f>
        <v>1105.3432</v>
      </c>
    </row>
    <row r="427" spans="1:19" x14ac:dyDescent="0.3">
      <c r="A427" t="s">
        <v>1324</v>
      </c>
      <c r="B427" t="str">
        <f>_xlfn.XLOOKUP(Table7[[#This Row],[Customer ID]],Table6[Customer_ID],Table6[Store_ID])</f>
        <v>STORE13</v>
      </c>
      <c r="C427" t="str">
        <f>_xlfn.XLOOKUP(Table7[[#This Row],[Customer ID]],Table6[Customer_ID],Table6[Product_ID])</f>
        <v>PROD16</v>
      </c>
      <c r="D427" t="str">
        <f>VLOOKUP(Table7[[#This Row],[Customer ID]],Table4[#All],2,FALSE)</f>
        <v>Summer Weiss</v>
      </c>
      <c r="E427">
        <f>VLOOKUP($A427,Table4[],3,FALSE)</f>
        <v>37</v>
      </c>
      <c r="F427" t="str">
        <f>VLOOKUP($A427,Table4[],4,FALSE)</f>
        <v>Male</v>
      </c>
      <c r="G427" t="str">
        <f>VLOOKUP($A427,Table4[],5,FALSE)</f>
        <v>Phyllisport</v>
      </c>
      <c r="H427" t="str">
        <f>VLOOKUP($A427,Table4[],6,FALSE)</f>
        <v>New Jersey</v>
      </c>
      <c r="I427" t="str">
        <f>VLOOKUP($A427,Table4[],8,FALSE)</f>
        <v>Bronze</v>
      </c>
      <c r="J427" t="str">
        <f>VLOOKUP($C427,Table1[],2,FALSE)</f>
        <v>Beard Grooming Kit</v>
      </c>
      <c r="K427" t="str">
        <f>VLOOKUP($C427,Table1[],3,FALSE)</f>
        <v>Beauty</v>
      </c>
      <c r="L427" t="str">
        <f>VLOOKUP($C427,Table1[],4,FALSE)</f>
        <v>Grooming</v>
      </c>
      <c r="M427" t="str">
        <f>VLOOKUP($C427,Table1[],5,FALSE)</f>
        <v>Erickson-Green</v>
      </c>
      <c r="N427">
        <f>VLOOKUP($C427,Table1[],6,FALSE)</f>
        <v>337.42</v>
      </c>
      <c r="O427">
        <f>VLOOKUP($C427,Table1[],7,FALSE)</f>
        <v>256</v>
      </c>
      <c r="P427" t="str">
        <f>_xlfn.XLOOKUP($B427,Table3[Store_ID],Table3[Store_Name])</f>
        <v>Gardner, Humphrey and Contreras</v>
      </c>
      <c r="Q427" t="str" cm="1">
        <f t="array" ref="Q427">_xlfn.XLOOKUP($B427,Store_Dim!$A$2:$A$21,Table3[Region])</f>
        <v>East</v>
      </c>
      <c r="R427" t="str" cm="1">
        <f t="array" ref="R427">_xlfn.XLOOKUP($B427,Store_Dim!$A$2:$A$21,Table3[Store_Type])</f>
        <v>Flagship</v>
      </c>
      <c r="S427">
        <f>VLOOKUP(Table7[[#This Row],[Customer ID]],Table6[[Customer_ID]:[Total_Amount]],8,FALSE)</f>
        <v>815.07200000000012</v>
      </c>
    </row>
    <row r="428" spans="1:19" x14ac:dyDescent="0.3">
      <c r="A428" t="s">
        <v>1327</v>
      </c>
      <c r="B428" t="str">
        <f>_xlfn.XLOOKUP(Table7[[#This Row],[Customer ID]],Table6[Customer_ID],Table6[Store_ID])</f>
        <v>STORE4</v>
      </c>
      <c r="C428" t="str">
        <f>_xlfn.XLOOKUP(Table7[[#This Row],[Customer ID]],Table6[Customer_ID],Table6[Product_ID])</f>
        <v>PROD64</v>
      </c>
      <c r="D428" t="str">
        <f>VLOOKUP(Table7[[#This Row],[Customer ID]],Table4[#All],2,FALSE)</f>
        <v>Thomas Moore</v>
      </c>
      <c r="E428">
        <f>VLOOKUP($A428,Table4[],3,FALSE)</f>
        <v>51</v>
      </c>
      <c r="F428" t="str">
        <f>VLOOKUP($A428,Table4[],4,FALSE)</f>
        <v>Female</v>
      </c>
      <c r="G428" t="str">
        <f>VLOOKUP($A428,Table4[],5,FALSE)</f>
        <v>Williamsberg</v>
      </c>
      <c r="H428" t="str">
        <f>VLOOKUP($A428,Table4[],6,FALSE)</f>
        <v>New York</v>
      </c>
      <c r="I428" t="str">
        <f>VLOOKUP($A428,Table4[],8,FALSE)</f>
        <v>Silver</v>
      </c>
      <c r="J428" t="str">
        <f>VLOOKUP($C428,Table1[],2,FALSE)</f>
        <v>Matte Lipstick Set</v>
      </c>
      <c r="K428" t="str">
        <f>VLOOKUP($C428,Table1[],3,FALSE)</f>
        <v>Beauty</v>
      </c>
      <c r="L428" t="str">
        <f>VLOOKUP($C428,Table1[],4,FALSE)</f>
        <v>Makeup</v>
      </c>
      <c r="M428" t="str">
        <f>VLOOKUP($C428,Table1[],5,FALSE)</f>
        <v>Zhang Inc</v>
      </c>
      <c r="N428">
        <f>VLOOKUP($C428,Table1[],6,FALSE)</f>
        <v>299.11</v>
      </c>
      <c r="O428">
        <f>VLOOKUP($C428,Table1[],7,FALSE)</f>
        <v>118</v>
      </c>
      <c r="P428" t="str">
        <f>_xlfn.XLOOKUP($B428,Table3[Store_ID],Table3[Store_Name])</f>
        <v>Alexander Group</v>
      </c>
      <c r="Q428" t="str" cm="1">
        <f t="array" ref="Q428">_xlfn.XLOOKUP($B428,Store_Dim!$A$2:$A$21,Table3[Region])</f>
        <v>South</v>
      </c>
      <c r="R428" t="str" cm="1">
        <f t="array" ref="R428">_xlfn.XLOOKUP($B428,Store_Dim!$A$2:$A$21,Table3[Store_Type])</f>
        <v>Online</v>
      </c>
      <c r="S428">
        <f>VLOOKUP(Table7[[#This Row],[Customer ID]],Table6[[Customer_ID]:[Total_Amount]],8,FALSE)</f>
        <v>2337.75</v>
      </c>
    </row>
    <row r="429" spans="1:19" x14ac:dyDescent="0.3">
      <c r="A429" t="s">
        <v>1330</v>
      </c>
      <c r="B429" t="str">
        <f>_xlfn.XLOOKUP(Table7[[#This Row],[Customer ID]],Table6[Customer_ID],Table6[Store_ID])</f>
        <v>STORE8</v>
      </c>
      <c r="C429" t="str">
        <f>_xlfn.XLOOKUP(Table7[[#This Row],[Customer ID]],Table6[Customer_ID],Table6[Product_ID])</f>
        <v>PROD13</v>
      </c>
      <c r="D429" t="str">
        <f>VLOOKUP(Table7[[#This Row],[Customer ID]],Table4[#All],2,FALSE)</f>
        <v>Monique Castro</v>
      </c>
      <c r="E429">
        <f>VLOOKUP($A429,Table4[],3,FALSE)</f>
        <v>48</v>
      </c>
      <c r="F429" t="str">
        <f>VLOOKUP($A429,Table4[],4,FALSE)</f>
        <v>Female</v>
      </c>
      <c r="G429" t="str">
        <f>VLOOKUP($A429,Table4[],5,FALSE)</f>
        <v>New Sarah</v>
      </c>
      <c r="H429" t="str">
        <f>VLOOKUP($A429,Table4[],6,FALSE)</f>
        <v>Indiana</v>
      </c>
      <c r="I429" t="str">
        <f>VLOOKUP($A429,Table4[],8,FALSE)</f>
        <v>Gold</v>
      </c>
      <c r="J429" t="str">
        <f>VLOOKUP($C429,Table1[],2,FALSE)</f>
        <v>USB-C Fast Charger</v>
      </c>
      <c r="K429" t="str">
        <f>VLOOKUP($C429,Table1[],3,FALSE)</f>
        <v>Electronics</v>
      </c>
      <c r="L429" t="str">
        <f>VLOOKUP($C429,Table1[],4,FALSE)</f>
        <v>Accessories</v>
      </c>
      <c r="M429" t="str">
        <f>VLOOKUP($C429,Table1[],5,FALSE)</f>
        <v>Dawson-Perkins</v>
      </c>
      <c r="N429">
        <f>VLOOKUP($C429,Table1[],6,FALSE)</f>
        <v>242.23</v>
      </c>
      <c r="O429">
        <f>VLOOKUP($C429,Table1[],7,FALSE)</f>
        <v>453</v>
      </c>
      <c r="P429" t="str">
        <f>_xlfn.XLOOKUP($B429,Table3[Store_ID],Table3[Store_Name])</f>
        <v>Bean, Jones and Park</v>
      </c>
      <c r="Q429" t="str" cm="1">
        <f t="array" ref="Q429">_xlfn.XLOOKUP($B429,Store_Dim!$A$2:$A$21,Table3[Region])</f>
        <v>West</v>
      </c>
      <c r="R429" t="str" cm="1">
        <f t="array" ref="R429">_xlfn.XLOOKUP($B429,Store_Dim!$A$2:$A$21,Table3[Store_Type])</f>
        <v>Online</v>
      </c>
      <c r="S429">
        <f>VLOOKUP(Table7[[#This Row],[Customer ID]],Table6[[Customer_ID]:[Total_Amount]],8,FALSE)</f>
        <v>2829.7228</v>
      </c>
    </row>
    <row r="430" spans="1:19" x14ac:dyDescent="0.3">
      <c r="A430" t="s">
        <v>1333</v>
      </c>
      <c r="B430" t="str">
        <f>_xlfn.XLOOKUP(Table7[[#This Row],[Customer ID]],Table6[Customer_ID],Table6[Store_ID])</f>
        <v>STORE9</v>
      </c>
      <c r="C430" t="str">
        <f>_xlfn.XLOOKUP(Table7[[#This Row],[Customer ID]],Table6[Customer_ID],Table6[Product_ID])</f>
        <v>PROD36</v>
      </c>
      <c r="D430" t="str">
        <f>VLOOKUP(Table7[[#This Row],[Customer ID]],Table4[#All],2,FALSE)</f>
        <v>Lindsay Beasley</v>
      </c>
      <c r="E430">
        <f>VLOOKUP($A430,Table4[],3,FALSE)</f>
        <v>37</v>
      </c>
      <c r="F430" t="str">
        <f>VLOOKUP($A430,Table4[],4,FALSE)</f>
        <v>Female</v>
      </c>
      <c r="G430" t="str">
        <f>VLOOKUP($A430,Table4[],5,FALSE)</f>
        <v>Wesleyhaven</v>
      </c>
      <c r="H430" t="str">
        <f>VLOOKUP($A430,Table4[],6,FALSE)</f>
        <v>Idaho</v>
      </c>
      <c r="I430" t="str">
        <f>VLOOKUP($A430,Table4[],8,FALSE)</f>
        <v>Silver</v>
      </c>
      <c r="J430" t="str">
        <f>VLOOKUP($C430,Table1[],2,FALSE)</f>
        <v>Women's Summer Dress</v>
      </c>
      <c r="K430" t="str">
        <f>VLOOKUP($C430,Table1[],3,FALSE)</f>
        <v>Clothing</v>
      </c>
      <c r="L430" t="str">
        <f>VLOOKUP($C430,Table1[],4,FALSE)</f>
        <v>Tops</v>
      </c>
      <c r="M430" t="str">
        <f>VLOOKUP($C430,Table1[],5,FALSE)</f>
        <v>Smith-Mills</v>
      </c>
      <c r="N430">
        <f>VLOOKUP($C430,Table1[],6,FALSE)</f>
        <v>223.43</v>
      </c>
      <c r="O430">
        <f>VLOOKUP($C430,Table1[],7,FALSE)</f>
        <v>154</v>
      </c>
      <c r="P430" t="str">
        <f>_xlfn.XLOOKUP($B430,Table3[Store_ID],Table3[Store_Name])</f>
        <v>Moore, Padilla and Butler</v>
      </c>
      <c r="Q430" t="str" cm="1">
        <f t="array" ref="Q430">_xlfn.XLOOKUP($B430,Store_Dim!$A$2:$A$21,Table3[Region])</f>
        <v>South</v>
      </c>
      <c r="R430" t="str" cm="1">
        <f t="array" ref="R430">_xlfn.XLOOKUP($B430,Store_Dim!$A$2:$A$21,Table3[Store_Type])</f>
        <v>Flagship</v>
      </c>
      <c r="S430">
        <f>VLOOKUP(Table7[[#This Row],[Customer ID]],Table6[[Customer_ID]:[Total_Amount]],8,FALSE)</f>
        <v>2509.4591999999998</v>
      </c>
    </row>
    <row r="431" spans="1:19" x14ac:dyDescent="0.3">
      <c r="A431" t="s">
        <v>1336</v>
      </c>
      <c r="B431" t="str">
        <f>_xlfn.XLOOKUP(Table7[[#This Row],[Customer ID]],Table6[Customer_ID],Table6[Store_ID])</f>
        <v>STORE18</v>
      </c>
      <c r="C431" t="str">
        <f>_xlfn.XLOOKUP(Table7[[#This Row],[Customer ID]],Table6[Customer_ID],Table6[Product_ID])</f>
        <v>PROD52</v>
      </c>
      <c r="D431" t="str">
        <f>VLOOKUP(Table7[[#This Row],[Customer ID]],Table4[#All],2,FALSE)</f>
        <v>Sharon Simpson</v>
      </c>
      <c r="E431">
        <f>VLOOKUP($A431,Table4[],3,FALSE)</f>
        <v>61</v>
      </c>
      <c r="F431" t="str">
        <f>VLOOKUP($A431,Table4[],4,FALSE)</f>
        <v>Male</v>
      </c>
      <c r="G431" t="str">
        <f>VLOOKUP($A431,Table4[],5,FALSE)</f>
        <v>South Michellebury</v>
      </c>
      <c r="H431" t="str">
        <f>VLOOKUP($A431,Table4[],6,FALSE)</f>
        <v>South Dakota</v>
      </c>
      <c r="I431" t="str">
        <f>VLOOKUP($A431,Table4[],8,FALSE)</f>
        <v>Gold</v>
      </c>
      <c r="J431" t="str">
        <f>VLOOKUP($C431,Table1[],2,FALSE)</f>
        <v>Rugby Ball</v>
      </c>
      <c r="K431" t="str">
        <f>VLOOKUP($C431,Table1[],3,FALSE)</f>
        <v>Sports</v>
      </c>
      <c r="L431" t="str">
        <f>VLOOKUP($C431,Table1[],4,FALSE)</f>
        <v>Team Sports</v>
      </c>
      <c r="M431" t="str">
        <f>VLOOKUP($C431,Table1[],5,FALSE)</f>
        <v>Harris Inc</v>
      </c>
      <c r="N431">
        <f>VLOOKUP($C431,Table1[],6,FALSE)</f>
        <v>212.26</v>
      </c>
      <c r="O431">
        <f>VLOOKUP($C431,Table1[],7,FALSE)</f>
        <v>82</v>
      </c>
      <c r="P431" t="str">
        <f>_xlfn.XLOOKUP($B431,Table3[Store_ID],Table3[Store_Name])</f>
        <v>Guerrero-Schmitt</v>
      </c>
      <c r="Q431" t="str" cm="1">
        <f t="array" ref="Q431">_xlfn.XLOOKUP($B431,Store_Dim!$A$2:$A$21,Table3[Region])</f>
        <v>East</v>
      </c>
      <c r="R431" t="str" cm="1">
        <f t="array" ref="R431">_xlfn.XLOOKUP($B431,Store_Dim!$A$2:$A$21,Table3[Store_Type])</f>
        <v>Flagship</v>
      </c>
      <c r="S431">
        <f>VLOOKUP(Table7[[#This Row],[Customer ID]],Table6[[Customer_ID]:[Total_Amount]],8,FALSE)</f>
        <v>70.924799999999991</v>
      </c>
    </row>
    <row r="432" spans="1:19" x14ac:dyDescent="0.3">
      <c r="A432" t="s">
        <v>1339</v>
      </c>
      <c r="B432" t="str">
        <f>_xlfn.XLOOKUP(Table7[[#This Row],[Customer ID]],Table6[Customer_ID],Table6[Store_ID])</f>
        <v>STORE5</v>
      </c>
      <c r="C432" t="str">
        <f>_xlfn.XLOOKUP(Table7[[#This Row],[Customer ID]],Table6[Customer_ID],Table6[Product_ID])</f>
        <v>PROD88</v>
      </c>
      <c r="D432" t="str">
        <f>VLOOKUP(Table7[[#This Row],[Customer ID]],Table4[#All],2,FALSE)</f>
        <v>Melinda Rivera</v>
      </c>
      <c r="E432">
        <f>VLOOKUP($A432,Table4[],3,FALSE)</f>
        <v>47</v>
      </c>
      <c r="F432" t="str">
        <f>VLOOKUP($A432,Table4[],4,FALSE)</f>
        <v>Female</v>
      </c>
      <c r="G432" t="str">
        <f>VLOOKUP($A432,Table4[],5,FALSE)</f>
        <v>East Davidmouth</v>
      </c>
      <c r="H432" t="str">
        <f>VLOOKUP($A432,Table4[],6,FALSE)</f>
        <v>New Hampshire</v>
      </c>
      <c r="I432" t="str">
        <f>VLOOKUP($A432,Table4[],8,FALSE)</f>
        <v>Platinum</v>
      </c>
      <c r="J432" t="str">
        <f>VLOOKUP($C432,Table1[],2,FALSE)</f>
        <v>Sports Wrist Sweatbands</v>
      </c>
      <c r="K432" t="str">
        <f>VLOOKUP($C432,Table1[],3,FALSE)</f>
        <v>Sports</v>
      </c>
      <c r="L432" t="str">
        <f>VLOOKUP($C432,Table1[],4,FALSE)</f>
        <v>Accessories</v>
      </c>
      <c r="M432" t="str">
        <f>VLOOKUP($C432,Table1[],5,FALSE)</f>
        <v>Olsen-Daniels</v>
      </c>
      <c r="N432">
        <f>VLOOKUP($C432,Table1[],6,FALSE)</f>
        <v>131.24</v>
      </c>
      <c r="O432">
        <f>VLOOKUP($C432,Table1[],7,FALSE)</f>
        <v>232</v>
      </c>
      <c r="P432" t="str">
        <f>_xlfn.XLOOKUP($B432,Table3[Store_ID],Table3[Store_Name])</f>
        <v>Gray Ltd</v>
      </c>
      <c r="Q432" t="str" cm="1">
        <f t="array" ref="Q432">_xlfn.XLOOKUP($B432,Store_Dim!$A$2:$A$21,Table3[Region])</f>
        <v>North</v>
      </c>
      <c r="R432" t="str" cm="1">
        <f t="array" ref="R432">_xlfn.XLOOKUP($B432,Store_Dim!$A$2:$A$21,Table3[Store_Type])</f>
        <v>Outlet</v>
      </c>
      <c r="S432">
        <f>VLOOKUP(Table7[[#This Row],[Customer ID]],Table6[[Customer_ID]:[Total_Amount]],8,FALSE)</f>
        <v>374.34539999999998</v>
      </c>
    </row>
    <row r="433" spans="1:19" x14ac:dyDescent="0.3">
      <c r="A433" t="s">
        <v>1341</v>
      </c>
      <c r="B433" t="str">
        <f>_xlfn.XLOOKUP(Table7[[#This Row],[Customer ID]],Table6[Customer_ID],Table6[Store_ID])</f>
        <v>STORE12</v>
      </c>
      <c r="C433" t="str">
        <f>_xlfn.XLOOKUP(Table7[[#This Row],[Customer ID]],Table6[Customer_ID],Table6[Product_ID])</f>
        <v>PROD63</v>
      </c>
      <c r="D433" t="str">
        <f>VLOOKUP(Table7[[#This Row],[Customer ID]],Table4[#All],2,FALSE)</f>
        <v>Monica Flynn</v>
      </c>
      <c r="E433">
        <f>VLOOKUP($A433,Table4[],3,FALSE)</f>
        <v>59</v>
      </c>
      <c r="F433" t="str">
        <f>VLOOKUP($A433,Table4[],4,FALSE)</f>
        <v>Female</v>
      </c>
      <c r="G433" t="str">
        <f>VLOOKUP($A433,Table4[],5,FALSE)</f>
        <v>Amberburgh</v>
      </c>
      <c r="H433" t="str">
        <f>VLOOKUP($A433,Table4[],6,FALSE)</f>
        <v>Tennessee</v>
      </c>
      <c r="I433" t="str">
        <f>VLOOKUP($A433,Table4[],8,FALSE)</f>
        <v>Platinum</v>
      </c>
      <c r="J433" t="str">
        <f>VLOOKUP($C433,Table1[],2,FALSE)</f>
        <v>Organic Sunscreen Lotion</v>
      </c>
      <c r="K433" t="str">
        <f>VLOOKUP($C433,Table1[],3,FALSE)</f>
        <v>Beauty</v>
      </c>
      <c r="L433" t="str">
        <f>VLOOKUP($C433,Table1[],4,FALSE)</f>
        <v>Skincare</v>
      </c>
      <c r="M433" t="str">
        <f>VLOOKUP($C433,Table1[],5,FALSE)</f>
        <v>Anderson-Riley</v>
      </c>
      <c r="N433">
        <f>VLOOKUP($C433,Table1[],6,FALSE)</f>
        <v>266.86</v>
      </c>
      <c r="O433">
        <f>VLOOKUP($C433,Table1[],7,FALSE)</f>
        <v>458</v>
      </c>
      <c r="P433" t="str">
        <f>_xlfn.XLOOKUP($B433,Table3[Store_ID],Table3[Store_Name])</f>
        <v>Thomas, Bridges and Harris</v>
      </c>
      <c r="Q433" t="str" cm="1">
        <f t="array" ref="Q433">_xlfn.XLOOKUP($B433,Store_Dim!$A$2:$A$21,Table3[Region])</f>
        <v>North</v>
      </c>
      <c r="R433" t="str" cm="1">
        <f t="array" ref="R433">_xlfn.XLOOKUP($B433,Store_Dim!$A$2:$A$21,Table3[Store_Type])</f>
        <v>Online</v>
      </c>
      <c r="S433">
        <f>VLOOKUP(Table7[[#This Row],[Customer ID]],Table6[[Customer_ID]:[Total_Amount]],8,FALSE)</f>
        <v>831.92750000000001</v>
      </c>
    </row>
    <row r="434" spans="1:19" x14ac:dyDescent="0.3">
      <c r="A434" t="s">
        <v>1344</v>
      </c>
      <c r="B434" t="str">
        <f>_xlfn.XLOOKUP(Table7[[#This Row],[Customer ID]],Table6[Customer_ID],Table6[Store_ID])</f>
        <v>STORE1</v>
      </c>
      <c r="C434" t="str">
        <f>_xlfn.XLOOKUP(Table7[[#This Row],[Customer ID]],Table6[Customer_ID],Table6[Product_ID])</f>
        <v>PROD20</v>
      </c>
      <c r="D434" t="str">
        <f>VLOOKUP(Table7[[#This Row],[Customer ID]],Table4[#All],2,FALSE)</f>
        <v>John Compton</v>
      </c>
      <c r="E434">
        <f>VLOOKUP($A434,Table4[],3,FALSE)</f>
        <v>53</v>
      </c>
      <c r="F434" t="str">
        <f>VLOOKUP($A434,Table4[],4,FALSE)</f>
        <v>Male</v>
      </c>
      <c r="G434" t="str">
        <f>VLOOKUP($A434,Table4[],5,FALSE)</f>
        <v>North Daniel</v>
      </c>
      <c r="H434" t="str">
        <f>VLOOKUP($A434,Table4[],6,FALSE)</f>
        <v>Michigan</v>
      </c>
      <c r="I434" t="str">
        <f>VLOOKUP($A434,Table4[],8,FALSE)</f>
        <v>Silver</v>
      </c>
      <c r="J434" t="str">
        <f>VLOOKUP($C434,Table1[],2,FALSE)</f>
        <v>Outdoor Sports Water Bottle</v>
      </c>
      <c r="K434" t="str">
        <f>VLOOKUP($C434,Table1[],3,FALSE)</f>
        <v>Sports</v>
      </c>
      <c r="L434" t="str">
        <f>VLOOKUP($C434,Table1[],4,FALSE)</f>
        <v>Accessories</v>
      </c>
      <c r="M434" t="str">
        <f>VLOOKUP($C434,Table1[],5,FALSE)</f>
        <v>Soto-Ellis</v>
      </c>
      <c r="N434">
        <f>VLOOKUP($C434,Table1[],6,FALSE)</f>
        <v>131.51</v>
      </c>
      <c r="O434">
        <f>VLOOKUP($C434,Table1[],7,FALSE)</f>
        <v>199</v>
      </c>
      <c r="P434" t="str">
        <f>_xlfn.XLOOKUP($B434,Table3[Store_ID],Table3[Store_Name])</f>
        <v>Martinez, Adkins and Johnson</v>
      </c>
      <c r="Q434" t="str" cm="1">
        <f t="array" ref="Q434">_xlfn.XLOOKUP($B434,Store_Dim!$A$2:$A$21,Table3[Region])</f>
        <v>North</v>
      </c>
      <c r="R434" t="str" cm="1">
        <f t="array" ref="R434">_xlfn.XLOOKUP($B434,Store_Dim!$A$2:$A$21,Table3[Store_Type])</f>
        <v>Flagship</v>
      </c>
      <c r="S434">
        <f>VLOOKUP(Table7[[#This Row],[Customer ID]],Table6[[Customer_ID]:[Total_Amount]],8,FALSE)</f>
        <v>1867.9205999999999</v>
      </c>
    </row>
    <row r="435" spans="1:19" x14ac:dyDescent="0.3">
      <c r="A435" t="s">
        <v>1346</v>
      </c>
      <c r="B435" t="str">
        <f>_xlfn.XLOOKUP(Table7[[#This Row],[Customer ID]],Table6[Customer_ID],Table6[Store_ID])</f>
        <v>STORE3</v>
      </c>
      <c r="C435" t="str">
        <f>_xlfn.XLOOKUP(Table7[[#This Row],[Customer ID]],Table6[Customer_ID],Table6[Product_ID])</f>
        <v>PROD64</v>
      </c>
      <c r="D435" t="str">
        <f>VLOOKUP(Table7[[#This Row],[Customer ID]],Table4[#All],2,FALSE)</f>
        <v>Tammy Trevino</v>
      </c>
      <c r="E435">
        <f>VLOOKUP($A435,Table4[],3,FALSE)</f>
        <v>60</v>
      </c>
      <c r="F435" t="str">
        <f>VLOOKUP($A435,Table4[],4,FALSE)</f>
        <v>Male</v>
      </c>
      <c r="G435" t="str">
        <f>VLOOKUP($A435,Table4[],5,FALSE)</f>
        <v>Justinberg</v>
      </c>
      <c r="H435" t="str">
        <f>VLOOKUP($A435,Table4[],6,FALSE)</f>
        <v>North Dakota</v>
      </c>
      <c r="I435" t="str">
        <f>VLOOKUP($A435,Table4[],8,FALSE)</f>
        <v>Silver</v>
      </c>
      <c r="J435" t="str">
        <f>VLOOKUP($C435,Table1[],2,FALSE)</f>
        <v>Matte Lipstick Set</v>
      </c>
      <c r="K435" t="str">
        <f>VLOOKUP($C435,Table1[],3,FALSE)</f>
        <v>Beauty</v>
      </c>
      <c r="L435" t="str">
        <f>VLOOKUP($C435,Table1[],4,FALSE)</f>
        <v>Makeup</v>
      </c>
      <c r="M435" t="str">
        <f>VLOOKUP($C435,Table1[],5,FALSE)</f>
        <v>Zhang Inc</v>
      </c>
      <c r="N435">
        <f>VLOOKUP($C435,Table1[],6,FALSE)</f>
        <v>299.11</v>
      </c>
      <c r="O435">
        <f>VLOOKUP($C435,Table1[],7,FALSE)</f>
        <v>118</v>
      </c>
      <c r="P435" t="str">
        <f>_xlfn.XLOOKUP($B435,Table3[Store_ID],Table3[Store_Name])</f>
        <v>Johnson-Wright</v>
      </c>
      <c r="Q435" t="str" cm="1">
        <f t="array" ref="Q435">_xlfn.XLOOKUP($B435,Store_Dim!$A$2:$A$21,Table3[Region])</f>
        <v>North</v>
      </c>
      <c r="R435" t="str" cm="1">
        <f t="array" ref="R435">_xlfn.XLOOKUP($B435,Store_Dim!$A$2:$A$21,Table3[Store_Type])</f>
        <v>Outlet</v>
      </c>
      <c r="S435">
        <f>VLOOKUP(Table7[[#This Row],[Customer ID]],Table6[[Customer_ID]:[Total_Amount]],8,FALSE)</f>
        <v>729.07759999999996</v>
      </c>
    </row>
    <row r="436" spans="1:19" x14ac:dyDescent="0.3">
      <c r="A436" t="s">
        <v>1349</v>
      </c>
      <c r="B436" t="str">
        <f>_xlfn.XLOOKUP(Table7[[#This Row],[Customer ID]],Table6[Customer_ID],Table6[Store_ID])</f>
        <v>STORE1</v>
      </c>
      <c r="C436" t="str">
        <f>_xlfn.XLOOKUP(Table7[[#This Row],[Customer ID]],Table6[Customer_ID],Table6[Product_ID])</f>
        <v>PROD44</v>
      </c>
      <c r="D436" t="str">
        <f>VLOOKUP(Table7[[#This Row],[Customer ID]],Table4[#All],2,FALSE)</f>
        <v>Dalton Walters</v>
      </c>
      <c r="E436">
        <f>VLOOKUP($A436,Table4[],3,FALSE)</f>
        <v>31</v>
      </c>
      <c r="F436" t="str">
        <f>VLOOKUP($A436,Table4[],4,FALSE)</f>
        <v>Male</v>
      </c>
      <c r="G436" t="str">
        <f>VLOOKUP($A436,Table4[],5,FALSE)</f>
        <v>Jonesstad</v>
      </c>
      <c r="H436" t="str">
        <f>VLOOKUP($A436,Table4[],6,FALSE)</f>
        <v>Wisconsin</v>
      </c>
      <c r="I436" t="str">
        <f>VLOOKUP($A436,Table4[],8,FALSE)</f>
        <v>Silver</v>
      </c>
      <c r="J436" t="str">
        <f>VLOOKUP($C436,Table1[],2,FALSE)</f>
        <v>Adjustable Jump Rope</v>
      </c>
      <c r="K436" t="str">
        <f>VLOOKUP($C436,Table1[],3,FALSE)</f>
        <v>Sports</v>
      </c>
      <c r="L436" t="str">
        <f>VLOOKUP($C436,Table1[],4,FALSE)</f>
        <v>Fitness</v>
      </c>
      <c r="M436" t="str">
        <f>VLOOKUP($C436,Table1[],5,FALSE)</f>
        <v>Cox Inc</v>
      </c>
      <c r="N436">
        <f>VLOOKUP($C436,Table1[],6,FALSE)</f>
        <v>167.12</v>
      </c>
      <c r="O436">
        <f>VLOOKUP($C436,Table1[],7,FALSE)</f>
        <v>316</v>
      </c>
      <c r="P436" t="str">
        <f>_xlfn.XLOOKUP($B436,Table3[Store_ID],Table3[Store_Name])</f>
        <v>Martinez, Adkins and Johnson</v>
      </c>
      <c r="Q436" t="str" cm="1">
        <f t="array" ref="Q436">_xlfn.XLOOKUP($B436,Store_Dim!$A$2:$A$21,Table3[Region])</f>
        <v>North</v>
      </c>
      <c r="R436" t="str" cm="1">
        <f t="array" ref="R436">_xlfn.XLOOKUP($B436,Store_Dim!$A$2:$A$21,Table3[Store_Type])</f>
        <v>Flagship</v>
      </c>
      <c r="S436">
        <f>VLOOKUP(Table7[[#This Row],[Customer ID]],Table6[[Customer_ID]:[Total_Amount]],8,FALSE)</f>
        <v>1643.4792</v>
      </c>
    </row>
    <row r="437" spans="1:19" x14ac:dyDescent="0.3">
      <c r="A437" t="s">
        <v>1352</v>
      </c>
      <c r="B437" t="str">
        <f>_xlfn.XLOOKUP(Table7[[#This Row],[Customer ID]],Table6[Customer_ID],Table6[Store_ID])</f>
        <v>STORE19</v>
      </c>
      <c r="C437" t="str">
        <f>_xlfn.XLOOKUP(Table7[[#This Row],[Customer ID]],Table6[Customer_ID],Table6[Product_ID])</f>
        <v>PROD56</v>
      </c>
      <c r="D437" t="str">
        <f>VLOOKUP(Table7[[#This Row],[Customer ID]],Table4[#All],2,FALSE)</f>
        <v>Kelli Smith</v>
      </c>
      <c r="E437">
        <f>VLOOKUP($A437,Table4[],3,FALSE)</f>
        <v>42</v>
      </c>
      <c r="F437" t="str">
        <f>VLOOKUP($A437,Table4[],4,FALSE)</f>
        <v>Female</v>
      </c>
      <c r="G437" t="str">
        <f>VLOOKUP($A437,Table4[],5,FALSE)</f>
        <v>North Maryfort</v>
      </c>
      <c r="H437" t="str">
        <f>VLOOKUP($A437,Table4[],6,FALSE)</f>
        <v>Oregon</v>
      </c>
      <c r="I437" t="str">
        <f>VLOOKUP($A437,Table4[],8,FALSE)</f>
        <v>Bronze</v>
      </c>
      <c r="J437" t="str">
        <f>VLOOKUP($C437,Table1[],2,FALSE)</f>
        <v>Premium Blanket Throw</v>
      </c>
      <c r="K437" t="str">
        <f>VLOOKUP($C437,Table1[],3,FALSE)</f>
        <v>Home</v>
      </c>
      <c r="L437" t="str">
        <f>VLOOKUP($C437,Table1[],4,FALSE)</f>
        <v>Decor</v>
      </c>
      <c r="M437" t="str">
        <f>VLOOKUP($C437,Table1[],5,FALSE)</f>
        <v>Hernandez, Kennedy and Porter</v>
      </c>
      <c r="N437">
        <f>VLOOKUP($C437,Table1[],6,FALSE)</f>
        <v>461.47</v>
      </c>
      <c r="O437">
        <f>VLOOKUP($C437,Table1[],7,FALSE)</f>
        <v>190</v>
      </c>
      <c r="P437" t="str">
        <f>_xlfn.XLOOKUP($B437,Table3[Store_ID],Table3[Store_Name])</f>
        <v>Mann-Austin</v>
      </c>
      <c r="Q437" t="str" cm="1">
        <f t="array" ref="Q437">_xlfn.XLOOKUP($B437,Store_Dim!$A$2:$A$21,Table3[Region])</f>
        <v>East</v>
      </c>
      <c r="R437" t="str" cm="1">
        <f t="array" ref="R437">_xlfn.XLOOKUP($B437,Store_Dim!$A$2:$A$21,Table3[Store_Type])</f>
        <v>Online</v>
      </c>
      <c r="S437">
        <f>VLOOKUP(Table7[[#This Row],[Customer ID]],Table6[[Customer_ID]:[Total_Amount]],8,FALSE)</f>
        <v>417.00839999999999</v>
      </c>
    </row>
    <row r="438" spans="1:19" x14ac:dyDescent="0.3">
      <c r="A438" t="s">
        <v>1355</v>
      </c>
      <c r="B438" t="str">
        <f>_xlfn.XLOOKUP(Table7[[#This Row],[Customer ID]],Table6[Customer_ID],Table6[Store_ID])</f>
        <v>STORE16</v>
      </c>
      <c r="C438" t="str">
        <f>_xlfn.XLOOKUP(Table7[[#This Row],[Customer ID]],Table6[Customer_ID],Table6[Product_ID])</f>
        <v>PROD34</v>
      </c>
      <c r="D438" t="str">
        <f>VLOOKUP(Table7[[#This Row],[Customer ID]],Table4[#All],2,FALSE)</f>
        <v>Adam Castro</v>
      </c>
      <c r="E438">
        <f>VLOOKUP($A438,Table4[],3,FALSE)</f>
        <v>51</v>
      </c>
      <c r="F438" t="str">
        <f>VLOOKUP($A438,Table4[],4,FALSE)</f>
        <v>Male</v>
      </c>
      <c r="G438" t="str">
        <f>VLOOKUP($A438,Table4[],5,FALSE)</f>
        <v>New Donnabury</v>
      </c>
      <c r="H438" t="str">
        <f>VLOOKUP($A438,Table4[],6,FALSE)</f>
        <v>Texas</v>
      </c>
      <c r="I438" t="str">
        <f>VLOOKUP($A438,Table4[],8,FALSE)</f>
        <v>Silver</v>
      </c>
      <c r="J438" t="str">
        <f>VLOOKUP($C438,Table1[],2,FALSE)</f>
        <v>Gaming Mechanical Keyboard</v>
      </c>
      <c r="K438" t="str">
        <f>VLOOKUP($C438,Table1[],3,FALSE)</f>
        <v>Electronics</v>
      </c>
      <c r="L438" t="str">
        <f>VLOOKUP($C438,Table1[],4,FALSE)</f>
        <v>Computer</v>
      </c>
      <c r="M438" t="str">
        <f>VLOOKUP($C438,Table1[],5,FALSE)</f>
        <v>Lucero LLC</v>
      </c>
      <c r="N438">
        <f>VLOOKUP($C438,Table1[],6,FALSE)</f>
        <v>419.28</v>
      </c>
      <c r="O438">
        <f>VLOOKUP($C438,Table1[],7,FALSE)</f>
        <v>86</v>
      </c>
      <c r="P438" t="str">
        <f>_xlfn.XLOOKUP($B438,Table3[Store_ID],Table3[Store_Name])</f>
        <v>Frederick-Wright</v>
      </c>
      <c r="Q438" t="str" cm="1">
        <f t="array" ref="Q438">_xlfn.XLOOKUP($B438,Store_Dim!$A$2:$A$21,Table3[Region])</f>
        <v>West</v>
      </c>
      <c r="R438" t="str" cm="1">
        <f t="array" ref="R438">_xlfn.XLOOKUP($B438,Store_Dim!$A$2:$A$21,Table3[Store_Type])</f>
        <v>Flagship</v>
      </c>
      <c r="S438">
        <f>VLOOKUP(Table7[[#This Row],[Customer ID]],Table6[[Customer_ID]:[Total_Amount]],8,FALSE)</f>
        <v>443.66</v>
      </c>
    </row>
    <row r="439" spans="1:19" x14ac:dyDescent="0.3">
      <c r="A439" t="s">
        <v>1358</v>
      </c>
      <c r="B439" t="str">
        <f>_xlfn.XLOOKUP(Table7[[#This Row],[Customer ID]],Table6[Customer_ID],Table6[Store_ID])</f>
        <v>STORE6</v>
      </c>
      <c r="C439" t="str">
        <f>_xlfn.XLOOKUP(Table7[[#This Row],[Customer ID]],Table6[Customer_ID],Table6[Product_ID])</f>
        <v>PROD10</v>
      </c>
      <c r="D439" t="str">
        <f>VLOOKUP(Table7[[#This Row],[Customer ID]],Table4[#All],2,FALSE)</f>
        <v>Cheryl Carr</v>
      </c>
      <c r="E439">
        <f>VLOOKUP($A439,Table4[],3,FALSE)</f>
        <v>19</v>
      </c>
      <c r="F439" t="str">
        <f>VLOOKUP($A439,Table4[],4,FALSE)</f>
        <v>Male</v>
      </c>
      <c r="G439" t="str">
        <f>VLOOKUP($A439,Table4[],5,FALSE)</f>
        <v>Jessicaland</v>
      </c>
      <c r="H439" t="str">
        <f>VLOOKUP($A439,Table4[],6,FALSE)</f>
        <v>Wyoming</v>
      </c>
      <c r="I439" t="str">
        <f>VLOOKUP($A439,Table4[],8,FALSE)</f>
        <v>Gold</v>
      </c>
      <c r="J439" t="str">
        <f>VLOOKUP($C439,Table1[],2,FALSE)</f>
        <v>Ceramic Kitchen Bowl Set</v>
      </c>
      <c r="K439" t="str">
        <f>VLOOKUP($C439,Table1[],3,FALSE)</f>
        <v>Home</v>
      </c>
      <c r="L439" t="str">
        <f>VLOOKUP($C439,Table1[],4,FALSE)</f>
        <v>Kitchen</v>
      </c>
      <c r="M439" t="str">
        <f>VLOOKUP($C439,Table1[],5,FALSE)</f>
        <v>Hamilton Group</v>
      </c>
      <c r="N439">
        <f>VLOOKUP($C439,Table1[],6,FALSE)</f>
        <v>298.86</v>
      </c>
      <c r="O439">
        <f>VLOOKUP($C439,Table1[],7,FALSE)</f>
        <v>308</v>
      </c>
      <c r="P439" t="str">
        <f>_xlfn.XLOOKUP($B439,Table3[Store_ID],Table3[Store_Name])</f>
        <v>Benson-Elliott</v>
      </c>
      <c r="Q439" t="str" cm="1">
        <f t="array" ref="Q439">_xlfn.XLOOKUP($B439,Store_Dim!$A$2:$A$21,Table3[Region])</f>
        <v>East</v>
      </c>
      <c r="R439" t="str" cm="1">
        <f t="array" ref="R439">_xlfn.XLOOKUP($B439,Store_Dim!$A$2:$A$21,Table3[Store_Type])</f>
        <v>Online</v>
      </c>
      <c r="S439">
        <f>VLOOKUP(Table7[[#This Row],[Customer ID]],Table6[[Customer_ID]:[Total_Amount]],8,FALSE)</f>
        <v>1799.55</v>
      </c>
    </row>
    <row r="440" spans="1:19" x14ac:dyDescent="0.3">
      <c r="A440" t="s">
        <v>1361</v>
      </c>
      <c r="B440" t="str">
        <f>_xlfn.XLOOKUP(Table7[[#This Row],[Customer ID]],Table6[Customer_ID],Table6[Store_ID])</f>
        <v>STORE4</v>
      </c>
      <c r="C440" t="str">
        <f>_xlfn.XLOOKUP(Table7[[#This Row],[Customer ID]],Table6[Customer_ID],Table6[Product_ID])</f>
        <v>PROD2</v>
      </c>
      <c r="D440" t="str">
        <f>VLOOKUP(Table7[[#This Row],[Customer ID]],Table4[#All],2,FALSE)</f>
        <v>Gene Lee</v>
      </c>
      <c r="E440">
        <f>VLOOKUP($A440,Table4[],3,FALSE)</f>
        <v>41</v>
      </c>
      <c r="F440" t="str">
        <f>VLOOKUP($A440,Table4[],4,FALSE)</f>
        <v>Female</v>
      </c>
      <c r="G440" t="str">
        <f>VLOOKUP($A440,Table4[],5,FALSE)</f>
        <v>Mcfarlandmouth</v>
      </c>
      <c r="H440" t="str">
        <f>VLOOKUP($A440,Table4[],6,FALSE)</f>
        <v>Virginia</v>
      </c>
      <c r="I440" t="str">
        <f>VLOOKUP($A440,Table4[],8,FALSE)</f>
        <v>Platinum</v>
      </c>
      <c r="J440" t="str">
        <f>VLOOKUP($C440,Table1[],2,FALSE)</f>
        <v>Women's Casual Hoodie</v>
      </c>
      <c r="K440" t="str">
        <f>VLOOKUP($C440,Table1[],3,FALSE)</f>
        <v>Clothing</v>
      </c>
      <c r="L440" t="str">
        <f>VLOOKUP($C440,Table1[],4,FALSE)</f>
        <v>Outerwear</v>
      </c>
      <c r="M440" t="str">
        <f>VLOOKUP($C440,Table1[],5,FALSE)</f>
        <v>Sims Inc</v>
      </c>
      <c r="N440">
        <f>VLOOKUP($C440,Table1[],6,FALSE)</f>
        <v>296.83</v>
      </c>
      <c r="O440">
        <f>VLOOKUP($C440,Table1[],7,FALSE)</f>
        <v>352</v>
      </c>
      <c r="P440" t="str">
        <f>_xlfn.XLOOKUP($B440,Table3[Store_ID],Table3[Store_Name])</f>
        <v>Alexander Group</v>
      </c>
      <c r="Q440" t="str" cm="1">
        <f t="array" ref="Q440">_xlfn.XLOOKUP($B440,Store_Dim!$A$2:$A$21,Table3[Region])</f>
        <v>South</v>
      </c>
      <c r="R440" t="str" cm="1">
        <f t="array" ref="R440">_xlfn.XLOOKUP($B440,Store_Dim!$A$2:$A$21,Table3[Store_Type])</f>
        <v>Online</v>
      </c>
      <c r="S440">
        <f>VLOOKUP(Table7[[#This Row],[Customer ID]],Table6[[Customer_ID]:[Total_Amount]],8,FALSE)</f>
        <v>341.31200000000001</v>
      </c>
    </row>
    <row r="441" spans="1:19" x14ac:dyDescent="0.3">
      <c r="A441" t="s">
        <v>1364</v>
      </c>
      <c r="B441" t="str">
        <f>_xlfn.XLOOKUP(Table7[[#This Row],[Customer ID]],Table6[Customer_ID],Table6[Store_ID])</f>
        <v>STORE4</v>
      </c>
      <c r="C441" t="str">
        <f>_xlfn.XLOOKUP(Table7[[#This Row],[Customer ID]],Table6[Customer_ID],Table6[Product_ID])</f>
        <v>PROD31</v>
      </c>
      <c r="D441" t="str">
        <f>VLOOKUP(Table7[[#This Row],[Customer ID]],Table4[#All],2,FALSE)</f>
        <v>Shannon Turner</v>
      </c>
      <c r="E441">
        <f>VLOOKUP($A441,Table4[],3,FALSE)</f>
        <v>35</v>
      </c>
      <c r="F441" t="str">
        <f>VLOOKUP($A441,Table4[],4,FALSE)</f>
        <v>Male</v>
      </c>
      <c r="G441" t="str">
        <f>VLOOKUP($A441,Table4[],5,FALSE)</f>
        <v>West Jorge</v>
      </c>
      <c r="H441" t="str">
        <f>VLOOKUP($A441,Table4[],6,FALSE)</f>
        <v>Oklahoma</v>
      </c>
      <c r="I441" t="str">
        <f>VLOOKUP($A441,Table4[],8,FALSE)</f>
        <v>Silver</v>
      </c>
      <c r="J441" t="str">
        <f>VLOOKUP($C441,Table1[],2,FALSE)</f>
        <v>Basketball</v>
      </c>
      <c r="K441" t="str">
        <f>VLOOKUP($C441,Table1[],3,FALSE)</f>
        <v>Sports</v>
      </c>
      <c r="L441" t="str">
        <f>VLOOKUP($C441,Table1[],4,FALSE)</f>
        <v>Team Sports</v>
      </c>
      <c r="M441" t="str">
        <f>VLOOKUP($C441,Table1[],5,FALSE)</f>
        <v>Nolan-Snow</v>
      </c>
      <c r="N441">
        <f>VLOOKUP($C441,Table1[],6,FALSE)</f>
        <v>204.39</v>
      </c>
      <c r="O441">
        <f>VLOOKUP($C441,Table1[],7,FALSE)</f>
        <v>281</v>
      </c>
      <c r="P441" t="str">
        <f>_xlfn.XLOOKUP($B441,Table3[Store_ID],Table3[Store_Name])</f>
        <v>Alexander Group</v>
      </c>
      <c r="Q441" t="str" cm="1">
        <f t="array" ref="Q441">_xlfn.XLOOKUP($B441,Store_Dim!$A$2:$A$21,Table3[Region])</f>
        <v>South</v>
      </c>
      <c r="R441" t="str" cm="1">
        <f t="array" ref="R441">_xlfn.XLOOKUP($B441,Store_Dim!$A$2:$A$21,Table3[Store_Type])</f>
        <v>Online</v>
      </c>
      <c r="S441">
        <f>VLOOKUP(Table7[[#This Row],[Customer ID]],Table6[[Customer_ID]:[Total_Amount]],8,FALSE)</f>
        <v>2724.32</v>
      </c>
    </row>
    <row r="442" spans="1:19" x14ac:dyDescent="0.3">
      <c r="A442" t="s">
        <v>1367</v>
      </c>
      <c r="B442" t="str">
        <f>_xlfn.XLOOKUP(Table7[[#This Row],[Customer ID]],Table6[Customer_ID],Table6[Store_ID])</f>
        <v>STORE17</v>
      </c>
      <c r="C442" t="str">
        <f>_xlfn.XLOOKUP(Table7[[#This Row],[Customer ID]],Table6[Customer_ID],Table6[Product_ID])</f>
        <v>PROD42</v>
      </c>
      <c r="D442" t="str">
        <f>VLOOKUP(Table7[[#This Row],[Customer ID]],Table4[#All],2,FALSE)</f>
        <v>Monica Wright</v>
      </c>
      <c r="E442">
        <f>VLOOKUP($A442,Table4[],3,FALSE)</f>
        <v>45</v>
      </c>
      <c r="F442" t="str">
        <f>VLOOKUP($A442,Table4[],4,FALSE)</f>
        <v>Male</v>
      </c>
      <c r="G442" t="str">
        <f>VLOOKUP($A442,Table4[],5,FALSE)</f>
        <v>Paulside</v>
      </c>
      <c r="H442" t="str">
        <f>VLOOKUP($A442,Table4[],6,FALSE)</f>
        <v>North Carolina</v>
      </c>
      <c r="I442" t="str">
        <f>VLOOKUP($A442,Table4[],8,FALSE)</f>
        <v>Gold</v>
      </c>
      <c r="J442" t="str">
        <f>VLOOKUP($C442,Table1[],2,FALSE)</f>
        <v>Smart Home WiFi Camera</v>
      </c>
      <c r="K442" t="str">
        <f>VLOOKUP($C442,Table1[],3,FALSE)</f>
        <v>Electronics</v>
      </c>
      <c r="L442" t="str">
        <f>VLOOKUP($C442,Table1[],4,FALSE)</f>
        <v>Accessories</v>
      </c>
      <c r="M442" t="str">
        <f>VLOOKUP($C442,Table1[],5,FALSE)</f>
        <v>Holmes LLC</v>
      </c>
      <c r="N442">
        <f>VLOOKUP($C442,Table1[],6,FALSE)</f>
        <v>450.71</v>
      </c>
      <c r="O442">
        <f>VLOOKUP($C442,Table1[],7,FALSE)</f>
        <v>389</v>
      </c>
      <c r="P442" t="str">
        <f>_xlfn.XLOOKUP($B442,Table3[Store_ID],Table3[Store_Name])</f>
        <v>Holloway Ltd</v>
      </c>
      <c r="Q442" t="str" cm="1">
        <f t="array" ref="Q442">_xlfn.XLOOKUP($B442,Store_Dim!$A$2:$A$21,Table3[Region])</f>
        <v>North</v>
      </c>
      <c r="R442" t="str" cm="1">
        <f t="array" ref="R442">_xlfn.XLOOKUP($B442,Store_Dim!$A$2:$A$21,Table3[Store_Type])</f>
        <v>Flagship</v>
      </c>
      <c r="S442">
        <f>VLOOKUP(Table7[[#This Row],[Customer ID]],Table6[[Customer_ID]:[Total_Amount]],8,FALSE)</f>
        <v>339.42459999999988</v>
      </c>
    </row>
    <row r="443" spans="1:19" x14ac:dyDescent="0.3">
      <c r="A443" t="s">
        <v>1370</v>
      </c>
      <c r="B443" t="str">
        <f>_xlfn.XLOOKUP(Table7[[#This Row],[Customer ID]],Table6[Customer_ID],Table6[Store_ID])</f>
        <v>STORE6</v>
      </c>
      <c r="C443" t="str">
        <f>_xlfn.XLOOKUP(Table7[[#This Row],[Customer ID]],Table6[Customer_ID],Table6[Product_ID])</f>
        <v>PROD81</v>
      </c>
      <c r="D443" t="str">
        <f>VLOOKUP(Table7[[#This Row],[Customer ID]],Table4[#All],2,FALSE)</f>
        <v>Eric Holmes</v>
      </c>
      <c r="E443">
        <f>VLOOKUP($A443,Table4[],3,FALSE)</f>
        <v>64</v>
      </c>
      <c r="F443" t="str">
        <f>VLOOKUP($A443,Table4[],4,FALSE)</f>
        <v>Female</v>
      </c>
      <c r="G443" t="str">
        <f>VLOOKUP($A443,Table4[],5,FALSE)</f>
        <v>Smithville</v>
      </c>
      <c r="H443" t="str">
        <f>VLOOKUP($A443,Table4[],6,FALSE)</f>
        <v>Wyoming</v>
      </c>
      <c r="I443" t="str">
        <f>VLOOKUP($A443,Table4[],8,FALSE)</f>
        <v>Bronze</v>
      </c>
      <c r="J443" t="str">
        <f>VLOOKUP($C443,Table1[],2,FALSE)</f>
        <v>Badminton Racket Set</v>
      </c>
      <c r="K443" t="str">
        <f>VLOOKUP($C443,Table1[],3,FALSE)</f>
        <v>Sports</v>
      </c>
      <c r="L443" t="str">
        <f>VLOOKUP($C443,Table1[],4,FALSE)</f>
        <v>Equipment</v>
      </c>
      <c r="M443" t="str">
        <f>VLOOKUP($C443,Table1[],5,FALSE)</f>
        <v>Robinson-Brown</v>
      </c>
      <c r="N443">
        <f>VLOOKUP($C443,Table1[],6,FALSE)</f>
        <v>285.54000000000002</v>
      </c>
      <c r="O443">
        <f>VLOOKUP($C443,Table1[],7,FALSE)</f>
        <v>358</v>
      </c>
      <c r="P443" t="str">
        <f>_xlfn.XLOOKUP($B443,Table3[Store_ID],Table3[Store_Name])</f>
        <v>Benson-Elliott</v>
      </c>
      <c r="Q443" t="str" cm="1">
        <f t="array" ref="Q443">_xlfn.XLOOKUP($B443,Store_Dim!$A$2:$A$21,Table3[Region])</f>
        <v>East</v>
      </c>
      <c r="R443" t="str" cm="1">
        <f t="array" ref="R443">_xlfn.XLOOKUP($B443,Store_Dim!$A$2:$A$21,Table3[Store_Type])</f>
        <v>Online</v>
      </c>
      <c r="S443">
        <f>VLOOKUP(Table7[[#This Row],[Customer ID]],Table6[[Customer_ID]:[Total_Amount]],8,FALSE)</f>
        <v>381.95639999999997</v>
      </c>
    </row>
    <row r="444" spans="1:19" x14ac:dyDescent="0.3">
      <c r="A444" t="s">
        <v>1373</v>
      </c>
      <c r="B444" t="str">
        <f>_xlfn.XLOOKUP(Table7[[#This Row],[Customer ID]],Table6[Customer_ID],Table6[Store_ID])</f>
        <v>STORE19</v>
      </c>
      <c r="C444" t="str">
        <f>_xlfn.XLOOKUP(Table7[[#This Row],[Customer ID]],Table6[Customer_ID],Table6[Product_ID])</f>
        <v>PROD98</v>
      </c>
      <c r="D444" t="str">
        <f>VLOOKUP(Table7[[#This Row],[Customer ID]],Table4[#All],2,FALSE)</f>
        <v>William Cortez</v>
      </c>
      <c r="E444">
        <f>VLOOKUP($A444,Table4[],3,FALSE)</f>
        <v>29</v>
      </c>
      <c r="F444" t="str">
        <f>VLOOKUP($A444,Table4[],4,FALSE)</f>
        <v>Male</v>
      </c>
      <c r="G444" t="str">
        <f>VLOOKUP($A444,Table4[],5,FALSE)</f>
        <v>Port Hannahport</v>
      </c>
      <c r="H444" t="str">
        <f>VLOOKUP($A444,Table4[],6,FALSE)</f>
        <v>Ohio</v>
      </c>
      <c r="I444" t="str">
        <f>VLOOKUP($A444,Table4[],8,FALSE)</f>
        <v>Bronze</v>
      </c>
      <c r="J444" t="str">
        <f>VLOOKUP($C444,Table1[],2,FALSE)</f>
        <v>Portable Bluetooth Speaker</v>
      </c>
      <c r="K444" t="str">
        <f>VLOOKUP($C444,Table1[],3,FALSE)</f>
        <v>Electronics</v>
      </c>
      <c r="L444" t="str">
        <f>VLOOKUP($C444,Table1[],4,FALSE)</f>
        <v>Audio</v>
      </c>
      <c r="M444" t="str">
        <f>VLOOKUP($C444,Table1[],5,FALSE)</f>
        <v>Flores-King</v>
      </c>
      <c r="N444">
        <f>VLOOKUP($C444,Table1[],6,FALSE)</f>
        <v>431.67</v>
      </c>
      <c r="O444">
        <f>VLOOKUP($C444,Table1[],7,FALSE)</f>
        <v>73</v>
      </c>
      <c r="P444" t="str">
        <f>_xlfn.XLOOKUP($B444,Table3[Store_ID],Table3[Store_Name])</f>
        <v>Mann-Austin</v>
      </c>
      <c r="Q444" t="str" cm="1">
        <f t="array" ref="Q444">_xlfn.XLOOKUP($B444,Store_Dim!$A$2:$A$21,Table3[Region])</f>
        <v>East</v>
      </c>
      <c r="R444" t="str" cm="1">
        <f t="array" ref="R444">_xlfn.XLOOKUP($B444,Store_Dim!$A$2:$A$21,Table3[Store_Type])</f>
        <v>Online</v>
      </c>
      <c r="S444">
        <f>VLOOKUP(Table7[[#This Row],[Customer ID]],Table6[[Customer_ID]:[Total_Amount]],8,FALSE)</f>
        <v>494.56799999999998</v>
      </c>
    </row>
    <row r="445" spans="1:19" x14ac:dyDescent="0.3">
      <c r="A445" t="s">
        <v>1376</v>
      </c>
      <c r="B445" t="str">
        <f>_xlfn.XLOOKUP(Table7[[#This Row],[Customer ID]],Table6[Customer_ID],Table6[Store_ID])</f>
        <v>STORE11</v>
      </c>
      <c r="C445" t="str">
        <f>_xlfn.XLOOKUP(Table7[[#This Row],[Customer ID]],Table6[Customer_ID],Table6[Product_ID])</f>
        <v>PROD63</v>
      </c>
      <c r="D445" t="str">
        <f>VLOOKUP(Table7[[#This Row],[Customer ID]],Table4[#All],2,FALSE)</f>
        <v>Shane Mills</v>
      </c>
      <c r="E445">
        <f>VLOOKUP($A445,Table4[],3,FALSE)</f>
        <v>59</v>
      </c>
      <c r="F445" t="str">
        <f>VLOOKUP($A445,Table4[],4,FALSE)</f>
        <v>Male</v>
      </c>
      <c r="G445" t="str">
        <f>VLOOKUP($A445,Table4[],5,FALSE)</f>
        <v>Lake Meganstad</v>
      </c>
      <c r="H445" t="str">
        <f>VLOOKUP($A445,Table4[],6,FALSE)</f>
        <v>Nebraska</v>
      </c>
      <c r="I445" t="str">
        <f>VLOOKUP($A445,Table4[],8,FALSE)</f>
        <v>Bronze</v>
      </c>
      <c r="J445" t="str">
        <f>VLOOKUP($C445,Table1[],2,FALSE)</f>
        <v>Organic Sunscreen Lotion</v>
      </c>
      <c r="K445" t="str">
        <f>VLOOKUP($C445,Table1[],3,FALSE)</f>
        <v>Beauty</v>
      </c>
      <c r="L445" t="str">
        <f>VLOOKUP($C445,Table1[],4,FALSE)</f>
        <v>Skincare</v>
      </c>
      <c r="M445" t="str">
        <f>VLOOKUP($C445,Table1[],5,FALSE)</f>
        <v>Anderson-Riley</v>
      </c>
      <c r="N445">
        <f>VLOOKUP($C445,Table1[],6,FALSE)</f>
        <v>266.86</v>
      </c>
      <c r="O445">
        <f>VLOOKUP($C445,Table1[],7,FALSE)</f>
        <v>458</v>
      </c>
      <c r="P445" t="str">
        <f>_xlfn.XLOOKUP($B445,Table3[Store_ID],Table3[Store_Name])</f>
        <v>Aguirre-Keller</v>
      </c>
      <c r="Q445" t="str" cm="1">
        <f t="array" ref="Q445">_xlfn.XLOOKUP($B445,Store_Dim!$A$2:$A$21,Table3[Region])</f>
        <v>South</v>
      </c>
      <c r="R445" t="str" cm="1">
        <f t="array" ref="R445">_xlfn.XLOOKUP($B445,Store_Dim!$A$2:$A$21,Table3[Store_Type])</f>
        <v>Online</v>
      </c>
      <c r="S445">
        <f>VLOOKUP(Table7[[#This Row],[Customer ID]],Table6[[Customer_ID]:[Total_Amount]],8,FALSE)</f>
        <v>2299.5983999999999</v>
      </c>
    </row>
    <row r="446" spans="1:19" x14ac:dyDescent="0.3">
      <c r="A446" t="s">
        <v>1379</v>
      </c>
      <c r="B446" t="str">
        <f>_xlfn.XLOOKUP(Table7[[#This Row],[Customer ID]],Table6[Customer_ID],Table6[Store_ID])</f>
        <v>STORE1</v>
      </c>
      <c r="C446" t="str">
        <f>_xlfn.XLOOKUP(Table7[[#This Row],[Customer ID]],Table6[Customer_ID],Table6[Product_ID])</f>
        <v>PROD90</v>
      </c>
      <c r="D446" t="str">
        <f>VLOOKUP(Table7[[#This Row],[Customer ID]],Table4[#All],2,FALSE)</f>
        <v>Ashley Roberts</v>
      </c>
      <c r="E446">
        <f>VLOOKUP($A446,Table4[],3,FALSE)</f>
        <v>46</v>
      </c>
      <c r="F446" t="str">
        <f>VLOOKUP($A446,Table4[],4,FALSE)</f>
        <v>Male</v>
      </c>
      <c r="G446" t="str">
        <f>VLOOKUP($A446,Table4[],5,FALSE)</f>
        <v>Josephmouth</v>
      </c>
      <c r="H446" t="str">
        <f>VLOOKUP($A446,Table4[],6,FALSE)</f>
        <v>New Mexico</v>
      </c>
      <c r="I446" t="str">
        <f>VLOOKUP($A446,Table4[],8,FALSE)</f>
        <v>Gold</v>
      </c>
      <c r="J446" t="str">
        <f>VLOOKUP($C446,Table1[],2,FALSE)</f>
        <v>Gaming Mouse Pad XL</v>
      </c>
      <c r="K446" t="str">
        <f>VLOOKUP($C446,Table1[],3,FALSE)</f>
        <v>Electronics</v>
      </c>
      <c r="L446" t="str">
        <f>VLOOKUP($C446,Table1[],4,FALSE)</f>
        <v>Accessories</v>
      </c>
      <c r="M446" t="str">
        <f>VLOOKUP($C446,Table1[],5,FALSE)</f>
        <v>Sharp, Taylor and Rodriguez</v>
      </c>
      <c r="N446">
        <f>VLOOKUP($C446,Table1[],6,FALSE)</f>
        <v>340.14</v>
      </c>
      <c r="O446">
        <f>VLOOKUP($C446,Table1[],7,FALSE)</f>
        <v>361</v>
      </c>
      <c r="P446" t="str">
        <f>_xlfn.XLOOKUP($B446,Table3[Store_ID],Table3[Store_Name])</f>
        <v>Martinez, Adkins and Johnson</v>
      </c>
      <c r="Q446" t="str" cm="1">
        <f t="array" ref="Q446">_xlfn.XLOOKUP($B446,Store_Dim!$A$2:$A$21,Table3[Region])</f>
        <v>North</v>
      </c>
      <c r="R446" t="str" cm="1">
        <f t="array" ref="R446">_xlfn.XLOOKUP($B446,Store_Dim!$A$2:$A$21,Table3[Store_Type])</f>
        <v>Flagship</v>
      </c>
      <c r="S446">
        <f>VLOOKUP(Table7[[#This Row],[Customer ID]],Table6[[Customer_ID]:[Total_Amount]],8,FALSE)</f>
        <v>326.25599999999997</v>
      </c>
    </row>
    <row r="447" spans="1:19" x14ac:dyDescent="0.3">
      <c r="A447" t="s">
        <v>1381</v>
      </c>
      <c r="B447" t="str">
        <f>_xlfn.XLOOKUP(Table7[[#This Row],[Customer ID]],Table6[Customer_ID],Table6[Store_ID])</f>
        <v>STORE7</v>
      </c>
      <c r="C447" t="str">
        <f>_xlfn.XLOOKUP(Table7[[#This Row],[Customer ID]],Table6[Customer_ID],Table6[Product_ID])</f>
        <v>PROD59</v>
      </c>
      <c r="D447" t="str">
        <f>VLOOKUP(Table7[[#This Row],[Customer ID]],Table4[#All],2,FALSE)</f>
        <v>Jeffery Wolf</v>
      </c>
      <c r="E447">
        <f>VLOOKUP($A447,Table4[],3,FALSE)</f>
        <v>60</v>
      </c>
      <c r="F447" t="str">
        <f>VLOOKUP($A447,Table4[],4,FALSE)</f>
        <v>Female</v>
      </c>
      <c r="G447" t="str">
        <f>VLOOKUP($A447,Table4[],5,FALSE)</f>
        <v>New Laura</v>
      </c>
      <c r="H447" t="str">
        <f>VLOOKUP($A447,Table4[],6,FALSE)</f>
        <v>Mississippi</v>
      </c>
      <c r="I447" t="str">
        <f>VLOOKUP($A447,Table4[],8,FALSE)</f>
        <v>Bronze</v>
      </c>
      <c r="J447" t="str">
        <f>VLOOKUP($C447,Table1[],2,FALSE)</f>
        <v>Men's Hair Styling Gel</v>
      </c>
      <c r="K447" t="str">
        <f>VLOOKUP($C447,Table1[],3,FALSE)</f>
        <v>Beauty</v>
      </c>
      <c r="L447" t="str">
        <f>VLOOKUP($C447,Table1[],4,FALSE)</f>
        <v>Haircare</v>
      </c>
      <c r="M447" t="str">
        <f>VLOOKUP($C447,Table1[],5,FALSE)</f>
        <v>Cline-Mccarthy</v>
      </c>
      <c r="N447">
        <f>VLOOKUP($C447,Table1[],6,FALSE)</f>
        <v>17.309999999999999</v>
      </c>
      <c r="O447">
        <f>VLOOKUP($C447,Table1[],7,FALSE)</f>
        <v>399</v>
      </c>
      <c r="P447" t="str">
        <f>_xlfn.XLOOKUP($B447,Table3[Store_ID],Table3[Store_Name])</f>
        <v>Martinez-Mullins</v>
      </c>
      <c r="Q447" t="str" cm="1">
        <f t="array" ref="Q447">_xlfn.XLOOKUP($B447,Store_Dim!$A$2:$A$21,Table3[Region])</f>
        <v>South</v>
      </c>
      <c r="R447" t="str" cm="1">
        <f t="array" ref="R447">_xlfn.XLOOKUP($B447,Store_Dim!$A$2:$A$21,Table3[Store_Type])</f>
        <v>Online</v>
      </c>
      <c r="S447">
        <f>VLOOKUP(Table7[[#This Row],[Customer ID]],Table6[[Customer_ID]:[Total_Amount]],8,FALSE)</f>
        <v>2509.1999999999998</v>
      </c>
    </row>
    <row r="448" spans="1:19" x14ac:dyDescent="0.3">
      <c r="A448" t="s">
        <v>1384</v>
      </c>
      <c r="B448" t="str">
        <f>_xlfn.XLOOKUP(Table7[[#This Row],[Customer ID]],Table6[Customer_ID],Table6[Store_ID])</f>
        <v>STORE6</v>
      </c>
      <c r="C448" t="str">
        <f>_xlfn.XLOOKUP(Table7[[#This Row],[Customer ID]],Table6[Customer_ID],Table6[Product_ID])</f>
        <v>PROD12</v>
      </c>
      <c r="D448" t="str">
        <f>VLOOKUP(Table7[[#This Row],[Customer ID]],Table4[#All],2,FALSE)</f>
        <v>April Phillips</v>
      </c>
      <c r="E448">
        <f>VLOOKUP($A448,Table4[],3,FALSE)</f>
        <v>62</v>
      </c>
      <c r="F448" t="str">
        <f>VLOOKUP($A448,Table4[],4,FALSE)</f>
        <v>Female</v>
      </c>
      <c r="G448" t="str">
        <f>VLOOKUP($A448,Table4[],5,FALSE)</f>
        <v>Lake Carolyn</v>
      </c>
      <c r="H448" t="str">
        <f>VLOOKUP($A448,Table4[],6,FALSE)</f>
        <v>Hawaii</v>
      </c>
      <c r="I448" t="str">
        <f>VLOOKUP($A448,Table4[],8,FALSE)</f>
        <v>Platinum</v>
      </c>
      <c r="J448" t="str">
        <f>VLOOKUP($C448,Table1[],2,FALSE)</f>
        <v>Hair Strengthening Shampoo</v>
      </c>
      <c r="K448" t="str">
        <f>VLOOKUP($C448,Table1[],3,FALSE)</f>
        <v>Beauty</v>
      </c>
      <c r="L448" t="str">
        <f>VLOOKUP($C448,Table1[],4,FALSE)</f>
        <v>Haircare</v>
      </c>
      <c r="M448" t="str">
        <f>VLOOKUP($C448,Table1[],5,FALSE)</f>
        <v>Rice LLC</v>
      </c>
      <c r="N448">
        <f>VLOOKUP($C448,Table1[],6,FALSE)</f>
        <v>115.82</v>
      </c>
      <c r="O448">
        <f>VLOOKUP($C448,Table1[],7,FALSE)</f>
        <v>460</v>
      </c>
      <c r="P448" t="str">
        <f>_xlfn.XLOOKUP($B448,Table3[Store_ID],Table3[Store_Name])</f>
        <v>Benson-Elliott</v>
      </c>
      <c r="Q448" t="str" cm="1">
        <f t="array" ref="Q448">_xlfn.XLOOKUP($B448,Store_Dim!$A$2:$A$21,Table3[Region])</f>
        <v>East</v>
      </c>
      <c r="R448" t="str" cm="1">
        <f t="array" ref="R448">_xlfn.XLOOKUP($B448,Store_Dim!$A$2:$A$21,Table3[Store_Type])</f>
        <v>Online</v>
      </c>
      <c r="S448">
        <f>VLOOKUP(Table7[[#This Row],[Customer ID]],Table6[[Customer_ID]:[Total_Amount]],8,FALSE)</f>
        <v>1219.4269999999999</v>
      </c>
    </row>
    <row r="449" spans="1:19" x14ac:dyDescent="0.3">
      <c r="A449" t="s">
        <v>1387</v>
      </c>
      <c r="B449" t="str">
        <f>_xlfn.XLOOKUP(Table7[[#This Row],[Customer ID]],Table6[Customer_ID],Table6[Store_ID])</f>
        <v>STORE18</v>
      </c>
      <c r="C449" t="str">
        <f>_xlfn.XLOOKUP(Table7[[#This Row],[Customer ID]],Table6[Customer_ID],Table6[Product_ID])</f>
        <v>PROD60</v>
      </c>
      <c r="D449" t="str">
        <f>VLOOKUP(Table7[[#This Row],[Customer ID]],Table4[#All],2,FALSE)</f>
        <v>John Berg</v>
      </c>
      <c r="E449">
        <f>VLOOKUP($A449,Table4[],3,FALSE)</f>
        <v>60</v>
      </c>
      <c r="F449" t="str">
        <f>VLOOKUP($A449,Table4[],4,FALSE)</f>
        <v>Male</v>
      </c>
      <c r="G449" t="str">
        <f>VLOOKUP($A449,Table4[],5,FALSE)</f>
        <v>Johnsonville</v>
      </c>
      <c r="H449" t="str">
        <f>VLOOKUP($A449,Table4[],6,FALSE)</f>
        <v>Oklahoma</v>
      </c>
      <c r="I449" t="str">
        <f>VLOOKUP($A449,Table4[],8,FALSE)</f>
        <v>Gold</v>
      </c>
      <c r="J449" t="str">
        <f>VLOOKUP($C449,Table1[],2,FALSE)</f>
        <v>Luxury Perfume Spray</v>
      </c>
      <c r="K449" t="str">
        <f>VLOOKUP($C449,Table1[],3,FALSE)</f>
        <v>Beauty</v>
      </c>
      <c r="L449" t="str">
        <f>VLOOKUP($C449,Table1[],4,FALSE)</f>
        <v>Fragrance</v>
      </c>
      <c r="M449" t="str">
        <f>VLOOKUP($C449,Table1[],5,FALSE)</f>
        <v>Gibson, Green and Lopez</v>
      </c>
      <c r="N449">
        <f>VLOOKUP($C449,Table1[],6,FALSE)</f>
        <v>482.75</v>
      </c>
      <c r="O449">
        <f>VLOOKUP($C449,Table1[],7,FALSE)</f>
        <v>444</v>
      </c>
      <c r="P449" t="str">
        <f>_xlfn.XLOOKUP($B449,Table3[Store_ID],Table3[Store_Name])</f>
        <v>Guerrero-Schmitt</v>
      </c>
      <c r="Q449" t="str" cm="1">
        <f t="array" ref="Q449">_xlfn.XLOOKUP($B449,Store_Dim!$A$2:$A$21,Table3[Region])</f>
        <v>East</v>
      </c>
      <c r="R449" t="str" cm="1">
        <f t="array" ref="R449">_xlfn.XLOOKUP($B449,Store_Dim!$A$2:$A$21,Table3[Store_Type])</f>
        <v>Flagship</v>
      </c>
      <c r="S449">
        <f>VLOOKUP(Table7[[#This Row],[Customer ID]],Table6[[Customer_ID]:[Total_Amount]],8,FALSE)</f>
        <v>953.38679999999999</v>
      </c>
    </row>
    <row r="450" spans="1:19" x14ac:dyDescent="0.3">
      <c r="A450" t="s">
        <v>1389</v>
      </c>
      <c r="B450" t="str">
        <f>_xlfn.XLOOKUP(Table7[[#This Row],[Customer ID]],Table6[Customer_ID],Table6[Store_ID])</f>
        <v>STORE10</v>
      </c>
      <c r="C450" t="str">
        <f>_xlfn.XLOOKUP(Table7[[#This Row],[Customer ID]],Table6[Customer_ID],Table6[Product_ID])</f>
        <v>PROD83</v>
      </c>
      <c r="D450" t="str">
        <f>VLOOKUP(Table7[[#This Row],[Customer ID]],Table4[#All],2,FALSE)</f>
        <v>Tyler Weber</v>
      </c>
      <c r="E450">
        <f>VLOOKUP($A450,Table4[],3,FALSE)</f>
        <v>54</v>
      </c>
      <c r="F450" t="str">
        <f>VLOOKUP($A450,Table4[],4,FALSE)</f>
        <v>Male</v>
      </c>
      <c r="G450" t="str">
        <f>VLOOKUP($A450,Table4[],5,FALSE)</f>
        <v>East Yvette</v>
      </c>
      <c r="H450" t="str">
        <f>VLOOKUP($A450,Table4[],6,FALSE)</f>
        <v>Illinois</v>
      </c>
      <c r="I450" t="str">
        <f>VLOOKUP($A450,Table4[],8,FALSE)</f>
        <v>Gold</v>
      </c>
      <c r="J450" t="str">
        <f>VLOOKUP($C450,Table1[],2,FALSE)</f>
        <v>Hydrating Face Cleanser</v>
      </c>
      <c r="K450" t="str">
        <f>VLOOKUP($C450,Table1[],3,FALSE)</f>
        <v>Beauty</v>
      </c>
      <c r="L450" t="str">
        <f>VLOOKUP($C450,Table1[],4,FALSE)</f>
        <v>Skincare</v>
      </c>
      <c r="M450" t="str">
        <f>VLOOKUP($C450,Table1[],5,FALSE)</f>
        <v>Butler Group</v>
      </c>
      <c r="N450">
        <f>VLOOKUP($C450,Table1[],6,FALSE)</f>
        <v>305.49</v>
      </c>
      <c r="O450">
        <f>VLOOKUP($C450,Table1[],7,FALSE)</f>
        <v>159</v>
      </c>
      <c r="P450" t="str">
        <f>_xlfn.XLOOKUP($B450,Table3[Store_ID],Table3[Store_Name])</f>
        <v>Hill, Wagner and Ballard</v>
      </c>
      <c r="Q450" t="str" cm="1">
        <f t="array" ref="Q450">_xlfn.XLOOKUP($B450,Store_Dim!$A$2:$A$21,Table3[Region])</f>
        <v>East</v>
      </c>
      <c r="R450" t="str" cm="1">
        <f t="array" ref="R450">_xlfn.XLOOKUP($B450,Store_Dim!$A$2:$A$21,Table3[Store_Type])</f>
        <v>Online</v>
      </c>
      <c r="S450">
        <f>VLOOKUP(Table7[[#This Row],[Customer ID]],Table6[[Customer_ID]:[Total_Amount]],8,FALSE)</f>
        <v>776.50559999999996</v>
      </c>
    </row>
    <row r="451" spans="1:19" x14ac:dyDescent="0.3">
      <c r="A451" t="s">
        <v>1392</v>
      </c>
      <c r="B451" t="str">
        <f>_xlfn.XLOOKUP(Table7[[#This Row],[Customer ID]],Table6[Customer_ID],Table6[Store_ID])</f>
        <v>STORE13</v>
      </c>
      <c r="C451" t="str">
        <f>_xlfn.XLOOKUP(Table7[[#This Row],[Customer ID]],Table6[Customer_ID],Table6[Product_ID])</f>
        <v>PROD88</v>
      </c>
      <c r="D451" t="str">
        <f>VLOOKUP(Table7[[#This Row],[Customer ID]],Table4[#All],2,FALSE)</f>
        <v>Julie Powell</v>
      </c>
      <c r="E451">
        <f>VLOOKUP($A451,Table4[],3,FALSE)</f>
        <v>59</v>
      </c>
      <c r="F451" t="str">
        <f>VLOOKUP($A451,Table4[],4,FALSE)</f>
        <v>Female</v>
      </c>
      <c r="G451" t="str">
        <f>VLOOKUP($A451,Table4[],5,FALSE)</f>
        <v>South Barbara</v>
      </c>
      <c r="H451" t="str">
        <f>VLOOKUP($A451,Table4[],6,FALSE)</f>
        <v>Arkansas</v>
      </c>
      <c r="I451" t="str">
        <f>VLOOKUP($A451,Table4[],8,FALSE)</f>
        <v>Gold</v>
      </c>
      <c r="J451" t="str">
        <f>VLOOKUP($C451,Table1[],2,FALSE)</f>
        <v>Sports Wrist Sweatbands</v>
      </c>
      <c r="K451" t="str">
        <f>VLOOKUP($C451,Table1[],3,FALSE)</f>
        <v>Sports</v>
      </c>
      <c r="L451" t="str">
        <f>VLOOKUP($C451,Table1[],4,FALSE)</f>
        <v>Accessories</v>
      </c>
      <c r="M451" t="str">
        <f>VLOOKUP($C451,Table1[],5,FALSE)</f>
        <v>Olsen-Daniels</v>
      </c>
      <c r="N451">
        <f>VLOOKUP($C451,Table1[],6,FALSE)</f>
        <v>131.24</v>
      </c>
      <c r="O451">
        <f>VLOOKUP($C451,Table1[],7,FALSE)</f>
        <v>232</v>
      </c>
      <c r="P451" t="str">
        <f>_xlfn.XLOOKUP($B451,Table3[Store_ID],Table3[Store_Name])</f>
        <v>Gardner, Humphrey and Contreras</v>
      </c>
      <c r="Q451" t="str" cm="1">
        <f t="array" ref="Q451">_xlfn.XLOOKUP($B451,Store_Dim!$A$2:$A$21,Table3[Region])</f>
        <v>East</v>
      </c>
      <c r="R451" t="str" cm="1">
        <f t="array" ref="R451">_xlfn.XLOOKUP($B451,Store_Dim!$A$2:$A$21,Table3[Store_Type])</f>
        <v>Flagship</v>
      </c>
      <c r="S451">
        <f>VLOOKUP(Table7[[#This Row],[Customer ID]],Table6[[Customer_ID]:[Total_Amount]],8,FALSE)</f>
        <v>1697.3016</v>
      </c>
    </row>
    <row r="452" spans="1:19" x14ac:dyDescent="0.3">
      <c r="A452" t="s">
        <v>1395</v>
      </c>
      <c r="B452" t="str">
        <f>_xlfn.XLOOKUP(Table7[[#This Row],[Customer ID]],Table6[Customer_ID],Table6[Store_ID])</f>
        <v>STORE15</v>
      </c>
      <c r="C452" t="str">
        <f>_xlfn.XLOOKUP(Table7[[#This Row],[Customer ID]],Table6[Customer_ID],Table6[Product_ID])</f>
        <v>PROD43</v>
      </c>
      <c r="D452" t="str">
        <f>VLOOKUP(Table7[[#This Row],[Customer ID]],Table4[#All],2,FALSE)</f>
        <v>Christina Robertson</v>
      </c>
      <c r="E452">
        <f>VLOOKUP($A452,Table4[],3,FALSE)</f>
        <v>59</v>
      </c>
      <c r="F452" t="str">
        <f>VLOOKUP($A452,Table4[],4,FALSE)</f>
        <v>Male</v>
      </c>
      <c r="G452" t="str">
        <f>VLOOKUP($A452,Table4[],5,FALSE)</f>
        <v>Hubbardborough</v>
      </c>
      <c r="H452" t="str">
        <f>VLOOKUP($A452,Table4[],6,FALSE)</f>
        <v>Kentucky</v>
      </c>
      <c r="I452" t="str">
        <f>VLOOKUP($A452,Table4[],8,FALSE)</f>
        <v>Platinum</v>
      </c>
      <c r="J452" t="str">
        <f>VLOOKUP($C452,Table1[],2,FALSE)</f>
        <v>USB External Hard Drive</v>
      </c>
      <c r="K452" t="str">
        <f>VLOOKUP($C452,Table1[],3,FALSE)</f>
        <v>Electronics</v>
      </c>
      <c r="L452" t="str">
        <f>VLOOKUP($C452,Table1[],4,FALSE)</f>
        <v>Computer</v>
      </c>
      <c r="M452" t="str">
        <f>VLOOKUP($C452,Table1[],5,FALSE)</f>
        <v>Robinson Inc</v>
      </c>
      <c r="N452">
        <f>VLOOKUP($C452,Table1[],6,FALSE)</f>
        <v>253.33</v>
      </c>
      <c r="O452">
        <f>VLOOKUP($C452,Table1[],7,FALSE)</f>
        <v>266</v>
      </c>
      <c r="P452" t="str">
        <f>_xlfn.XLOOKUP($B452,Table3[Store_ID],Table3[Store_Name])</f>
        <v>Shelton PLC</v>
      </c>
      <c r="Q452" t="str" cm="1">
        <f t="array" ref="Q452">_xlfn.XLOOKUP($B452,Store_Dim!$A$2:$A$21,Table3[Region])</f>
        <v>North</v>
      </c>
      <c r="R452" t="str" cm="1">
        <f t="array" ref="R452">_xlfn.XLOOKUP($B452,Store_Dim!$A$2:$A$21,Table3[Store_Type])</f>
        <v>Flagship</v>
      </c>
      <c r="S452">
        <f>VLOOKUP(Table7[[#This Row],[Customer ID]],Table6[[Customer_ID]:[Total_Amount]],8,FALSE)</f>
        <v>1686.4275</v>
      </c>
    </row>
    <row r="453" spans="1:19" x14ac:dyDescent="0.3">
      <c r="A453" t="s">
        <v>1398</v>
      </c>
      <c r="B453" t="str">
        <f>_xlfn.XLOOKUP(Table7[[#This Row],[Customer ID]],Table6[Customer_ID],Table6[Store_ID])</f>
        <v>STORE14</v>
      </c>
      <c r="C453" t="str">
        <f>_xlfn.XLOOKUP(Table7[[#This Row],[Customer ID]],Table6[Customer_ID],Table6[Product_ID])</f>
        <v>PROD2</v>
      </c>
      <c r="D453" t="str">
        <f>VLOOKUP(Table7[[#This Row],[Customer ID]],Table4[#All],2,FALSE)</f>
        <v>Kelly Garrett</v>
      </c>
      <c r="E453">
        <f>VLOOKUP($A453,Table4[],3,FALSE)</f>
        <v>62</v>
      </c>
      <c r="F453" t="str">
        <f>VLOOKUP($A453,Table4[],4,FALSE)</f>
        <v>Female</v>
      </c>
      <c r="G453" t="str">
        <f>VLOOKUP($A453,Table4[],5,FALSE)</f>
        <v>Port Taylorberg</v>
      </c>
      <c r="H453" t="str">
        <f>VLOOKUP($A453,Table4[],6,FALSE)</f>
        <v>Pennsylvania</v>
      </c>
      <c r="I453" t="str">
        <f>VLOOKUP($A453,Table4[],8,FALSE)</f>
        <v>Silver</v>
      </c>
      <c r="J453" t="str">
        <f>VLOOKUP($C453,Table1[],2,FALSE)</f>
        <v>Women's Casual Hoodie</v>
      </c>
      <c r="K453" t="str">
        <f>VLOOKUP($C453,Table1[],3,FALSE)</f>
        <v>Clothing</v>
      </c>
      <c r="L453" t="str">
        <f>VLOOKUP($C453,Table1[],4,FALSE)</f>
        <v>Outerwear</v>
      </c>
      <c r="M453" t="str">
        <f>VLOOKUP($C453,Table1[],5,FALSE)</f>
        <v>Sims Inc</v>
      </c>
      <c r="N453">
        <f>VLOOKUP($C453,Table1[],6,FALSE)</f>
        <v>296.83</v>
      </c>
      <c r="O453">
        <f>VLOOKUP($C453,Table1[],7,FALSE)</f>
        <v>352</v>
      </c>
      <c r="P453" t="str">
        <f>_xlfn.XLOOKUP($B453,Table3[Store_ID],Table3[Store_Name])</f>
        <v>Mcdonald Inc</v>
      </c>
      <c r="Q453" t="str" cm="1">
        <f t="array" ref="Q453">_xlfn.XLOOKUP($B453,Store_Dim!$A$2:$A$21,Table3[Region])</f>
        <v>South</v>
      </c>
      <c r="R453" t="str" cm="1">
        <f t="array" ref="R453">_xlfn.XLOOKUP($B453,Store_Dim!$A$2:$A$21,Table3[Store_Type])</f>
        <v>Outlet</v>
      </c>
      <c r="S453">
        <f>VLOOKUP(Table7[[#This Row],[Customer ID]],Table6[[Customer_ID]:[Total_Amount]],8,FALSE)</f>
        <v>2799.0720000000001</v>
      </c>
    </row>
    <row r="454" spans="1:19" x14ac:dyDescent="0.3">
      <c r="A454" t="s">
        <v>1401</v>
      </c>
      <c r="B454" t="str">
        <f>_xlfn.XLOOKUP(Table7[[#This Row],[Customer ID]],Table6[Customer_ID],Table6[Store_ID])</f>
        <v>STORE15</v>
      </c>
      <c r="C454" t="str">
        <f>_xlfn.XLOOKUP(Table7[[#This Row],[Customer ID]],Table6[Customer_ID],Table6[Product_ID])</f>
        <v>PROD54</v>
      </c>
      <c r="D454" t="str">
        <f>VLOOKUP(Table7[[#This Row],[Customer ID]],Table4[#All],2,FALSE)</f>
        <v>John Perez</v>
      </c>
      <c r="E454">
        <f>VLOOKUP($A454,Table4[],3,FALSE)</f>
        <v>29</v>
      </c>
      <c r="F454" t="str">
        <f>VLOOKUP($A454,Table4[],4,FALSE)</f>
        <v>Female</v>
      </c>
      <c r="G454" t="str">
        <f>VLOOKUP($A454,Table4[],5,FALSE)</f>
        <v>Brandontown</v>
      </c>
      <c r="H454" t="str">
        <f>VLOOKUP($A454,Table4[],6,FALSE)</f>
        <v>South Carolina</v>
      </c>
      <c r="I454" t="str">
        <f>VLOOKUP($A454,Table4[],8,FALSE)</f>
        <v>Gold</v>
      </c>
      <c r="J454" t="str">
        <f>VLOOKUP($C454,Table1[],2,FALSE)</f>
        <v>Sports Stopwatch Pro</v>
      </c>
      <c r="K454" t="str">
        <f>VLOOKUP($C454,Table1[],3,FALSE)</f>
        <v>Sports</v>
      </c>
      <c r="L454" t="str">
        <f>VLOOKUP($C454,Table1[],4,FALSE)</f>
        <v>Accessories</v>
      </c>
      <c r="M454" t="str">
        <f>VLOOKUP($C454,Table1[],5,FALSE)</f>
        <v>Thompson-French</v>
      </c>
      <c r="N454">
        <f>VLOOKUP($C454,Table1[],6,FALSE)</f>
        <v>434.84</v>
      </c>
      <c r="O454">
        <f>VLOOKUP($C454,Table1[],7,FALSE)</f>
        <v>185</v>
      </c>
      <c r="P454" t="str">
        <f>_xlfn.XLOOKUP($B454,Table3[Store_ID],Table3[Store_Name])</f>
        <v>Shelton PLC</v>
      </c>
      <c r="Q454" t="str" cm="1">
        <f t="array" ref="Q454">_xlfn.XLOOKUP($B454,Store_Dim!$A$2:$A$21,Table3[Region])</f>
        <v>North</v>
      </c>
      <c r="R454" t="str" cm="1">
        <f t="array" ref="R454">_xlfn.XLOOKUP($B454,Store_Dim!$A$2:$A$21,Table3[Store_Type])</f>
        <v>Flagship</v>
      </c>
      <c r="S454">
        <f>VLOOKUP(Table7[[#This Row],[Customer ID]],Table6[[Customer_ID]:[Total_Amount]],8,FALSE)</f>
        <v>977.04880000000014</v>
      </c>
    </row>
    <row r="455" spans="1:19" x14ac:dyDescent="0.3">
      <c r="A455" t="s">
        <v>1403</v>
      </c>
      <c r="B455" t="str">
        <f>_xlfn.XLOOKUP(Table7[[#This Row],[Customer ID]],Table6[Customer_ID],Table6[Store_ID])</f>
        <v>STORE4</v>
      </c>
      <c r="C455" t="str">
        <f>_xlfn.XLOOKUP(Table7[[#This Row],[Customer ID]],Table6[Customer_ID],Table6[Product_ID])</f>
        <v>PROD15</v>
      </c>
      <c r="D455" t="str">
        <f>VLOOKUP(Table7[[#This Row],[Customer ID]],Table4[#All],2,FALSE)</f>
        <v>Justin Johnson</v>
      </c>
      <c r="E455">
        <f>VLOOKUP($A455,Table4[],3,FALSE)</f>
        <v>35</v>
      </c>
      <c r="F455" t="str">
        <f>VLOOKUP($A455,Table4[],4,FALSE)</f>
        <v>Male</v>
      </c>
      <c r="G455" t="str">
        <f>VLOOKUP($A455,Table4[],5,FALSE)</f>
        <v>Hughesview</v>
      </c>
      <c r="H455" t="str">
        <f>VLOOKUP($A455,Table4[],6,FALSE)</f>
        <v>Iowa</v>
      </c>
      <c r="I455" t="str">
        <f>VLOOKUP($A455,Table4[],8,FALSE)</f>
        <v>Gold</v>
      </c>
      <c r="J455" t="str">
        <f>VLOOKUP($C455,Table1[],2,FALSE)</f>
        <v>4K Home Projector</v>
      </c>
      <c r="K455" t="str">
        <f>VLOOKUP($C455,Table1[],3,FALSE)</f>
        <v>Electronics</v>
      </c>
      <c r="L455" t="str">
        <f>VLOOKUP($C455,Table1[],4,FALSE)</f>
        <v>Appliances</v>
      </c>
      <c r="M455" t="str">
        <f>VLOOKUP($C455,Table1[],5,FALSE)</f>
        <v>Thomas LLC</v>
      </c>
      <c r="N455">
        <f>VLOOKUP($C455,Table1[],6,FALSE)</f>
        <v>465.34</v>
      </c>
      <c r="O455">
        <f>VLOOKUP($C455,Table1[],7,FALSE)</f>
        <v>301</v>
      </c>
      <c r="P455" t="str">
        <f>_xlfn.XLOOKUP($B455,Table3[Store_ID],Table3[Store_Name])</f>
        <v>Alexander Group</v>
      </c>
      <c r="Q455" t="str" cm="1">
        <f t="array" ref="Q455">_xlfn.XLOOKUP($B455,Store_Dim!$A$2:$A$21,Table3[Region])</f>
        <v>South</v>
      </c>
      <c r="R455" t="str" cm="1">
        <f t="array" ref="R455">_xlfn.XLOOKUP($B455,Store_Dim!$A$2:$A$21,Table3[Store_Type])</f>
        <v>Online</v>
      </c>
      <c r="S455">
        <f>VLOOKUP(Table7[[#This Row],[Customer ID]],Table6[[Customer_ID]:[Total_Amount]],8,FALSE)</f>
        <v>1017.7704</v>
      </c>
    </row>
    <row r="456" spans="1:19" x14ac:dyDescent="0.3">
      <c r="A456" t="s">
        <v>1406</v>
      </c>
      <c r="B456" t="str">
        <f>_xlfn.XLOOKUP(Table7[[#This Row],[Customer ID]],Table6[Customer_ID],Table6[Store_ID])</f>
        <v>STORE3</v>
      </c>
      <c r="C456" t="str">
        <f>_xlfn.XLOOKUP(Table7[[#This Row],[Customer ID]],Table6[Customer_ID],Table6[Product_ID])</f>
        <v>PROD65</v>
      </c>
      <c r="D456" t="str">
        <f>VLOOKUP(Table7[[#This Row],[Customer ID]],Table4[#All],2,FALSE)</f>
        <v>Paul Cox</v>
      </c>
      <c r="E456">
        <f>VLOOKUP($A456,Table4[],3,FALSE)</f>
        <v>60</v>
      </c>
      <c r="F456" t="str">
        <f>VLOOKUP($A456,Table4[],4,FALSE)</f>
        <v>Female</v>
      </c>
      <c r="G456" t="str">
        <f>VLOOKUP($A456,Table4[],5,FALSE)</f>
        <v>East Julie</v>
      </c>
      <c r="H456" t="str">
        <f>VLOOKUP($A456,Table4[],6,FALSE)</f>
        <v>Kansas</v>
      </c>
      <c r="I456" t="str">
        <f>VLOOKUP($A456,Table4[],8,FALSE)</f>
        <v>Silver</v>
      </c>
      <c r="J456" t="str">
        <f>VLOOKUP($C456,Table1[],2,FALSE)</f>
        <v>Adjustable Dumbbells 20kg</v>
      </c>
      <c r="K456" t="str">
        <f>VLOOKUP($C456,Table1[],3,FALSE)</f>
        <v>Sports</v>
      </c>
      <c r="L456" t="str">
        <f>VLOOKUP($C456,Table1[],4,FALSE)</f>
        <v>Fitness</v>
      </c>
      <c r="M456" t="str">
        <f>VLOOKUP($C456,Table1[],5,FALSE)</f>
        <v>Montgomery, Benton and Miller</v>
      </c>
      <c r="N456">
        <f>VLOOKUP($C456,Table1[],6,FALSE)</f>
        <v>240.63</v>
      </c>
      <c r="O456">
        <f>VLOOKUP($C456,Table1[],7,FALSE)</f>
        <v>423</v>
      </c>
      <c r="P456" t="str">
        <f>_xlfn.XLOOKUP($B456,Table3[Store_ID],Table3[Store_Name])</f>
        <v>Johnson-Wright</v>
      </c>
      <c r="Q456" t="str" cm="1">
        <f t="array" ref="Q456">_xlfn.XLOOKUP($B456,Store_Dim!$A$2:$A$21,Table3[Region])</f>
        <v>North</v>
      </c>
      <c r="R456" t="str" cm="1">
        <f t="array" ref="R456">_xlfn.XLOOKUP($B456,Store_Dim!$A$2:$A$21,Table3[Store_Type])</f>
        <v>Outlet</v>
      </c>
      <c r="S456">
        <f>VLOOKUP(Table7[[#This Row],[Customer ID]],Table6[[Customer_ID]:[Total_Amount]],8,FALSE)</f>
        <v>808.65719999999999</v>
      </c>
    </row>
    <row r="457" spans="1:19" x14ac:dyDescent="0.3">
      <c r="A457" t="s">
        <v>1409</v>
      </c>
      <c r="B457" t="str">
        <f>_xlfn.XLOOKUP(Table7[[#This Row],[Customer ID]],Table6[Customer_ID],Table6[Store_ID])</f>
        <v>STORE13</v>
      </c>
      <c r="C457" t="str">
        <f>_xlfn.XLOOKUP(Table7[[#This Row],[Customer ID]],Table6[Customer_ID],Table6[Product_ID])</f>
        <v>PROD33</v>
      </c>
      <c r="D457" t="str">
        <f>VLOOKUP(Table7[[#This Row],[Customer ID]],Table4[#All],2,FALSE)</f>
        <v>Beth Martin</v>
      </c>
      <c r="E457">
        <f>VLOOKUP($A457,Table4[],3,FALSE)</f>
        <v>34</v>
      </c>
      <c r="F457" t="str">
        <f>VLOOKUP($A457,Table4[],4,FALSE)</f>
        <v>Female</v>
      </c>
      <c r="G457" t="str">
        <f>VLOOKUP($A457,Table4[],5,FALSE)</f>
        <v>Burkefurt</v>
      </c>
      <c r="H457" t="str">
        <f>VLOOKUP($A457,Table4[],6,FALSE)</f>
        <v>West Virginia</v>
      </c>
      <c r="I457" t="str">
        <f>VLOOKUP($A457,Table4[],8,FALSE)</f>
        <v>Silver</v>
      </c>
      <c r="J457" t="str">
        <f>VLOOKUP($C457,Table1[],2,FALSE)</f>
        <v>Modern Wall Clock</v>
      </c>
      <c r="K457" t="str">
        <f>VLOOKUP($C457,Table1[],3,FALSE)</f>
        <v>Home</v>
      </c>
      <c r="L457" t="str">
        <f>VLOOKUP($C457,Table1[],4,FALSE)</f>
        <v>Decor</v>
      </c>
      <c r="M457" t="str">
        <f>VLOOKUP($C457,Table1[],5,FALSE)</f>
        <v>Weiss-Watson</v>
      </c>
      <c r="N457">
        <f>VLOOKUP($C457,Table1[],6,FALSE)</f>
        <v>179.77</v>
      </c>
      <c r="O457">
        <f>VLOOKUP($C457,Table1[],7,FALSE)</f>
        <v>305</v>
      </c>
      <c r="P457" t="str">
        <f>_xlfn.XLOOKUP($B457,Table3[Store_ID],Table3[Store_Name])</f>
        <v>Gardner, Humphrey and Contreras</v>
      </c>
      <c r="Q457" t="str" cm="1">
        <f t="array" ref="Q457">_xlfn.XLOOKUP($B457,Store_Dim!$A$2:$A$21,Table3[Region])</f>
        <v>East</v>
      </c>
      <c r="R457" t="str" cm="1">
        <f t="array" ref="R457">_xlfn.XLOOKUP($B457,Store_Dim!$A$2:$A$21,Table3[Store_Type])</f>
        <v>Flagship</v>
      </c>
      <c r="S457">
        <f>VLOOKUP(Table7[[#This Row],[Customer ID]],Table6[[Customer_ID]:[Total_Amount]],8,FALSE)</f>
        <v>137.49600000000001</v>
      </c>
    </row>
    <row r="458" spans="1:19" x14ac:dyDescent="0.3">
      <c r="A458" t="s">
        <v>1412</v>
      </c>
      <c r="B458" t="str">
        <f>_xlfn.XLOOKUP(Table7[[#This Row],[Customer ID]],Table6[Customer_ID],Table6[Store_ID])</f>
        <v>STORE7</v>
      </c>
      <c r="C458" t="str">
        <f>_xlfn.XLOOKUP(Table7[[#This Row],[Customer ID]],Table6[Customer_ID],Table6[Product_ID])</f>
        <v>PROD8</v>
      </c>
      <c r="D458" t="str">
        <f>VLOOKUP(Table7[[#This Row],[Customer ID]],Table4[#All],2,FALSE)</f>
        <v>Samantha Lee</v>
      </c>
      <c r="E458">
        <f>VLOOKUP($A458,Table4[],3,FALSE)</f>
        <v>36</v>
      </c>
      <c r="F458" t="str">
        <f>VLOOKUP($A458,Table4[],4,FALSE)</f>
        <v>Female</v>
      </c>
      <c r="G458" t="str">
        <f>VLOOKUP($A458,Table4[],5,FALSE)</f>
        <v>Port Anthony</v>
      </c>
      <c r="H458" t="str">
        <f>VLOOKUP($A458,Table4[],6,FALSE)</f>
        <v>Connecticut</v>
      </c>
      <c r="I458" t="str">
        <f>VLOOKUP($A458,Table4[],8,FALSE)</f>
        <v>Bronze</v>
      </c>
      <c r="J458" t="str">
        <f>VLOOKUP($C458,Table1[],2,FALSE)</f>
        <v>Wireless Bluetooth Earbuds</v>
      </c>
      <c r="K458" t="str">
        <f>VLOOKUP($C458,Table1[],3,FALSE)</f>
        <v>Electronics</v>
      </c>
      <c r="L458" t="str">
        <f>VLOOKUP($C458,Table1[],4,FALSE)</f>
        <v>Audio</v>
      </c>
      <c r="M458" t="str">
        <f>VLOOKUP($C458,Table1[],5,FALSE)</f>
        <v>Perez-Johnston</v>
      </c>
      <c r="N458">
        <f>VLOOKUP($C458,Table1[],6,FALSE)</f>
        <v>439.07</v>
      </c>
      <c r="O458">
        <f>VLOOKUP($C458,Table1[],7,FALSE)</f>
        <v>142</v>
      </c>
      <c r="P458" t="str">
        <f>_xlfn.XLOOKUP($B458,Table3[Store_ID],Table3[Store_Name])</f>
        <v>Martinez-Mullins</v>
      </c>
      <c r="Q458" t="str" cm="1">
        <f t="array" ref="Q458">_xlfn.XLOOKUP($B458,Store_Dim!$A$2:$A$21,Table3[Region])</f>
        <v>South</v>
      </c>
      <c r="R458" t="str" cm="1">
        <f t="array" ref="R458">_xlfn.XLOOKUP($B458,Store_Dim!$A$2:$A$21,Table3[Store_Type])</f>
        <v>Online</v>
      </c>
      <c r="S458">
        <f>VLOOKUP(Table7[[#This Row],[Customer ID]],Table6[[Customer_ID]:[Total_Amount]],8,FALSE)</f>
        <v>641.41</v>
      </c>
    </row>
    <row r="459" spans="1:19" x14ac:dyDescent="0.3">
      <c r="A459" t="s">
        <v>1415</v>
      </c>
      <c r="B459" t="str">
        <f>_xlfn.XLOOKUP(Table7[[#This Row],[Customer ID]],Table6[Customer_ID],Table6[Store_ID])</f>
        <v>STORE0</v>
      </c>
      <c r="C459" t="str">
        <f>_xlfn.XLOOKUP(Table7[[#This Row],[Customer ID]],Table6[Customer_ID],Table6[Product_ID])</f>
        <v>PROD33</v>
      </c>
      <c r="D459" t="str">
        <f>VLOOKUP(Table7[[#This Row],[Customer ID]],Table4[#All],2,FALSE)</f>
        <v>David Pierce</v>
      </c>
      <c r="E459">
        <f>VLOOKUP($A459,Table4[],3,FALSE)</f>
        <v>45</v>
      </c>
      <c r="F459" t="str">
        <f>VLOOKUP($A459,Table4[],4,FALSE)</f>
        <v>Female</v>
      </c>
      <c r="G459" t="str">
        <f>VLOOKUP($A459,Table4[],5,FALSE)</f>
        <v>Grayland</v>
      </c>
      <c r="H459" t="str">
        <f>VLOOKUP($A459,Table4[],6,FALSE)</f>
        <v>Washington</v>
      </c>
      <c r="I459" t="str">
        <f>VLOOKUP($A459,Table4[],8,FALSE)</f>
        <v>Platinum</v>
      </c>
      <c r="J459" t="str">
        <f>VLOOKUP($C459,Table1[],2,FALSE)</f>
        <v>Modern Wall Clock</v>
      </c>
      <c r="K459" t="str">
        <f>VLOOKUP($C459,Table1[],3,FALSE)</f>
        <v>Home</v>
      </c>
      <c r="L459" t="str">
        <f>VLOOKUP($C459,Table1[],4,FALSE)</f>
        <v>Decor</v>
      </c>
      <c r="M459" t="str">
        <f>VLOOKUP($C459,Table1[],5,FALSE)</f>
        <v>Weiss-Watson</v>
      </c>
      <c r="N459">
        <f>VLOOKUP($C459,Table1[],6,FALSE)</f>
        <v>179.77</v>
      </c>
      <c r="O459">
        <f>VLOOKUP($C459,Table1[],7,FALSE)</f>
        <v>305</v>
      </c>
      <c r="P459" t="str">
        <f>_xlfn.XLOOKUP($B459,Table3[Store_ID],Table3[Store_Name])</f>
        <v>Rivera-Warner</v>
      </c>
      <c r="Q459" t="str" cm="1">
        <f t="array" ref="Q459">_xlfn.XLOOKUP($B459,Store_Dim!$A$2:$A$21,Table3[Region])</f>
        <v>East</v>
      </c>
      <c r="R459" t="str" cm="1">
        <f t="array" ref="R459">_xlfn.XLOOKUP($B459,Store_Dim!$A$2:$A$21,Table3[Store_Type])</f>
        <v>Flagship</v>
      </c>
      <c r="S459">
        <f>VLOOKUP(Table7[[#This Row],[Customer ID]],Table6[[Customer_ID]:[Total_Amount]],8,FALSE)</f>
        <v>1344.6818000000001</v>
      </c>
    </row>
    <row r="460" spans="1:19" x14ac:dyDescent="0.3">
      <c r="A460" t="s">
        <v>1418</v>
      </c>
      <c r="B460" t="str">
        <f>_xlfn.XLOOKUP(Table7[[#This Row],[Customer ID]],Table6[Customer_ID],Table6[Store_ID])</f>
        <v>STORE8</v>
      </c>
      <c r="C460" t="str">
        <f>_xlfn.XLOOKUP(Table7[[#This Row],[Customer ID]],Table6[Customer_ID],Table6[Product_ID])</f>
        <v>PROD67</v>
      </c>
      <c r="D460" t="str">
        <f>VLOOKUP(Table7[[#This Row],[Customer ID]],Table4[#All],2,FALSE)</f>
        <v>Ronald Ross</v>
      </c>
      <c r="E460">
        <f>VLOOKUP($A460,Table4[],3,FALSE)</f>
        <v>28</v>
      </c>
      <c r="F460" t="str">
        <f>VLOOKUP($A460,Table4[],4,FALSE)</f>
        <v>Female</v>
      </c>
      <c r="G460" t="str">
        <f>VLOOKUP($A460,Table4[],5,FALSE)</f>
        <v>Hartmanside</v>
      </c>
      <c r="H460" t="str">
        <f>VLOOKUP($A460,Table4[],6,FALSE)</f>
        <v>North Carolina</v>
      </c>
      <c r="I460" t="str">
        <f>VLOOKUP($A460,Table4[],8,FALSE)</f>
        <v>Silver</v>
      </c>
      <c r="J460" t="str">
        <f>VLOOKUP($C460,Table1[],2,FALSE)</f>
        <v>Smart LED Light Strip</v>
      </c>
      <c r="K460" t="str">
        <f>VLOOKUP($C460,Table1[],3,FALSE)</f>
        <v>Electronics</v>
      </c>
      <c r="L460" t="str">
        <f>VLOOKUP($C460,Table1[],4,FALSE)</f>
        <v>Accessories</v>
      </c>
      <c r="M460" t="str">
        <f>VLOOKUP($C460,Table1[],5,FALSE)</f>
        <v>Flores-Davis</v>
      </c>
      <c r="N460">
        <f>VLOOKUP($C460,Table1[],6,FALSE)</f>
        <v>349.17</v>
      </c>
      <c r="O460">
        <f>VLOOKUP($C460,Table1[],7,FALSE)</f>
        <v>476</v>
      </c>
      <c r="P460" t="str">
        <f>_xlfn.XLOOKUP($B460,Table3[Store_ID],Table3[Store_Name])</f>
        <v>Bean, Jones and Park</v>
      </c>
      <c r="Q460" t="str" cm="1">
        <f t="array" ref="Q460">_xlfn.XLOOKUP($B460,Store_Dim!$A$2:$A$21,Table3[Region])</f>
        <v>West</v>
      </c>
      <c r="R460" t="str" cm="1">
        <f t="array" ref="R460">_xlfn.XLOOKUP($B460,Store_Dim!$A$2:$A$21,Table3[Store_Type])</f>
        <v>Online</v>
      </c>
      <c r="S460">
        <f>VLOOKUP(Table7[[#This Row],[Customer ID]],Table6[[Customer_ID]:[Total_Amount]],8,FALSE)</f>
        <v>1731.4914000000001</v>
      </c>
    </row>
    <row r="461" spans="1:19" x14ac:dyDescent="0.3">
      <c r="A461" t="s">
        <v>1421</v>
      </c>
      <c r="B461" t="str">
        <f>_xlfn.XLOOKUP(Table7[[#This Row],[Customer ID]],Table6[Customer_ID],Table6[Store_ID])</f>
        <v>STORE19</v>
      </c>
      <c r="C461" t="str">
        <f>_xlfn.XLOOKUP(Table7[[#This Row],[Customer ID]],Table6[Customer_ID],Table6[Product_ID])</f>
        <v>PROD48</v>
      </c>
      <c r="D461" t="str">
        <f>VLOOKUP(Table7[[#This Row],[Customer ID]],Table4[#All],2,FALSE)</f>
        <v>Cynthia Parrish</v>
      </c>
      <c r="E461">
        <f>VLOOKUP($A461,Table4[],3,FALSE)</f>
        <v>18</v>
      </c>
      <c r="F461" t="str">
        <f>VLOOKUP($A461,Table4[],4,FALSE)</f>
        <v>Male</v>
      </c>
      <c r="G461" t="str">
        <f>VLOOKUP($A461,Table4[],5,FALSE)</f>
        <v>Espinozaberg</v>
      </c>
      <c r="H461" t="str">
        <f>VLOOKUP($A461,Table4[],6,FALSE)</f>
        <v>Minnesota</v>
      </c>
      <c r="I461" t="str">
        <f>VLOOKUP($A461,Table4[],8,FALSE)</f>
        <v>Silver</v>
      </c>
      <c r="J461" t="str">
        <f>VLOOKUP($C461,Table1[],2,FALSE)</f>
        <v>Car Dashboard Phone Holder</v>
      </c>
      <c r="K461" t="str">
        <f>VLOOKUP($C461,Table1[],3,FALSE)</f>
        <v>Electronics</v>
      </c>
      <c r="L461" t="str">
        <f>VLOOKUP($C461,Table1[],4,FALSE)</f>
        <v>Accessories</v>
      </c>
      <c r="M461" t="str">
        <f>VLOOKUP($C461,Table1[],5,FALSE)</f>
        <v>Byrd, Stewart and Valdez</v>
      </c>
      <c r="N461">
        <f>VLOOKUP($C461,Table1[],6,FALSE)</f>
        <v>177.98</v>
      </c>
      <c r="O461">
        <f>VLOOKUP($C461,Table1[],7,FALSE)</f>
        <v>103</v>
      </c>
      <c r="P461" t="str">
        <f>_xlfn.XLOOKUP($B461,Table3[Store_ID],Table3[Store_Name])</f>
        <v>Mann-Austin</v>
      </c>
      <c r="Q461" t="str" cm="1">
        <f t="array" ref="Q461">_xlfn.XLOOKUP($B461,Store_Dim!$A$2:$A$21,Table3[Region])</f>
        <v>East</v>
      </c>
      <c r="R461" t="str" cm="1">
        <f t="array" ref="R461">_xlfn.XLOOKUP($B461,Store_Dim!$A$2:$A$21,Table3[Store_Type])</f>
        <v>Online</v>
      </c>
      <c r="S461">
        <f>VLOOKUP(Table7[[#This Row],[Customer ID]],Table6[[Customer_ID]:[Total_Amount]],8,FALSE)</f>
        <v>2181.4650000000011</v>
      </c>
    </row>
    <row r="462" spans="1:19" x14ac:dyDescent="0.3">
      <c r="A462" t="s">
        <v>1424</v>
      </c>
      <c r="B462" t="str">
        <f>_xlfn.XLOOKUP(Table7[[#This Row],[Customer ID]],Table6[Customer_ID],Table6[Store_ID])</f>
        <v>STORE17</v>
      </c>
      <c r="C462" t="str">
        <f>_xlfn.XLOOKUP(Table7[[#This Row],[Customer ID]],Table6[Customer_ID],Table6[Product_ID])</f>
        <v>PROD74</v>
      </c>
      <c r="D462" t="str">
        <f>VLOOKUP(Table7[[#This Row],[Customer ID]],Table4[#All],2,FALSE)</f>
        <v>Michael Foley</v>
      </c>
      <c r="E462">
        <f>VLOOKUP($A462,Table4[],3,FALSE)</f>
        <v>63</v>
      </c>
      <c r="F462" t="str">
        <f>VLOOKUP($A462,Table4[],4,FALSE)</f>
        <v>Female</v>
      </c>
      <c r="G462" t="str">
        <f>VLOOKUP($A462,Table4[],5,FALSE)</f>
        <v>Oneillfurt</v>
      </c>
      <c r="H462" t="str">
        <f>VLOOKUP($A462,Table4[],6,FALSE)</f>
        <v>Vermont</v>
      </c>
      <c r="I462" t="str">
        <f>VLOOKUP($A462,Table4[],8,FALSE)</f>
        <v>Gold</v>
      </c>
      <c r="J462" t="str">
        <f>VLOOKUP($C462,Table1[],2,FALSE)</f>
        <v>Bluetooth Car Audio System</v>
      </c>
      <c r="K462" t="str">
        <f>VLOOKUP($C462,Table1[],3,FALSE)</f>
        <v>Electronics</v>
      </c>
      <c r="L462" t="str">
        <f>VLOOKUP($C462,Table1[],4,FALSE)</f>
        <v>Audio</v>
      </c>
      <c r="M462" t="str">
        <f>VLOOKUP($C462,Table1[],5,FALSE)</f>
        <v>Bruce-Bowen</v>
      </c>
      <c r="N462">
        <f>VLOOKUP($C462,Table1[],6,FALSE)</f>
        <v>403.71</v>
      </c>
      <c r="O462">
        <f>VLOOKUP($C462,Table1[],7,FALSE)</f>
        <v>159</v>
      </c>
      <c r="P462" t="str">
        <f>_xlfn.XLOOKUP($B462,Table3[Store_ID],Table3[Store_Name])</f>
        <v>Holloway Ltd</v>
      </c>
      <c r="Q462" t="str" cm="1">
        <f t="array" ref="Q462">_xlfn.XLOOKUP($B462,Store_Dim!$A$2:$A$21,Table3[Region])</f>
        <v>North</v>
      </c>
      <c r="R462" t="str" cm="1">
        <f t="array" ref="R462">_xlfn.XLOOKUP($B462,Store_Dim!$A$2:$A$21,Table3[Store_Type])</f>
        <v>Flagship</v>
      </c>
      <c r="S462">
        <f>VLOOKUP(Table7[[#This Row],[Customer ID]],Table6[[Customer_ID]:[Total_Amount]],8,FALSE)</f>
        <v>228.7893</v>
      </c>
    </row>
    <row r="463" spans="1:19" x14ac:dyDescent="0.3">
      <c r="A463" t="s">
        <v>1427</v>
      </c>
      <c r="B463" t="str">
        <f>_xlfn.XLOOKUP(Table7[[#This Row],[Customer ID]],Table6[Customer_ID],Table6[Store_ID])</f>
        <v>STORE5</v>
      </c>
      <c r="C463" t="str">
        <f>_xlfn.XLOOKUP(Table7[[#This Row],[Customer ID]],Table6[Customer_ID],Table6[Product_ID])</f>
        <v>PROD75</v>
      </c>
      <c r="D463" t="str">
        <f>VLOOKUP(Table7[[#This Row],[Customer ID]],Table4[#All],2,FALSE)</f>
        <v>Gregory Curtis</v>
      </c>
      <c r="E463">
        <f>VLOOKUP($A463,Table4[],3,FALSE)</f>
        <v>45</v>
      </c>
      <c r="F463" t="str">
        <f>VLOOKUP($A463,Table4[],4,FALSE)</f>
        <v>Male</v>
      </c>
      <c r="G463" t="str">
        <f>VLOOKUP($A463,Table4[],5,FALSE)</f>
        <v>Bergermouth</v>
      </c>
      <c r="H463" t="str">
        <f>VLOOKUP($A463,Table4[],6,FALSE)</f>
        <v>Vermont</v>
      </c>
      <c r="I463" t="str">
        <f>VLOOKUP($A463,Table4[],8,FALSE)</f>
        <v>Bronze</v>
      </c>
      <c r="J463" t="str">
        <f>VLOOKUP($C463,Table1[],2,FALSE)</f>
        <v>Women's Ankle Boots</v>
      </c>
      <c r="K463" t="str">
        <f>VLOOKUP($C463,Table1[],3,FALSE)</f>
        <v>Clothing</v>
      </c>
      <c r="L463" t="str">
        <f>VLOOKUP($C463,Table1[],4,FALSE)</f>
        <v>Footwear</v>
      </c>
      <c r="M463" t="str">
        <f>VLOOKUP($C463,Table1[],5,FALSE)</f>
        <v>Poole PLC</v>
      </c>
      <c r="N463">
        <f>VLOOKUP($C463,Table1[],6,FALSE)</f>
        <v>158.13999999999999</v>
      </c>
      <c r="O463">
        <f>VLOOKUP($C463,Table1[],7,FALSE)</f>
        <v>82</v>
      </c>
      <c r="P463" t="str">
        <f>_xlfn.XLOOKUP($B463,Table3[Store_ID],Table3[Store_Name])</f>
        <v>Gray Ltd</v>
      </c>
      <c r="Q463" t="str" cm="1">
        <f t="array" ref="Q463">_xlfn.XLOOKUP($B463,Store_Dim!$A$2:$A$21,Table3[Region])</f>
        <v>North</v>
      </c>
      <c r="R463" t="str" cm="1">
        <f t="array" ref="R463">_xlfn.XLOOKUP($B463,Store_Dim!$A$2:$A$21,Table3[Store_Type])</f>
        <v>Outlet</v>
      </c>
      <c r="S463">
        <f>VLOOKUP(Table7[[#This Row],[Customer ID]],Table6[[Customer_ID]:[Total_Amount]],8,FALSE)</f>
        <v>1384.2239999999999</v>
      </c>
    </row>
    <row r="464" spans="1:19" x14ac:dyDescent="0.3">
      <c r="A464" t="s">
        <v>1430</v>
      </c>
      <c r="B464" t="str">
        <f>_xlfn.XLOOKUP(Table7[[#This Row],[Customer ID]],Table6[Customer_ID],Table6[Store_ID])</f>
        <v>STORE15</v>
      </c>
      <c r="C464" t="str">
        <f>_xlfn.XLOOKUP(Table7[[#This Row],[Customer ID]],Table6[Customer_ID],Table6[Product_ID])</f>
        <v>PROD45</v>
      </c>
      <c r="D464" t="str">
        <f>VLOOKUP(Table7[[#This Row],[Customer ID]],Table4[#All],2,FALSE)</f>
        <v>James Foster</v>
      </c>
      <c r="E464">
        <f>VLOOKUP($A464,Table4[],3,FALSE)</f>
        <v>19</v>
      </c>
      <c r="F464" t="str">
        <f>VLOOKUP($A464,Table4[],4,FALSE)</f>
        <v>Male</v>
      </c>
      <c r="G464" t="str">
        <f>VLOOKUP($A464,Table4[],5,FALSE)</f>
        <v>East Audrey</v>
      </c>
      <c r="H464" t="str">
        <f>VLOOKUP($A464,Table4[],6,FALSE)</f>
        <v>Utah</v>
      </c>
      <c r="I464" t="str">
        <f>VLOOKUP($A464,Table4[],8,FALSE)</f>
        <v>Gold</v>
      </c>
      <c r="J464" t="str">
        <f>VLOOKUP($C464,Table1[],2,FALSE)</f>
        <v>High-Grip Football</v>
      </c>
      <c r="K464" t="str">
        <f>VLOOKUP($C464,Table1[],3,FALSE)</f>
        <v>Sports</v>
      </c>
      <c r="L464" t="str">
        <f>VLOOKUP($C464,Table1[],4,FALSE)</f>
        <v>Team Sports</v>
      </c>
      <c r="M464" t="str">
        <f>VLOOKUP($C464,Table1[],5,FALSE)</f>
        <v>Bridges, Banks and Cummings</v>
      </c>
      <c r="N464">
        <f>VLOOKUP($C464,Table1[],6,FALSE)</f>
        <v>318.91000000000003</v>
      </c>
      <c r="O464">
        <f>VLOOKUP($C464,Table1[],7,FALSE)</f>
        <v>114</v>
      </c>
      <c r="P464" t="str">
        <f>_xlfn.XLOOKUP($B464,Table3[Store_ID],Table3[Store_Name])</f>
        <v>Shelton PLC</v>
      </c>
      <c r="Q464" t="str" cm="1">
        <f t="array" ref="Q464">_xlfn.XLOOKUP($B464,Store_Dim!$A$2:$A$21,Table3[Region])</f>
        <v>North</v>
      </c>
      <c r="R464" t="str" cm="1">
        <f t="array" ref="R464">_xlfn.XLOOKUP($B464,Store_Dim!$A$2:$A$21,Table3[Store_Type])</f>
        <v>Flagship</v>
      </c>
      <c r="S464">
        <f>VLOOKUP(Table7[[#This Row],[Customer ID]],Table6[[Customer_ID]:[Total_Amount]],8,FALSE)</f>
        <v>456.4948</v>
      </c>
    </row>
    <row r="465" spans="1:19" x14ac:dyDescent="0.3">
      <c r="A465" t="s">
        <v>1433</v>
      </c>
      <c r="B465" t="str">
        <f>_xlfn.XLOOKUP(Table7[[#This Row],[Customer ID]],Table6[Customer_ID],Table6[Store_ID])</f>
        <v>STORE8</v>
      </c>
      <c r="C465" t="str">
        <f>_xlfn.XLOOKUP(Table7[[#This Row],[Customer ID]],Table6[Customer_ID],Table6[Product_ID])</f>
        <v>PROD59</v>
      </c>
      <c r="D465" t="str">
        <f>VLOOKUP(Table7[[#This Row],[Customer ID]],Table4[#All],2,FALSE)</f>
        <v>Manuel Fisher</v>
      </c>
      <c r="E465">
        <f>VLOOKUP($A465,Table4[],3,FALSE)</f>
        <v>21</v>
      </c>
      <c r="F465" t="str">
        <f>VLOOKUP($A465,Table4[],4,FALSE)</f>
        <v>Female</v>
      </c>
      <c r="G465" t="str">
        <f>VLOOKUP($A465,Table4[],5,FALSE)</f>
        <v>Kanebury</v>
      </c>
      <c r="H465" t="str">
        <f>VLOOKUP($A465,Table4[],6,FALSE)</f>
        <v>New Hampshire</v>
      </c>
      <c r="I465" t="str">
        <f>VLOOKUP($A465,Table4[],8,FALSE)</f>
        <v>Gold</v>
      </c>
      <c r="J465" t="str">
        <f>VLOOKUP($C465,Table1[],2,FALSE)</f>
        <v>Men's Hair Styling Gel</v>
      </c>
      <c r="K465" t="str">
        <f>VLOOKUP($C465,Table1[],3,FALSE)</f>
        <v>Beauty</v>
      </c>
      <c r="L465" t="str">
        <f>VLOOKUP($C465,Table1[],4,FALSE)</f>
        <v>Haircare</v>
      </c>
      <c r="M465" t="str">
        <f>VLOOKUP($C465,Table1[],5,FALSE)</f>
        <v>Cline-Mccarthy</v>
      </c>
      <c r="N465">
        <f>VLOOKUP($C465,Table1[],6,FALSE)</f>
        <v>17.309999999999999</v>
      </c>
      <c r="O465">
        <f>VLOOKUP($C465,Table1[],7,FALSE)</f>
        <v>399</v>
      </c>
      <c r="P465" t="str">
        <f>_xlfn.XLOOKUP($B465,Table3[Store_ID],Table3[Store_Name])</f>
        <v>Bean, Jones and Park</v>
      </c>
      <c r="Q465" t="str" cm="1">
        <f t="array" ref="Q465">_xlfn.XLOOKUP($B465,Store_Dim!$A$2:$A$21,Table3[Region])</f>
        <v>West</v>
      </c>
      <c r="R465" t="str" cm="1">
        <f t="array" ref="R465">_xlfn.XLOOKUP($B465,Store_Dim!$A$2:$A$21,Table3[Store_Type])</f>
        <v>Online</v>
      </c>
      <c r="S465">
        <f>VLOOKUP(Table7[[#This Row],[Customer ID]],Table6[[Customer_ID]:[Total_Amount]],8,FALSE)</f>
        <v>1050.5039999999999</v>
      </c>
    </row>
    <row r="466" spans="1:19" x14ac:dyDescent="0.3">
      <c r="A466" t="s">
        <v>1436</v>
      </c>
      <c r="B466" t="str">
        <f>_xlfn.XLOOKUP(Table7[[#This Row],[Customer ID]],Table6[Customer_ID],Table6[Store_ID])</f>
        <v>STORE10</v>
      </c>
      <c r="C466" t="str">
        <f>_xlfn.XLOOKUP(Table7[[#This Row],[Customer ID]],Table6[Customer_ID],Table6[Product_ID])</f>
        <v>PROD17</v>
      </c>
      <c r="D466" t="str">
        <f>VLOOKUP(Table7[[#This Row],[Customer ID]],Table4[#All],2,FALSE)</f>
        <v>Debra Mccullough</v>
      </c>
      <c r="E466">
        <f>VLOOKUP($A466,Table4[],3,FALSE)</f>
        <v>42</v>
      </c>
      <c r="F466" t="str">
        <f>VLOOKUP($A466,Table4[],4,FALSE)</f>
        <v>Male</v>
      </c>
      <c r="G466" t="str">
        <f>VLOOKUP($A466,Table4[],5,FALSE)</f>
        <v>Mcdanielfurt</v>
      </c>
      <c r="H466" t="str">
        <f>VLOOKUP($A466,Table4[],6,FALSE)</f>
        <v>Montana</v>
      </c>
      <c r="I466" t="str">
        <f>VLOOKUP($A466,Table4[],8,FALSE)</f>
        <v>Platinum</v>
      </c>
      <c r="J466" t="str">
        <f>VLOOKUP($C466,Table1[],2,FALSE)</f>
        <v>Soccer Training Cone Set</v>
      </c>
      <c r="K466" t="str">
        <f>VLOOKUP($C466,Table1[],3,FALSE)</f>
        <v>Sports</v>
      </c>
      <c r="L466" t="str">
        <f>VLOOKUP($C466,Table1[],4,FALSE)</f>
        <v>Accessories</v>
      </c>
      <c r="M466" t="str">
        <f>VLOOKUP($C466,Table1[],5,FALSE)</f>
        <v>Ford, Murphy and Wilson</v>
      </c>
      <c r="N466">
        <f>VLOOKUP($C466,Table1[],6,FALSE)</f>
        <v>144.53</v>
      </c>
      <c r="O466">
        <f>VLOOKUP($C466,Table1[],7,FALSE)</f>
        <v>367</v>
      </c>
      <c r="P466" t="str">
        <f>_xlfn.XLOOKUP($B466,Table3[Store_ID],Table3[Store_Name])</f>
        <v>Hill, Wagner and Ballard</v>
      </c>
      <c r="Q466" t="str" cm="1">
        <f t="array" ref="Q466">_xlfn.XLOOKUP($B466,Store_Dim!$A$2:$A$21,Table3[Region])</f>
        <v>East</v>
      </c>
      <c r="R466" t="str" cm="1">
        <f t="array" ref="R466">_xlfn.XLOOKUP($B466,Store_Dim!$A$2:$A$21,Table3[Store_Type])</f>
        <v>Online</v>
      </c>
      <c r="S466">
        <f>VLOOKUP(Table7[[#This Row],[Customer ID]],Table6[[Customer_ID]:[Total_Amount]],8,FALSE)</f>
        <v>111.96120000000001</v>
      </c>
    </row>
    <row r="467" spans="1:19" x14ac:dyDescent="0.3">
      <c r="A467" t="s">
        <v>1439</v>
      </c>
      <c r="B467" t="str">
        <f>_xlfn.XLOOKUP(Table7[[#This Row],[Customer ID]],Table6[Customer_ID],Table6[Store_ID])</f>
        <v>STORE9</v>
      </c>
      <c r="C467" t="str">
        <f>_xlfn.XLOOKUP(Table7[[#This Row],[Customer ID]],Table6[Customer_ID],Table6[Product_ID])</f>
        <v>PROD34</v>
      </c>
      <c r="D467" t="str">
        <f>VLOOKUP(Table7[[#This Row],[Customer ID]],Table4[#All],2,FALSE)</f>
        <v>Philip Mendoza</v>
      </c>
      <c r="E467">
        <f>VLOOKUP($A467,Table4[],3,FALSE)</f>
        <v>42</v>
      </c>
      <c r="F467" t="str">
        <f>VLOOKUP($A467,Table4[],4,FALSE)</f>
        <v>Male</v>
      </c>
      <c r="G467" t="str">
        <f>VLOOKUP($A467,Table4[],5,FALSE)</f>
        <v>Tylermouth</v>
      </c>
      <c r="H467" t="str">
        <f>VLOOKUP($A467,Table4[],6,FALSE)</f>
        <v>Massachusetts</v>
      </c>
      <c r="I467" t="str">
        <f>VLOOKUP($A467,Table4[],8,FALSE)</f>
        <v>Silver</v>
      </c>
      <c r="J467" t="str">
        <f>VLOOKUP($C467,Table1[],2,FALSE)</f>
        <v>Gaming Mechanical Keyboard</v>
      </c>
      <c r="K467" t="str">
        <f>VLOOKUP($C467,Table1[],3,FALSE)</f>
        <v>Electronics</v>
      </c>
      <c r="L467" t="str">
        <f>VLOOKUP($C467,Table1[],4,FALSE)</f>
        <v>Computer</v>
      </c>
      <c r="M467" t="str">
        <f>VLOOKUP($C467,Table1[],5,FALSE)</f>
        <v>Lucero LLC</v>
      </c>
      <c r="N467">
        <f>VLOOKUP($C467,Table1[],6,FALSE)</f>
        <v>419.28</v>
      </c>
      <c r="O467">
        <f>VLOOKUP($C467,Table1[],7,FALSE)</f>
        <v>86</v>
      </c>
      <c r="P467" t="str">
        <f>_xlfn.XLOOKUP($B467,Table3[Store_ID],Table3[Store_Name])</f>
        <v>Moore, Padilla and Butler</v>
      </c>
      <c r="Q467" t="str" cm="1">
        <f t="array" ref="Q467">_xlfn.XLOOKUP($B467,Store_Dim!$A$2:$A$21,Table3[Region])</f>
        <v>South</v>
      </c>
      <c r="R467" t="str" cm="1">
        <f t="array" ref="R467">_xlfn.XLOOKUP($B467,Store_Dim!$A$2:$A$21,Table3[Store_Type])</f>
        <v>Flagship</v>
      </c>
      <c r="S467">
        <f>VLOOKUP(Table7[[#This Row],[Customer ID]],Table6[[Customer_ID]:[Total_Amount]],8,FALSE)</f>
        <v>859.7808</v>
      </c>
    </row>
    <row r="468" spans="1:19" x14ac:dyDescent="0.3">
      <c r="A468" t="s">
        <v>1442</v>
      </c>
      <c r="B468" t="str">
        <f>_xlfn.XLOOKUP(Table7[[#This Row],[Customer ID]],Table6[Customer_ID],Table6[Store_ID])</f>
        <v>STORE6</v>
      </c>
      <c r="C468" t="str">
        <f>_xlfn.XLOOKUP(Table7[[#This Row],[Customer ID]],Table6[Customer_ID],Table6[Product_ID])</f>
        <v>PROD50</v>
      </c>
      <c r="D468" t="str">
        <f>VLOOKUP(Table7[[#This Row],[Customer ID]],Table4[#All],2,FALSE)</f>
        <v>Laura Mathews</v>
      </c>
      <c r="E468">
        <f>VLOOKUP($A468,Table4[],3,FALSE)</f>
        <v>53</v>
      </c>
      <c r="F468" t="str">
        <f>VLOOKUP($A468,Table4[],4,FALSE)</f>
        <v>Male</v>
      </c>
      <c r="G468" t="str">
        <f>VLOOKUP($A468,Table4[],5,FALSE)</f>
        <v>Chambersfurt</v>
      </c>
      <c r="H468" t="str">
        <f>VLOOKUP($A468,Table4[],6,FALSE)</f>
        <v>Wisconsin</v>
      </c>
      <c r="I468" t="str">
        <f>VLOOKUP($A468,Table4[],8,FALSE)</f>
        <v>Bronze</v>
      </c>
      <c r="J468" t="str">
        <f>VLOOKUP($C468,Table1[],2,FALSE)</f>
        <v>Boxing Hand Wraps</v>
      </c>
      <c r="K468" t="str">
        <f>VLOOKUP($C468,Table1[],3,FALSE)</f>
        <v>Sports</v>
      </c>
      <c r="L468" t="str">
        <f>VLOOKUP($C468,Table1[],4,FALSE)</f>
        <v>Fitness</v>
      </c>
      <c r="M468" t="str">
        <f>VLOOKUP($C468,Table1[],5,FALSE)</f>
        <v>Smith-King</v>
      </c>
      <c r="N468">
        <f>VLOOKUP($C468,Table1[],6,FALSE)</f>
        <v>190.29</v>
      </c>
      <c r="O468">
        <f>VLOOKUP($C468,Table1[],7,FALSE)</f>
        <v>260</v>
      </c>
      <c r="P468" t="str">
        <f>_xlfn.XLOOKUP($B468,Table3[Store_ID],Table3[Store_Name])</f>
        <v>Benson-Elliott</v>
      </c>
      <c r="Q468" t="str" cm="1">
        <f t="array" ref="Q468">_xlfn.XLOOKUP($B468,Store_Dim!$A$2:$A$21,Table3[Region])</f>
        <v>East</v>
      </c>
      <c r="R468" t="str" cm="1">
        <f t="array" ref="R468">_xlfn.XLOOKUP($B468,Store_Dim!$A$2:$A$21,Table3[Store_Type])</f>
        <v>Online</v>
      </c>
      <c r="S468">
        <f>VLOOKUP(Table7[[#This Row],[Customer ID]],Table6[[Customer_ID]:[Total_Amount]],8,FALSE)</f>
        <v>201.59700000000001</v>
      </c>
    </row>
    <row r="469" spans="1:19" x14ac:dyDescent="0.3">
      <c r="A469" t="s">
        <v>1445</v>
      </c>
      <c r="B469" t="str">
        <f>_xlfn.XLOOKUP(Table7[[#This Row],[Customer ID]],Table6[Customer_ID],Table6[Store_ID])</f>
        <v>STORE18</v>
      </c>
      <c r="C469" t="str">
        <f>_xlfn.XLOOKUP(Table7[[#This Row],[Customer ID]],Table6[Customer_ID],Table6[Product_ID])</f>
        <v>PROD99</v>
      </c>
      <c r="D469" t="str">
        <f>VLOOKUP(Table7[[#This Row],[Customer ID]],Table4[#All],2,FALSE)</f>
        <v>Joshua Howard</v>
      </c>
      <c r="E469">
        <f>VLOOKUP($A469,Table4[],3,FALSE)</f>
        <v>32</v>
      </c>
      <c r="F469" t="str">
        <f>VLOOKUP($A469,Table4[],4,FALSE)</f>
        <v>Female</v>
      </c>
      <c r="G469" t="str">
        <f>VLOOKUP($A469,Table4[],5,FALSE)</f>
        <v>East Christopherhaven</v>
      </c>
      <c r="H469" t="str">
        <f>VLOOKUP($A469,Table4[],6,FALSE)</f>
        <v>South Dakota</v>
      </c>
      <c r="I469" t="str">
        <f>VLOOKUP($A469,Table4[],8,FALSE)</f>
        <v>Platinum</v>
      </c>
      <c r="J469" t="str">
        <f>VLOOKUP($C469,Table1[],2,FALSE)</f>
        <v>Stainless Steel Cookware Set</v>
      </c>
      <c r="K469" t="str">
        <f>VLOOKUP($C469,Table1[],3,FALSE)</f>
        <v>Home</v>
      </c>
      <c r="L469" t="str">
        <f>VLOOKUP($C469,Table1[],4,FALSE)</f>
        <v>Kitchen</v>
      </c>
      <c r="M469" t="str">
        <f>VLOOKUP($C469,Table1[],5,FALSE)</f>
        <v>Campbell Ltd</v>
      </c>
      <c r="N469">
        <f>VLOOKUP($C469,Table1[],6,FALSE)</f>
        <v>201.41</v>
      </c>
      <c r="O469">
        <f>VLOOKUP($C469,Table1[],7,FALSE)</f>
        <v>146</v>
      </c>
      <c r="P469" t="str">
        <f>_xlfn.XLOOKUP($B469,Table3[Store_ID],Table3[Store_Name])</f>
        <v>Guerrero-Schmitt</v>
      </c>
      <c r="Q469" t="str" cm="1">
        <f t="array" ref="Q469">_xlfn.XLOOKUP($B469,Store_Dim!$A$2:$A$21,Table3[Region])</f>
        <v>East</v>
      </c>
      <c r="R469" t="str" cm="1">
        <f t="array" ref="R469">_xlfn.XLOOKUP($B469,Store_Dim!$A$2:$A$21,Table3[Store_Type])</f>
        <v>Flagship</v>
      </c>
      <c r="S469">
        <f>VLOOKUP(Table7[[#This Row],[Customer ID]],Table6[[Customer_ID]:[Total_Amount]],8,FALSE)</f>
        <v>846.98459999999989</v>
      </c>
    </row>
    <row r="470" spans="1:19" x14ac:dyDescent="0.3">
      <c r="A470" t="s">
        <v>1448</v>
      </c>
      <c r="B470" t="str">
        <f>_xlfn.XLOOKUP(Table7[[#This Row],[Customer ID]],Table6[Customer_ID],Table6[Store_ID])</f>
        <v>STORE4</v>
      </c>
      <c r="C470" t="str">
        <f>_xlfn.XLOOKUP(Table7[[#This Row],[Customer ID]],Table6[Customer_ID],Table6[Product_ID])</f>
        <v>PROD73</v>
      </c>
      <c r="D470" t="str">
        <f>VLOOKUP(Table7[[#This Row],[Customer ID]],Table4[#All],2,FALSE)</f>
        <v>Barbara Berry</v>
      </c>
      <c r="E470">
        <f>VLOOKUP($A470,Table4[],3,FALSE)</f>
        <v>18</v>
      </c>
      <c r="F470" t="str">
        <f>VLOOKUP($A470,Table4[],4,FALSE)</f>
        <v>Female</v>
      </c>
      <c r="G470" t="str">
        <f>VLOOKUP($A470,Table4[],5,FALSE)</f>
        <v>Lake Michael</v>
      </c>
      <c r="H470" t="str">
        <f>VLOOKUP($A470,Table4[],6,FALSE)</f>
        <v>Vermont</v>
      </c>
      <c r="I470" t="str">
        <f>VLOOKUP($A470,Table4[],8,FALSE)</f>
        <v>Platinum</v>
      </c>
      <c r="J470" t="str">
        <f>VLOOKUP($C470,Table1[],2,FALSE)</f>
        <v>Shin Guards – Adult</v>
      </c>
      <c r="K470" t="str">
        <f>VLOOKUP($C470,Table1[],3,FALSE)</f>
        <v>Sports</v>
      </c>
      <c r="L470" t="str">
        <f>VLOOKUP($C470,Table1[],4,FALSE)</f>
        <v>Team Sports</v>
      </c>
      <c r="M470" t="str">
        <f>VLOOKUP($C470,Table1[],5,FALSE)</f>
        <v>French Ltd</v>
      </c>
      <c r="N470">
        <f>VLOOKUP($C470,Table1[],6,FALSE)</f>
        <v>107.06</v>
      </c>
      <c r="O470">
        <f>VLOOKUP($C470,Table1[],7,FALSE)</f>
        <v>359</v>
      </c>
      <c r="P470" t="str">
        <f>_xlfn.XLOOKUP($B470,Table3[Store_ID],Table3[Store_Name])</f>
        <v>Alexander Group</v>
      </c>
      <c r="Q470" t="str" cm="1">
        <f t="array" ref="Q470">_xlfn.XLOOKUP($B470,Store_Dim!$A$2:$A$21,Table3[Region])</f>
        <v>South</v>
      </c>
      <c r="R470" t="str" cm="1">
        <f t="array" ref="R470">_xlfn.XLOOKUP($B470,Store_Dim!$A$2:$A$21,Table3[Store_Type])</f>
        <v>Online</v>
      </c>
      <c r="S470">
        <f>VLOOKUP(Table7[[#This Row],[Customer ID]],Table6[[Customer_ID]:[Total_Amount]],8,FALSE)</f>
        <v>2168.64</v>
      </c>
    </row>
    <row r="471" spans="1:19" x14ac:dyDescent="0.3">
      <c r="A471" t="s">
        <v>1450</v>
      </c>
      <c r="B471" t="str">
        <f>_xlfn.XLOOKUP(Table7[[#This Row],[Customer ID]],Table6[Customer_ID],Table6[Store_ID])</f>
        <v>STORE10</v>
      </c>
      <c r="C471" t="str">
        <f>_xlfn.XLOOKUP(Table7[[#This Row],[Customer ID]],Table6[Customer_ID],Table6[Product_ID])</f>
        <v>PROD69</v>
      </c>
      <c r="D471" t="str">
        <f>VLOOKUP(Table7[[#This Row],[Customer ID]],Table4[#All],2,FALSE)</f>
        <v>Elizabeth Foster</v>
      </c>
      <c r="E471">
        <f>VLOOKUP($A471,Table4[],3,FALSE)</f>
        <v>33</v>
      </c>
      <c r="F471" t="str">
        <f>VLOOKUP($A471,Table4[],4,FALSE)</f>
        <v>Female</v>
      </c>
      <c r="G471" t="str">
        <f>VLOOKUP($A471,Table4[],5,FALSE)</f>
        <v>Anthonymouth</v>
      </c>
      <c r="H471" t="str">
        <f>VLOOKUP($A471,Table4[],6,FALSE)</f>
        <v>Oklahoma</v>
      </c>
      <c r="I471" t="str">
        <f>VLOOKUP($A471,Table4[],8,FALSE)</f>
        <v>Gold</v>
      </c>
      <c r="J471" t="str">
        <f>VLOOKUP($C471,Table1[],2,FALSE)</f>
        <v>Men's Sports Shorts</v>
      </c>
      <c r="K471" t="str">
        <f>VLOOKUP($C471,Table1[],3,FALSE)</f>
        <v>Clothing</v>
      </c>
      <c r="L471" t="str">
        <f>VLOOKUP($C471,Table1[],4,FALSE)</f>
        <v>Bottoms</v>
      </c>
      <c r="M471" t="str">
        <f>VLOOKUP($C471,Table1[],5,FALSE)</f>
        <v>Fitzpatrick Ltd</v>
      </c>
      <c r="N471">
        <f>VLOOKUP($C471,Table1[],6,FALSE)</f>
        <v>218.22</v>
      </c>
      <c r="O471">
        <f>VLOOKUP($C471,Table1[],7,FALSE)</f>
        <v>224</v>
      </c>
      <c r="P471" t="str">
        <f>_xlfn.XLOOKUP($B471,Table3[Store_ID],Table3[Store_Name])</f>
        <v>Hill, Wagner and Ballard</v>
      </c>
      <c r="Q471" t="str" cm="1">
        <f t="array" ref="Q471">_xlfn.XLOOKUP($B471,Store_Dim!$A$2:$A$21,Table3[Region])</f>
        <v>East</v>
      </c>
      <c r="R471" t="str" cm="1">
        <f t="array" ref="R471">_xlfn.XLOOKUP($B471,Store_Dim!$A$2:$A$21,Table3[Store_Type])</f>
        <v>Online</v>
      </c>
      <c r="S471">
        <f>VLOOKUP(Table7[[#This Row],[Customer ID]],Table6[[Customer_ID]:[Total_Amount]],8,FALSE)</f>
        <v>2850.1122</v>
      </c>
    </row>
    <row r="472" spans="1:19" x14ac:dyDescent="0.3">
      <c r="A472" t="s">
        <v>1453</v>
      </c>
      <c r="B472" t="str">
        <f>_xlfn.XLOOKUP(Table7[[#This Row],[Customer ID]],Table6[Customer_ID],Table6[Store_ID])</f>
        <v>STORE16</v>
      </c>
      <c r="C472" t="str">
        <f>_xlfn.XLOOKUP(Table7[[#This Row],[Customer ID]],Table6[Customer_ID],Table6[Product_ID])</f>
        <v>PROD76</v>
      </c>
      <c r="D472" t="str">
        <f>VLOOKUP(Table7[[#This Row],[Customer ID]],Table4[#All],2,FALSE)</f>
        <v>Andrea Harris</v>
      </c>
      <c r="E472">
        <f>VLOOKUP($A472,Table4[],3,FALSE)</f>
        <v>41</v>
      </c>
      <c r="F472" t="str">
        <f>VLOOKUP($A472,Table4[],4,FALSE)</f>
        <v>Female</v>
      </c>
      <c r="G472" t="str">
        <f>VLOOKUP($A472,Table4[],5,FALSE)</f>
        <v>West Kelseyberg</v>
      </c>
      <c r="H472" t="str">
        <f>VLOOKUP($A472,Table4[],6,FALSE)</f>
        <v>Kansas</v>
      </c>
      <c r="I472" t="str">
        <f>VLOOKUP($A472,Table4[],8,FALSE)</f>
        <v>Platinum</v>
      </c>
      <c r="J472" t="str">
        <f>VLOOKUP($C472,Table1[],2,FALSE)</f>
        <v>Wireless Mouse</v>
      </c>
      <c r="K472" t="str">
        <f>VLOOKUP($C472,Table1[],3,FALSE)</f>
        <v>Electronics</v>
      </c>
      <c r="L472" t="str">
        <f>VLOOKUP($C472,Table1[],4,FALSE)</f>
        <v>Computer</v>
      </c>
      <c r="M472" t="str">
        <f>VLOOKUP($C472,Table1[],5,FALSE)</f>
        <v>Larson Ltd</v>
      </c>
      <c r="N472">
        <f>VLOOKUP($C472,Table1[],6,FALSE)</f>
        <v>392.89</v>
      </c>
      <c r="O472">
        <f>VLOOKUP($C472,Table1[],7,FALSE)</f>
        <v>320</v>
      </c>
      <c r="P472" t="str">
        <f>_xlfn.XLOOKUP($B472,Table3[Store_ID],Table3[Store_Name])</f>
        <v>Frederick-Wright</v>
      </c>
      <c r="Q472" t="str" cm="1">
        <f t="array" ref="Q472">_xlfn.XLOOKUP($B472,Store_Dim!$A$2:$A$21,Table3[Region])</f>
        <v>West</v>
      </c>
      <c r="R472" t="str" cm="1">
        <f t="array" ref="R472">_xlfn.XLOOKUP($B472,Store_Dim!$A$2:$A$21,Table3[Store_Type])</f>
        <v>Flagship</v>
      </c>
      <c r="S472">
        <f>VLOOKUP(Table7[[#This Row],[Customer ID]],Table6[[Customer_ID]:[Total_Amount]],8,FALSE)</f>
        <v>2148.2759999999989</v>
      </c>
    </row>
    <row r="473" spans="1:19" x14ac:dyDescent="0.3">
      <c r="A473" t="s">
        <v>1456</v>
      </c>
      <c r="B473" t="str">
        <f>_xlfn.XLOOKUP(Table7[[#This Row],[Customer ID]],Table6[Customer_ID],Table6[Store_ID])</f>
        <v>STORE12</v>
      </c>
      <c r="C473" t="str">
        <f>_xlfn.XLOOKUP(Table7[[#This Row],[Customer ID]],Table6[Customer_ID],Table6[Product_ID])</f>
        <v>PROD39</v>
      </c>
      <c r="D473" t="str">
        <f>VLOOKUP(Table7[[#This Row],[Customer ID]],Table4[#All],2,FALSE)</f>
        <v>Earl Smith Dds</v>
      </c>
      <c r="E473">
        <f>VLOOKUP($A473,Table4[],3,FALSE)</f>
        <v>59</v>
      </c>
      <c r="F473" t="str">
        <f>VLOOKUP($A473,Table4[],4,FALSE)</f>
        <v>Male</v>
      </c>
      <c r="G473" t="str">
        <f>VLOOKUP($A473,Table4[],5,FALSE)</f>
        <v>West Sarah</v>
      </c>
      <c r="H473" t="str">
        <f>VLOOKUP($A473,Table4[],6,FALSE)</f>
        <v>South Dakota</v>
      </c>
      <c r="I473" t="str">
        <f>VLOOKUP($A473,Table4[],8,FALSE)</f>
        <v>Gold</v>
      </c>
      <c r="J473" t="str">
        <f>VLOOKUP($C473,Table1[],2,FALSE)</f>
        <v>Portable Power Bank</v>
      </c>
      <c r="K473" t="str">
        <f>VLOOKUP($C473,Table1[],3,FALSE)</f>
        <v>Electronics</v>
      </c>
      <c r="L473" t="str">
        <f>VLOOKUP($C473,Table1[],4,FALSE)</f>
        <v>Mobile</v>
      </c>
      <c r="M473" t="str">
        <f>VLOOKUP($C473,Table1[],5,FALSE)</f>
        <v>Cummings and Sons</v>
      </c>
      <c r="N473">
        <f>VLOOKUP($C473,Table1[],6,FALSE)</f>
        <v>326.06</v>
      </c>
      <c r="O473">
        <f>VLOOKUP($C473,Table1[],7,FALSE)</f>
        <v>301</v>
      </c>
      <c r="P473" t="str">
        <f>_xlfn.XLOOKUP($B473,Table3[Store_ID],Table3[Store_Name])</f>
        <v>Thomas, Bridges and Harris</v>
      </c>
      <c r="Q473" t="str" cm="1">
        <f t="array" ref="Q473">_xlfn.XLOOKUP($B473,Store_Dim!$A$2:$A$21,Table3[Region])</f>
        <v>North</v>
      </c>
      <c r="R473" t="str" cm="1">
        <f t="array" ref="R473">_xlfn.XLOOKUP($B473,Store_Dim!$A$2:$A$21,Table3[Store_Type])</f>
        <v>Online</v>
      </c>
      <c r="S473">
        <f>VLOOKUP(Table7[[#This Row],[Customer ID]],Table6[[Customer_ID]:[Total_Amount]],8,FALSE)</f>
        <v>2089.8951000000002</v>
      </c>
    </row>
    <row r="474" spans="1:19" x14ac:dyDescent="0.3">
      <c r="A474" t="s">
        <v>1458</v>
      </c>
      <c r="B474" t="str">
        <f>_xlfn.XLOOKUP(Table7[[#This Row],[Customer ID]],Table6[Customer_ID],Table6[Store_ID])</f>
        <v>STORE1</v>
      </c>
      <c r="C474" t="str">
        <f>_xlfn.XLOOKUP(Table7[[#This Row],[Customer ID]],Table6[Customer_ID],Table6[Product_ID])</f>
        <v>PROD74</v>
      </c>
      <c r="D474" t="str">
        <f>VLOOKUP(Table7[[#This Row],[Customer ID]],Table4[#All],2,FALSE)</f>
        <v>Dylan Gutierrez</v>
      </c>
      <c r="E474">
        <f>VLOOKUP($A474,Table4[],3,FALSE)</f>
        <v>40</v>
      </c>
      <c r="F474" t="str">
        <f>VLOOKUP($A474,Table4[],4,FALSE)</f>
        <v>Male</v>
      </c>
      <c r="G474" t="str">
        <f>VLOOKUP($A474,Table4[],5,FALSE)</f>
        <v>New Jamesview</v>
      </c>
      <c r="H474" t="str">
        <f>VLOOKUP($A474,Table4[],6,FALSE)</f>
        <v>West Virginia</v>
      </c>
      <c r="I474" t="str">
        <f>VLOOKUP($A474,Table4[],8,FALSE)</f>
        <v>Bronze</v>
      </c>
      <c r="J474" t="str">
        <f>VLOOKUP($C474,Table1[],2,FALSE)</f>
        <v>Bluetooth Car Audio System</v>
      </c>
      <c r="K474" t="str">
        <f>VLOOKUP($C474,Table1[],3,FALSE)</f>
        <v>Electronics</v>
      </c>
      <c r="L474" t="str">
        <f>VLOOKUP($C474,Table1[],4,FALSE)</f>
        <v>Audio</v>
      </c>
      <c r="M474" t="str">
        <f>VLOOKUP($C474,Table1[],5,FALSE)</f>
        <v>Bruce-Bowen</v>
      </c>
      <c r="N474">
        <f>VLOOKUP($C474,Table1[],6,FALSE)</f>
        <v>403.71</v>
      </c>
      <c r="O474">
        <f>VLOOKUP($C474,Table1[],7,FALSE)</f>
        <v>159</v>
      </c>
      <c r="P474" t="str">
        <f>_xlfn.XLOOKUP($B474,Table3[Store_ID],Table3[Store_Name])</f>
        <v>Martinez, Adkins and Johnson</v>
      </c>
      <c r="Q474" t="str" cm="1">
        <f t="array" ref="Q474">_xlfn.XLOOKUP($B474,Store_Dim!$A$2:$A$21,Table3[Region])</f>
        <v>North</v>
      </c>
      <c r="R474" t="str" cm="1">
        <f t="array" ref="R474">_xlfn.XLOOKUP($B474,Store_Dim!$A$2:$A$21,Table3[Store_Type])</f>
        <v>Flagship</v>
      </c>
      <c r="S474">
        <f>VLOOKUP(Table7[[#This Row],[Customer ID]],Table6[[Customer_ID]:[Total_Amount]],8,FALSE)</f>
        <v>1475.0916</v>
      </c>
    </row>
    <row r="475" spans="1:19" x14ac:dyDescent="0.3">
      <c r="A475" t="s">
        <v>1461</v>
      </c>
      <c r="B475" t="str">
        <f>_xlfn.XLOOKUP(Table7[[#This Row],[Customer ID]],Table6[Customer_ID],Table6[Store_ID])</f>
        <v>STORE3</v>
      </c>
      <c r="C475" t="str">
        <f>_xlfn.XLOOKUP(Table7[[#This Row],[Customer ID]],Table6[Customer_ID],Table6[Product_ID])</f>
        <v>PROD65</v>
      </c>
      <c r="D475" t="str">
        <f>VLOOKUP(Table7[[#This Row],[Customer ID]],Table4[#All],2,FALSE)</f>
        <v>Jordan Medina</v>
      </c>
      <c r="E475">
        <f>VLOOKUP($A475,Table4[],3,FALSE)</f>
        <v>33</v>
      </c>
      <c r="F475" t="str">
        <f>VLOOKUP($A475,Table4[],4,FALSE)</f>
        <v>Male</v>
      </c>
      <c r="G475" t="str">
        <f>VLOOKUP($A475,Table4[],5,FALSE)</f>
        <v>Robinchester</v>
      </c>
      <c r="H475" t="str">
        <f>VLOOKUP($A475,Table4[],6,FALSE)</f>
        <v>Florida</v>
      </c>
      <c r="I475" t="str">
        <f>VLOOKUP($A475,Table4[],8,FALSE)</f>
        <v>Bronze</v>
      </c>
      <c r="J475" t="str">
        <f>VLOOKUP($C475,Table1[],2,FALSE)</f>
        <v>Adjustable Dumbbells 20kg</v>
      </c>
      <c r="K475" t="str">
        <f>VLOOKUP($C475,Table1[],3,FALSE)</f>
        <v>Sports</v>
      </c>
      <c r="L475" t="str">
        <f>VLOOKUP($C475,Table1[],4,FALSE)</f>
        <v>Fitness</v>
      </c>
      <c r="M475" t="str">
        <f>VLOOKUP($C475,Table1[],5,FALSE)</f>
        <v>Montgomery, Benton and Miller</v>
      </c>
      <c r="N475">
        <f>VLOOKUP($C475,Table1[],6,FALSE)</f>
        <v>240.63</v>
      </c>
      <c r="O475">
        <f>VLOOKUP($C475,Table1[],7,FALSE)</f>
        <v>423</v>
      </c>
      <c r="P475" t="str">
        <f>_xlfn.XLOOKUP($B475,Table3[Store_ID],Table3[Store_Name])</f>
        <v>Johnson-Wright</v>
      </c>
      <c r="Q475" t="str" cm="1">
        <f t="array" ref="Q475">_xlfn.XLOOKUP($B475,Store_Dim!$A$2:$A$21,Table3[Region])</f>
        <v>North</v>
      </c>
      <c r="R475" t="str" cm="1">
        <f t="array" ref="R475">_xlfn.XLOOKUP($B475,Store_Dim!$A$2:$A$21,Table3[Store_Type])</f>
        <v>Outlet</v>
      </c>
      <c r="S475">
        <f>VLOOKUP(Table7[[#This Row],[Customer ID]],Table6[[Customer_ID]:[Total_Amount]],8,FALSE)</f>
        <v>774.18000000000006</v>
      </c>
    </row>
    <row r="476" spans="1:19" x14ac:dyDescent="0.3">
      <c r="A476" t="s">
        <v>1464</v>
      </c>
      <c r="B476" t="str">
        <f>_xlfn.XLOOKUP(Table7[[#This Row],[Customer ID]],Table6[Customer_ID],Table6[Store_ID])</f>
        <v>STORE14</v>
      </c>
      <c r="C476" t="str">
        <f>_xlfn.XLOOKUP(Table7[[#This Row],[Customer ID]],Table6[Customer_ID],Table6[Product_ID])</f>
        <v>PROD62</v>
      </c>
      <c r="D476" t="str">
        <f>VLOOKUP(Table7[[#This Row],[Customer ID]],Table4[#All],2,FALSE)</f>
        <v>Bryan Tran</v>
      </c>
      <c r="E476">
        <f>VLOOKUP($A476,Table4[],3,FALSE)</f>
        <v>21</v>
      </c>
      <c r="F476" t="str">
        <f>VLOOKUP($A476,Table4[],4,FALSE)</f>
        <v>Male</v>
      </c>
      <c r="G476" t="str">
        <f>VLOOKUP($A476,Table4[],5,FALSE)</f>
        <v>Kelseybury</v>
      </c>
      <c r="H476" t="str">
        <f>VLOOKUP($A476,Table4[],6,FALSE)</f>
        <v>Georgia</v>
      </c>
      <c r="I476" t="str">
        <f>VLOOKUP($A476,Table4[],8,FALSE)</f>
        <v>Gold</v>
      </c>
      <c r="J476" t="str">
        <f>VLOOKUP($C476,Table1[],2,FALSE)</f>
        <v>Laptop Cooling Pad</v>
      </c>
      <c r="K476" t="str">
        <f>VLOOKUP($C476,Table1[],3,FALSE)</f>
        <v>Electronics</v>
      </c>
      <c r="L476" t="str">
        <f>VLOOKUP($C476,Table1[],4,FALSE)</f>
        <v>Computer</v>
      </c>
      <c r="M476" t="str">
        <f>VLOOKUP($C476,Table1[],5,FALSE)</f>
        <v>Murray, Gould and Ware</v>
      </c>
      <c r="N476">
        <f>VLOOKUP($C476,Table1[],6,FALSE)</f>
        <v>86.42</v>
      </c>
      <c r="O476">
        <f>VLOOKUP($C476,Table1[],7,FALSE)</f>
        <v>222</v>
      </c>
      <c r="P476" t="str">
        <f>_xlfn.XLOOKUP($B476,Table3[Store_ID],Table3[Store_Name])</f>
        <v>Mcdonald Inc</v>
      </c>
      <c r="Q476" t="str" cm="1">
        <f t="array" ref="Q476">_xlfn.XLOOKUP($B476,Store_Dim!$A$2:$A$21,Table3[Region])</f>
        <v>South</v>
      </c>
      <c r="R476" t="str" cm="1">
        <f t="array" ref="R476">_xlfn.XLOOKUP($B476,Store_Dim!$A$2:$A$21,Table3[Store_Type])</f>
        <v>Outlet</v>
      </c>
      <c r="S476">
        <f>VLOOKUP(Table7[[#This Row],[Customer ID]],Table6[[Customer_ID]:[Total_Amount]],8,FALSE)</f>
        <v>1625.2544</v>
      </c>
    </row>
    <row r="477" spans="1:19" x14ac:dyDescent="0.3">
      <c r="A477" t="s">
        <v>1467</v>
      </c>
      <c r="B477" t="str">
        <f>_xlfn.XLOOKUP(Table7[[#This Row],[Customer ID]],Table6[Customer_ID],Table6[Store_ID])</f>
        <v>STORE2</v>
      </c>
      <c r="C477" t="str">
        <f>_xlfn.XLOOKUP(Table7[[#This Row],[Customer ID]],Table6[Customer_ID],Table6[Product_ID])</f>
        <v>PROD68</v>
      </c>
      <c r="D477" t="str">
        <f>VLOOKUP(Table7[[#This Row],[Customer ID]],Table4[#All],2,FALSE)</f>
        <v>Sheri Joyce</v>
      </c>
      <c r="E477">
        <f>VLOOKUP($A477,Table4[],3,FALSE)</f>
        <v>26</v>
      </c>
      <c r="F477" t="str">
        <f>VLOOKUP($A477,Table4[],4,FALSE)</f>
        <v>Male</v>
      </c>
      <c r="G477" t="str">
        <f>VLOOKUP($A477,Table4[],5,FALSE)</f>
        <v>West Tylerfort</v>
      </c>
      <c r="H477" t="str">
        <f>VLOOKUP($A477,Table4[],6,FALSE)</f>
        <v>Kentucky</v>
      </c>
      <c r="I477" t="str">
        <f>VLOOKUP($A477,Table4[],8,FALSE)</f>
        <v>Platinum</v>
      </c>
      <c r="J477" t="str">
        <f>VLOOKUP($C477,Table1[],2,FALSE)</f>
        <v>Wooden Nightstand</v>
      </c>
      <c r="K477" t="str">
        <f>VLOOKUP($C477,Table1[],3,FALSE)</f>
        <v>Home</v>
      </c>
      <c r="L477" t="str">
        <f>VLOOKUP($C477,Table1[],4,FALSE)</f>
        <v>Furniture</v>
      </c>
      <c r="M477" t="str">
        <f>VLOOKUP($C477,Table1[],5,FALSE)</f>
        <v>Wolfe, Ross and Hester</v>
      </c>
      <c r="N477">
        <f>VLOOKUP($C477,Table1[],6,FALSE)</f>
        <v>243.7</v>
      </c>
      <c r="O477">
        <f>VLOOKUP($C477,Table1[],7,FALSE)</f>
        <v>130</v>
      </c>
      <c r="P477" t="str">
        <f>_xlfn.XLOOKUP($B477,Table3[Store_ID],Table3[Store_Name])</f>
        <v>Black-Horn</v>
      </c>
      <c r="Q477" t="str" cm="1">
        <f t="array" ref="Q477">_xlfn.XLOOKUP($B477,Store_Dim!$A$2:$A$21,Table3[Region])</f>
        <v>South</v>
      </c>
      <c r="R477" t="str" cm="1">
        <f t="array" ref="R477">_xlfn.XLOOKUP($B477,Store_Dim!$A$2:$A$21,Table3[Store_Type])</f>
        <v>Outlet</v>
      </c>
      <c r="S477">
        <f>VLOOKUP(Table7[[#This Row],[Customer ID]],Table6[[Customer_ID]:[Total_Amount]],8,FALSE)</f>
        <v>497.76479999999998</v>
      </c>
    </row>
    <row r="478" spans="1:19" x14ac:dyDescent="0.3">
      <c r="A478" t="s">
        <v>1470</v>
      </c>
      <c r="B478" t="str">
        <f>_xlfn.XLOOKUP(Table7[[#This Row],[Customer ID]],Table6[Customer_ID],Table6[Store_ID])</f>
        <v>STORE2</v>
      </c>
      <c r="C478" t="str">
        <f>_xlfn.XLOOKUP(Table7[[#This Row],[Customer ID]],Table6[Customer_ID],Table6[Product_ID])</f>
        <v>PROD12</v>
      </c>
      <c r="D478" t="str">
        <f>VLOOKUP(Table7[[#This Row],[Customer ID]],Table4[#All],2,FALSE)</f>
        <v>Sarah Smith</v>
      </c>
      <c r="E478">
        <f>VLOOKUP($A478,Table4[],3,FALSE)</f>
        <v>48</v>
      </c>
      <c r="F478" t="str">
        <f>VLOOKUP($A478,Table4[],4,FALSE)</f>
        <v>Male</v>
      </c>
      <c r="G478" t="str">
        <f>VLOOKUP($A478,Table4[],5,FALSE)</f>
        <v>East Rodney</v>
      </c>
      <c r="H478" t="str">
        <f>VLOOKUP($A478,Table4[],6,FALSE)</f>
        <v>Nevada</v>
      </c>
      <c r="I478" t="str">
        <f>VLOOKUP($A478,Table4[],8,FALSE)</f>
        <v>Gold</v>
      </c>
      <c r="J478" t="str">
        <f>VLOOKUP($C478,Table1[],2,FALSE)</f>
        <v>Hair Strengthening Shampoo</v>
      </c>
      <c r="K478" t="str">
        <f>VLOOKUP($C478,Table1[],3,FALSE)</f>
        <v>Beauty</v>
      </c>
      <c r="L478" t="str">
        <f>VLOOKUP($C478,Table1[],4,FALSE)</f>
        <v>Haircare</v>
      </c>
      <c r="M478" t="str">
        <f>VLOOKUP($C478,Table1[],5,FALSE)</f>
        <v>Rice LLC</v>
      </c>
      <c r="N478">
        <f>VLOOKUP($C478,Table1[],6,FALSE)</f>
        <v>115.82</v>
      </c>
      <c r="O478">
        <f>VLOOKUP($C478,Table1[],7,FALSE)</f>
        <v>460</v>
      </c>
      <c r="P478" t="str">
        <f>_xlfn.XLOOKUP($B478,Table3[Store_ID],Table3[Store_Name])</f>
        <v>Black-Horn</v>
      </c>
      <c r="Q478" t="str" cm="1">
        <f t="array" ref="Q478">_xlfn.XLOOKUP($B478,Store_Dim!$A$2:$A$21,Table3[Region])</f>
        <v>South</v>
      </c>
      <c r="R478" t="str" cm="1">
        <f t="array" ref="R478">_xlfn.XLOOKUP($B478,Store_Dim!$A$2:$A$21,Table3[Store_Type])</f>
        <v>Outlet</v>
      </c>
      <c r="S478">
        <f>VLOOKUP(Table7[[#This Row],[Customer ID]],Table6[[Customer_ID]:[Total_Amount]],8,FALSE)</f>
        <v>791.33600000000001</v>
      </c>
    </row>
    <row r="479" spans="1:19" x14ac:dyDescent="0.3">
      <c r="A479" t="s">
        <v>1472</v>
      </c>
      <c r="B479" t="str">
        <f>_xlfn.XLOOKUP(Table7[[#This Row],[Customer ID]],Table6[Customer_ID],Table6[Store_ID])</f>
        <v>STORE18</v>
      </c>
      <c r="C479" t="str">
        <f>_xlfn.XLOOKUP(Table7[[#This Row],[Customer ID]],Table6[Customer_ID],Table6[Product_ID])</f>
        <v>PROD77</v>
      </c>
      <c r="D479" t="str">
        <f>VLOOKUP(Table7[[#This Row],[Customer ID]],Table4[#All],2,FALSE)</f>
        <v>Jessica Castro</v>
      </c>
      <c r="E479">
        <f>VLOOKUP($A479,Table4[],3,FALSE)</f>
        <v>32</v>
      </c>
      <c r="F479" t="str">
        <f>VLOOKUP($A479,Table4[],4,FALSE)</f>
        <v>Male</v>
      </c>
      <c r="G479" t="str">
        <f>VLOOKUP($A479,Table4[],5,FALSE)</f>
        <v>West Markton</v>
      </c>
      <c r="H479" t="str">
        <f>VLOOKUP($A479,Table4[],6,FALSE)</f>
        <v>Massachusetts</v>
      </c>
      <c r="I479" t="str">
        <f>VLOOKUP($A479,Table4[],8,FALSE)</f>
        <v>Bronze</v>
      </c>
      <c r="J479" t="str">
        <f>VLOOKUP($C479,Table1[],2,FALSE)</f>
        <v>WiFi Mesh Router</v>
      </c>
      <c r="K479" t="str">
        <f>VLOOKUP($C479,Table1[],3,FALSE)</f>
        <v>Electronics</v>
      </c>
      <c r="L479" t="str">
        <f>VLOOKUP($C479,Table1[],4,FALSE)</f>
        <v>Appliances</v>
      </c>
      <c r="M479" t="str">
        <f>VLOOKUP($C479,Table1[],5,FALSE)</f>
        <v>White, Reeves and Woods</v>
      </c>
      <c r="N479">
        <f>VLOOKUP($C479,Table1[],6,FALSE)</f>
        <v>480.9</v>
      </c>
      <c r="O479">
        <f>VLOOKUP($C479,Table1[],7,FALSE)</f>
        <v>104</v>
      </c>
      <c r="P479" t="str">
        <f>_xlfn.XLOOKUP($B479,Table3[Store_ID],Table3[Store_Name])</f>
        <v>Guerrero-Schmitt</v>
      </c>
      <c r="Q479" t="str" cm="1">
        <f t="array" ref="Q479">_xlfn.XLOOKUP($B479,Store_Dim!$A$2:$A$21,Table3[Region])</f>
        <v>East</v>
      </c>
      <c r="R479" t="str" cm="1">
        <f t="array" ref="R479">_xlfn.XLOOKUP($B479,Store_Dim!$A$2:$A$21,Table3[Store_Type])</f>
        <v>Flagship</v>
      </c>
      <c r="S479">
        <f>VLOOKUP(Table7[[#This Row],[Customer ID]],Table6[[Customer_ID]:[Total_Amount]],8,FALSE)</f>
        <v>1741.5192</v>
      </c>
    </row>
    <row r="480" spans="1:19" x14ac:dyDescent="0.3">
      <c r="A480" t="s">
        <v>1475</v>
      </c>
      <c r="B480" t="str">
        <f>_xlfn.XLOOKUP(Table7[[#This Row],[Customer ID]],Table6[Customer_ID],Table6[Store_ID])</f>
        <v>STORE2</v>
      </c>
      <c r="C480" t="str">
        <f>_xlfn.XLOOKUP(Table7[[#This Row],[Customer ID]],Table6[Customer_ID],Table6[Product_ID])</f>
        <v>PROD26</v>
      </c>
      <c r="D480" t="str">
        <f>VLOOKUP(Table7[[#This Row],[Customer ID]],Table4[#All],2,FALSE)</f>
        <v>Sara Ingram</v>
      </c>
      <c r="E480">
        <f>VLOOKUP($A480,Table4[],3,FALSE)</f>
        <v>46</v>
      </c>
      <c r="F480" t="str">
        <f>VLOOKUP($A480,Table4[],4,FALSE)</f>
        <v>Female</v>
      </c>
      <c r="G480" t="str">
        <f>VLOOKUP($A480,Table4[],5,FALSE)</f>
        <v>East Dillonview</v>
      </c>
      <c r="H480" t="str">
        <f>VLOOKUP($A480,Table4[],6,FALSE)</f>
        <v>Virginia</v>
      </c>
      <c r="I480" t="str">
        <f>VLOOKUP($A480,Table4[],8,FALSE)</f>
        <v>Bronze</v>
      </c>
      <c r="J480" t="str">
        <f>VLOOKUP($C480,Table1[],2,FALSE)</f>
        <v>Wireless Bluetooth Speaker</v>
      </c>
      <c r="K480" t="str">
        <f>VLOOKUP($C480,Table1[],3,FALSE)</f>
        <v>Electronics</v>
      </c>
      <c r="L480" t="str">
        <f>VLOOKUP($C480,Table1[],4,FALSE)</f>
        <v>Audio</v>
      </c>
      <c r="M480" t="str">
        <f>VLOOKUP($C480,Table1[],5,FALSE)</f>
        <v>Reed-Schmidt</v>
      </c>
      <c r="N480">
        <f>VLOOKUP($C480,Table1[],6,FALSE)</f>
        <v>322.41000000000003</v>
      </c>
      <c r="O480">
        <f>VLOOKUP($C480,Table1[],7,FALSE)</f>
        <v>213</v>
      </c>
      <c r="P480" t="str">
        <f>_xlfn.XLOOKUP($B480,Table3[Store_ID],Table3[Store_Name])</f>
        <v>Black-Horn</v>
      </c>
      <c r="Q480" t="str" cm="1">
        <f t="array" ref="Q480">_xlfn.XLOOKUP($B480,Store_Dim!$A$2:$A$21,Table3[Region])</f>
        <v>South</v>
      </c>
      <c r="R480" t="str" cm="1">
        <f t="array" ref="R480">_xlfn.XLOOKUP($B480,Store_Dim!$A$2:$A$21,Table3[Store_Type])</f>
        <v>Outlet</v>
      </c>
      <c r="S480">
        <f>VLOOKUP(Table7[[#This Row],[Customer ID]],Table6[[Customer_ID]:[Total_Amount]],8,FALSE)</f>
        <v>1068.2460000000001</v>
      </c>
    </row>
    <row r="481" spans="1:19" x14ac:dyDescent="0.3">
      <c r="A481" t="s">
        <v>1478</v>
      </c>
      <c r="B481" t="str">
        <f>_xlfn.XLOOKUP(Table7[[#This Row],[Customer ID]],Table6[Customer_ID],Table6[Store_ID])</f>
        <v>STORE17</v>
      </c>
      <c r="C481" t="str">
        <f>_xlfn.XLOOKUP(Table7[[#This Row],[Customer ID]],Table6[Customer_ID],Table6[Product_ID])</f>
        <v>PROD40</v>
      </c>
      <c r="D481" t="str">
        <f>VLOOKUP(Table7[[#This Row],[Customer ID]],Table4[#All],2,FALSE)</f>
        <v>Eric Lee</v>
      </c>
      <c r="E481">
        <f>VLOOKUP($A481,Table4[],3,FALSE)</f>
        <v>22</v>
      </c>
      <c r="F481" t="str">
        <f>VLOOKUP($A481,Table4[],4,FALSE)</f>
        <v>Female</v>
      </c>
      <c r="G481" t="str">
        <f>VLOOKUP($A481,Table4[],5,FALSE)</f>
        <v>Lake April</v>
      </c>
      <c r="H481" t="str">
        <f>VLOOKUP($A481,Table4[],6,FALSE)</f>
        <v>Vermont</v>
      </c>
      <c r="I481" t="str">
        <f>VLOOKUP($A481,Table4[],8,FALSE)</f>
        <v>Bronze</v>
      </c>
      <c r="J481" t="str">
        <f>VLOOKUP($C481,Table1[],2,FALSE)</f>
        <v>Noise-Canceling Headphones</v>
      </c>
      <c r="K481" t="str">
        <f>VLOOKUP($C481,Table1[],3,FALSE)</f>
        <v>Electronics</v>
      </c>
      <c r="L481" t="str">
        <f>VLOOKUP($C481,Table1[],4,FALSE)</f>
        <v>Audio</v>
      </c>
      <c r="M481" t="str">
        <f>VLOOKUP($C481,Table1[],5,FALSE)</f>
        <v>Taylor-Hart</v>
      </c>
      <c r="N481">
        <f>VLOOKUP($C481,Table1[],6,FALSE)</f>
        <v>38.520000000000003</v>
      </c>
      <c r="O481">
        <f>VLOOKUP($C481,Table1[],7,FALSE)</f>
        <v>378</v>
      </c>
      <c r="P481" t="str">
        <f>_xlfn.XLOOKUP($B481,Table3[Store_ID],Table3[Store_Name])</f>
        <v>Holloway Ltd</v>
      </c>
      <c r="Q481" t="str" cm="1">
        <f t="array" ref="Q481">_xlfn.XLOOKUP($B481,Store_Dim!$A$2:$A$21,Table3[Region])</f>
        <v>North</v>
      </c>
      <c r="R481" t="str" cm="1">
        <f t="array" ref="R481">_xlfn.XLOOKUP($B481,Store_Dim!$A$2:$A$21,Table3[Store_Type])</f>
        <v>Flagship</v>
      </c>
      <c r="S481">
        <f>VLOOKUP(Table7[[#This Row],[Customer ID]],Table6[[Customer_ID]:[Total_Amount]],8,FALSE)</f>
        <v>1730.1479999999999</v>
      </c>
    </row>
    <row r="482" spans="1:19" x14ac:dyDescent="0.3">
      <c r="A482" t="s">
        <v>1484</v>
      </c>
      <c r="B482" t="str">
        <f>_xlfn.XLOOKUP(Table7[[#This Row],[Customer ID]],Table6[Customer_ID],Table6[Store_ID])</f>
        <v>STORE12</v>
      </c>
      <c r="C482" t="str">
        <f>_xlfn.XLOOKUP(Table7[[#This Row],[Customer ID]],Table6[Customer_ID],Table6[Product_ID])</f>
        <v>PROD78</v>
      </c>
      <c r="D482" t="str">
        <f>VLOOKUP(Table7[[#This Row],[Customer ID]],Table4[#All],2,FALSE)</f>
        <v>Zachary Andrade</v>
      </c>
      <c r="E482">
        <f>VLOOKUP($A482,Table4[],3,FALSE)</f>
        <v>23</v>
      </c>
      <c r="F482" t="str">
        <f>VLOOKUP($A482,Table4[],4,FALSE)</f>
        <v>Female</v>
      </c>
      <c r="G482" t="str">
        <f>VLOOKUP($A482,Table4[],5,FALSE)</f>
        <v>South Davidport</v>
      </c>
      <c r="H482" t="str">
        <f>VLOOKUP($A482,Table4[],6,FALSE)</f>
        <v>California</v>
      </c>
      <c r="I482" t="str">
        <f>VLOOKUP($A482,Table4[],8,FALSE)</f>
        <v>Platinum</v>
      </c>
      <c r="J482" t="str">
        <f>VLOOKUP($C482,Table1[],2,FALSE)</f>
        <v>Essential Oil Diffuser</v>
      </c>
      <c r="K482" t="str">
        <f>VLOOKUP($C482,Table1[],3,FALSE)</f>
        <v>Home</v>
      </c>
      <c r="L482" t="str">
        <f>VLOOKUP($C482,Table1[],4,FALSE)</f>
        <v>Decor</v>
      </c>
      <c r="M482" t="str">
        <f>VLOOKUP($C482,Table1[],5,FALSE)</f>
        <v>Hernandez Inc</v>
      </c>
      <c r="N482">
        <f>VLOOKUP($C482,Table1[],6,FALSE)</f>
        <v>325.26</v>
      </c>
      <c r="O482">
        <f>VLOOKUP($C482,Table1[],7,FALSE)</f>
        <v>400</v>
      </c>
      <c r="P482" t="str">
        <f>_xlfn.XLOOKUP($B482,Table3[Store_ID],Table3[Store_Name])</f>
        <v>Thomas, Bridges and Harris</v>
      </c>
      <c r="Q482" t="str" cm="1">
        <f t="array" ref="Q482">_xlfn.XLOOKUP($B482,Store_Dim!$A$2:$A$21,Table3[Region])</f>
        <v>North</v>
      </c>
      <c r="R482" t="str" cm="1">
        <f t="array" ref="R482">_xlfn.XLOOKUP($B482,Store_Dim!$A$2:$A$21,Table3[Store_Type])</f>
        <v>Online</v>
      </c>
      <c r="S482">
        <f>VLOOKUP(Table7[[#This Row],[Customer ID]],Table6[[Customer_ID]:[Total_Amount]],8,FALSE)</f>
        <v>216.44739999999999</v>
      </c>
    </row>
    <row r="483" spans="1:19" x14ac:dyDescent="0.3">
      <c r="A483" t="s">
        <v>1487</v>
      </c>
      <c r="B483" t="str">
        <f>_xlfn.XLOOKUP(Table7[[#This Row],[Customer ID]],Table6[Customer_ID],Table6[Store_ID])</f>
        <v>STORE3</v>
      </c>
      <c r="C483" t="str">
        <f>_xlfn.XLOOKUP(Table7[[#This Row],[Customer ID]],Table6[Customer_ID],Table6[Product_ID])</f>
        <v>PROD89</v>
      </c>
      <c r="D483" t="str">
        <f>VLOOKUP(Table7[[#This Row],[Customer ID]],Table4[#All],2,FALSE)</f>
        <v>Melinda Thomas</v>
      </c>
      <c r="E483">
        <f>VLOOKUP($A483,Table4[],3,FALSE)</f>
        <v>42</v>
      </c>
      <c r="F483" t="str">
        <f>VLOOKUP($A483,Table4[],4,FALSE)</f>
        <v>Female</v>
      </c>
      <c r="G483" t="str">
        <f>VLOOKUP($A483,Table4[],5,FALSE)</f>
        <v>Lake Elizabethside</v>
      </c>
      <c r="H483" t="str">
        <f>VLOOKUP($A483,Table4[],6,FALSE)</f>
        <v>Indiana</v>
      </c>
      <c r="I483" t="str">
        <f>VLOOKUP($A483,Table4[],8,FALSE)</f>
        <v>Silver</v>
      </c>
      <c r="J483" t="str">
        <f>VLOOKUP($C483,Table1[],2,FALSE)</f>
        <v>Face Foundation Kit</v>
      </c>
      <c r="K483" t="str">
        <f>VLOOKUP($C483,Table1[],3,FALSE)</f>
        <v>Beauty</v>
      </c>
      <c r="L483" t="str">
        <f>VLOOKUP($C483,Table1[],4,FALSE)</f>
        <v>Makeup</v>
      </c>
      <c r="M483" t="str">
        <f>VLOOKUP($C483,Table1[],5,FALSE)</f>
        <v>Taylor-Elliott</v>
      </c>
      <c r="N483">
        <f>VLOOKUP($C483,Table1[],6,FALSE)</f>
        <v>183.04</v>
      </c>
      <c r="O483">
        <f>VLOOKUP($C483,Table1[],7,FALSE)</f>
        <v>457</v>
      </c>
      <c r="P483" t="str">
        <f>_xlfn.XLOOKUP($B483,Table3[Store_ID],Table3[Store_Name])</f>
        <v>Johnson-Wright</v>
      </c>
      <c r="Q483" t="str" cm="1">
        <f t="array" ref="Q483">_xlfn.XLOOKUP($B483,Store_Dim!$A$2:$A$21,Table3[Region])</f>
        <v>North</v>
      </c>
      <c r="R483" t="str" cm="1">
        <f t="array" ref="R483">_xlfn.XLOOKUP($B483,Store_Dim!$A$2:$A$21,Table3[Store_Type])</f>
        <v>Outlet</v>
      </c>
      <c r="S483">
        <f>VLOOKUP(Table7[[#This Row],[Customer ID]],Table6[[Customer_ID]:[Total_Amount]],8,FALSE)</f>
        <v>678.84100000000001</v>
      </c>
    </row>
    <row r="484" spans="1:19" x14ac:dyDescent="0.3">
      <c r="A484" t="s">
        <v>1490</v>
      </c>
      <c r="B484" t="str">
        <f>_xlfn.XLOOKUP(Table7[[#This Row],[Customer ID]],Table6[Customer_ID],Table6[Store_ID])</f>
        <v>STORE16</v>
      </c>
      <c r="C484" t="str">
        <f>_xlfn.XLOOKUP(Table7[[#This Row],[Customer ID]],Table6[Customer_ID],Table6[Product_ID])</f>
        <v>PROD47</v>
      </c>
      <c r="D484" t="str">
        <f>VLOOKUP(Table7[[#This Row],[Customer ID]],Table4[#All],2,FALSE)</f>
        <v>Scott Harris</v>
      </c>
      <c r="E484">
        <f>VLOOKUP($A484,Table4[],3,FALSE)</f>
        <v>23</v>
      </c>
      <c r="F484" t="str">
        <f>VLOOKUP($A484,Table4[],4,FALSE)</f>
        <v>Male</v>
      </c>
      <c r="G484" t="str">
        <f>VLOOKUP($A484,Table4[],5,FALSE)</f>
        <v>North Nataliemouth</v>
      </c>
      <c r="H484" t="str">
        <f>VLOOKUP($A484,Table4[],6,FALSE)</f>
        <v>Maryland</v>
      </c>
      <c r="I484" t="str">
        <f>VLOOKUP($A484,Table4[],8,FALSE)</f>
        <v>Platinum</v>
      </c>
      <c r="J484" t="str">
        <f>VLOOKUP($C484,Table1[],2,FALSE)</f>
        <v>Makeup Brush Set</v>
      </c>
      <c r="K484" t="str">
        <f>VLOOKUP($C484,Table1[],3,FALSE)</f>
        <v>Beauty</v>
      </c>
      <c r="L484" t="str">
        <f>VLOOKUP($C484,Table1[],4,FALSE)</f>
        <v>Makeup</v>
      </c>
      <c r="M484" t="str">
        <f>VLOOKUP($C484,Table1[],5,FALSE)</f>
        <v>Cook Inc</v>
      </c>
      <c r="N484">
        <f>VLOOKUP($C484,Table1[],6,FALSE)</f>
        <v>241.07</v>
      </c>
      <c r="O484">
        <f>VLOOKUP($C484,Table1[],7,FALSE)</f>
        <v>431</v>
      </c>
      <c r="P484" t="str">
        <f>_xlfn.XLOOKUP($B484,Table3[Store_ID],Table3[Store_Name])</f>
        <v>Frederick-Wright</v>
      </c>
      <c r="Q484" t="str" cm="1">
        <f t="array" ref="Q484">_xlfn.XLOOKUP($B484,Store_Dim!$A$2:$A$21,Table3[Region])</f>
        <v>West</v>
      </c>
      <c r="R484" t="str" cm="1">
        <f t="array" ref="R484">_xlfn.XLOOKUP($B484,Store_Dim!$A$2:$A$21,Table3[Store_Type])</f>
        <v>Flagship</v>
      </c>
      <c r="S484">
        <f>VLOOKUP(Table7[[#This Row],[Customer ID]],Table6[[Customer_ID]:[Total_Amount]],8,FALSE)</f>
        <v>177.19200000000001</v>
      </c>
    </row>
    <row r="485" spans="1:19" x14ac:dyDescent="0.3">
      <c r="A485" t="s">
        <v>1493</v>
      </c>
      <c r="B485" t="str">
        <f>_xlfn.XLOOKUP(Table7[[#This Row],[Customer ID]],Table6[Customer_ID],Table6[Store_ID])</f>
        <v>STORE2</v>
      </c>
      <c r="C485" t="str">
        <f>_xlfn.XLOOKUP(Table7[[#This Row],[Customer ID]],Table6[Customer_ID],Table6[Product_ID])</f>
        <v>PROD9</v>
      </c>
      <c r="D485" t="str">
        <f>VLOOKUP(Table7[[#This Row],[Customer ID]],Table4[#All],2,FALSE)</f>
        <v>Kaitlin Brown</v>
      </c>
      <c r="E485">
        <f>VLOOKUP($A485,Table4[],3,FALSE)</f>
        <v>52</v>
      </c>
      <c r="F485" t="str">
        <f>VLOOKUP($A485,Table4[],4,FALSE)</f>
        <v>Female</v>
      </c>
      <c r="G485" t="str">
        <f>VLOOKUP($A485,Table4[],5,FALSE)</f>
        <v>Kellyberg</v>
      </c>
      <c r="H485" t="str">
        <f>VLOOKUP($A485,Table4[],6,FALSE)</f>
        <v>South Dakota</v>
      </c>
      <c r="I485" t="str">
        <f>VLOOKUP($A485,Table4[],8,FALSE)</f>
        <v>Gold</v>
      </c>
      <c r="J485" t="str">
        <f>VLOOKUP($C485,Table1[],2,FALSE)</f>
        <v>Adjustable Dumbbell Set</v>
      </c>
      <c r="K485" t="str">
        <f>VLOOKUP($C485,Table1[],3,FALSE)</f>
        <v>Sports</v>
      </c>
      <c r="L485" t="str">
        <f>VLOOKUP($C485,Table1[],4,FALSE)</f>
        <v>Fitness</v>
      </c>
      <c r="M485" t="str">
        <f>VLOOKUP($C485,Table1[],5,FALSE)</f>
        <v>Hill PLC</v>
      </c>
      <c r="N485">
        <f>VLOOKUP($C485,Table1[],6,FALSE)</f>
        <v>495.72</v>
      </c>
      <c r="O485">
        <f>VLOOKUP($C485,Table1[],7,FALSE)</f>
        <v>323</v>
      </c>
      <c r="P485" t="str">
        <f>_xlfn.XLOOKUP($B485,Table3[Store_ID],Table3[Store_Name])</f>
        <v>Black-Horn</v>
      </c>
      <c r="Q485" t="str" cm="1">
        <f t="array" ref="Q485">_xlfn.XLOOKUP($B485,Store_Dim!$A$2:$A$21,Table3[Region])</f>
        <v>South</v>
      </c>
      <c r="R485" t="str" cm="1">
        <f t="array" ref="R485">_xlfn.XLOOKUP($B485,Store_Dim!$A$2:$A$21,Table3[Store_Type])</f>
        <v>Outlet</v>
      </c>
      <c r="S485">
        <f>VLOOKUP(Table7[[#This Row],[Customer ID]],Table6[[Customer_ID]:[Total_Amount]],8,FALSE)</f>
        <v>275.36079999999998</v>
      </c>
    </row>
    <row r="486" spans="1:19" x14ac:dyDescent="0.3">
      <c r="A486" t="s">
        <v>1496</v>
      </c>
      <c r="B486" t="str">
        <f>_xlfn.XLOOKUP(Table7[[#This Row],[Customer ID]],Table6[Customer_ID],Table6[Store_ID])</f>
        <v>STORE17</v>
      </c>
      <c r="C486" t="str">
        <f>_xlfn.XLOOKUP(Table7[[#This Row],[Customer ID]],Table6[Customer_ID],Table6[Product_ID])</f>
        <v>PROD10</v>
      </c>
      <c r="D486" t="str">
        <f>VLOOKUP(Table7[[#This Row],[Customer ID]],Table4[#All],2,FALSE)</f>
        <v>Darrell Miller</v>
      </c>
      <c r="E486">
        <f>VLOOKUP($A486,Table4[],3,FALSE)</f>
        <v>59</v>
      </c>
      <c r="F486" t="str">
        <f>VLOOKUP($A486,Table4[],4,FALSE)</f>
        <v>Female</v>
      </c>
      <c r="G486" t="str">
        <f>VLOOKUP($A486,Table4[],5,FALSE)</f>
        <v>Port Carol</v>
      </c>
      <c r="H486" t="str">
        <f>VLOOKUP($A486,Table4[],6,FALSE)</f>
        <v>Florida</v>
      </c>
      <c r="I486" t="str">
        <f>VLOOKUP($A486,Table4[],8,FALSE)</f>
        <v>Platinum</v>
      </c>
      <c r="J486" t="str">
        <f>VLOOKUP($C486,Table1[],2,FALSE)</f>
        <v>Ceramic Kitchen Bowl Set</v>
      </c>
      <c r="K486" t="str">
        <f>VLOOKUP($C486,Table1[],3,FALSE)</f>
        <v>Home</v>
      </c>
      <c r="L486" t="str">
        <f>VLOOKUP($C486,Table1[],4,FALSE)</f>
        <v>Kitchen</v>
      </c>
      <c r="M486" t="str">
        <f>VLOOKUP($C486,Table1[],5,FALSE)</f>
        <v>Hamilton Group</v>
      </c>
      <c r="N486">
        <f>VLOOKUP($C486,Table1[],6,FALSE)</f>
        <v>298.86</v>
      </c>
      <c r="O486">
        <f>VLOOKUP($C486,Table1[],7,FALSE)</f>
        <v>308</v>
      </c>
      <c r="P486" t="str">
        <f>_xlfn.XLOOKUP($B486,Table3[Store_ID],Table3[Store_Name])</f>
        <v>Holloway Ltd</v>
      </c>
      <c r="Q486" t="str" cm="1">
        <f t="array" ref="Q486">_xlfn.XLOOKUP($B486,Store_Dim!$A$2:$A$21,Table3[Region])</f>
        <v>North</v>
      </c>
      <c r="R486" t="str" cm="1">
        <f t="array" ref="R486">_xlfn.XLOOKUP($B486,Store_Dim!$A$2:$A$21,Table3[Store_Type])</f>
        <v>Flagship</v>
      </c>
      <c r="S486">
        <f>VLOOKUP(Table7[[#This Row],[Customer ID]],Table6[[Customer_ID]:[Total_Amount]],8,FALSE)</f>
        <v>266.65440000000001</v>
      </c>
    </row>
    <row r="487" spans="1:19" x14ac:dyDescent="0.3">
      <c r="A487" t="s">
        <v>1499</v>
      </c>
      <c r="B487" t="str">
        <f>_xlfn.XLOOKUP(Table7[[#This Row],[Customer ID]],Table6[Customer_ID],Table6[Store_ID])</f>
        <v>STORE5</v>
      </c>
      <c r="C487" t="str">
        <f>_xlfn.XLOOKUP(Table7[[#This Row],[Customer ID]],Table6[Customer_ID],Table6[Product_ID])</f>
        <v>PROD59</v>
      </c>
      <c r="D487" t="str">
        <f>VLOOKUP(Table7[[#This Row],[Customer ID]],Table4[#All],2,FALSE)</f>
        <v>Amanda Powell</v>
      </c>
      <c r="E487">
        <f>VLOOKUP($A487,Table4[],3,FALSE)</f>
        <v>28</v>
      </c>
      <c r="F487" t="str">
        <f>VLOOKUP($A487,Table4[],4,FALSE)</f>
        <v>Male</v>
      </c>
      <c r="G487" t="str">
        <f>VLOOKUP($A487,Table4[],5,FALSE)</f>
        <v>South William</v>
      </c>
      <c r="H487" t="str">
        <f>VLOOKUP($A487,Table4[],6,FALSE)</f>
        <v>Alabama</v>
      </c>
      <c r="I487" t="str">
        <f>VLOOKUP($A487,Table4[],8,FALSE)</f>
        <v>Silver</v>
      </c>
      <c r="J487" t="str">
        <f>VLOOKUP($C487,Table1[],2,FALSE)</f>
        <v>Men's Hair Styling Gel</v>
      </c>
      <c r="K487" t="str">
        <f>VLOOKUP($C487,Table1[],3,FALSE)</f>
        <v>Beauty</v>
      </c>
      <c r="L487" t="str">
        <f>VLOOKUP($C487,Table1[],4,FALSE)</f>
        <v>Haircare</v>
      </c>
      <c r="M487" t="str">
        <f>VLOOKUP($C487,Table1[],5,FALSE)</f>
        <v>Cline-Mccarthy</v>
      </c>
      <c r="N487">
        <f>VLOOKUP($C487,Table1[],6,FALSE)</f>
        <v>17.309999999999999</v>
      </c>
      <c r="O487">
        <f>VLOOKUP($C487,Table1[],7,FALSE)</f>
        <v>399</v>
      </c>
      <c r="P487" t="str">
        <f>_xlfn.XLOOKUP($B487,Table3[Store_ID],Table3[Store_Name])</f>
        <v>Gray Ltd</v>
      </c>
      <c r="Q487" t="str" cm="1">
        <f t="array" ref="Q487">_xlfn.XLOOKUP($B487,Store_Dim!$A$2:$A$21,Table3[Region])</f>
        <v>North</v>
      </c>
      <c r="R487" t="str" cm="1">
        <f t="array" ref="R487">_xlfn.XLOOKUP($B487,Store_Dim!$A$2:$A$21,Table3[Store_Type])</f>
        <v>Outlet</v>
      </c>
      <c r="S487">
        <f>VLOOKUP(Table7[[#This Row],[Customer ID]],Table6[[Customer_ID]:[Total_Amount]],8,FALSE)</f>
        <v>1833.4380000000001</v>
      </c>
    </row>
    <row r="488" spans="1:19" x14ac:dyDescent="0.3">
      <c r="A488" t="s">
        <v>1501</v>
      </c>
      <c r="B488" t="str">
        <f>_xlfn.XLOOKUP(Table7[[#This Row],[Customer ID]],Table6[Customer_ID],Table6[Store_ID])</f>
        <v>STORE17</v>
      </c>
      <c r="C488" t="str">
        <f>_xlfn.XLOOKUP(Table7[[#This Row],[Customer ID]],Table6[Customer_ID],Table6[Product_ID])</f>
        <v>PROD28</v>
      </c>
      <c r="D488" t="str">
        <f>VLOOKUP(Table7[[#This Row],[Customer ID]],Table4[#All],2,FALSE)</f>
        <v>Justin Lopez</v>
      </c>
      <c r="E488">
        <f>VLOOKUP($A488,Table4[],3,FALSE)</f>
        <v>21</v>
      </c>
      <c r="F488" t="str">
        <f>VLOOKUP($A488,Table4[],4,FALSE)</f>
        <v>Male</v>
      </c>
      <c r="G488" t="str">
        <f>VLOOKUP($A488,Table4[],5,FALSE)</f>
        <v>Port Cheryl</v>
      </c>
      <c r="H488" t="str">
        <f>VLOOKUP($A488,Table4[],6,FALSE)</f>
        <v>Texas</v>
      </c>
      <c r="I488" t="str">
        <f>VLOOKUP($A488,Table4[],8,FALSE)</f>
        <v>Gold</v>
      </c>
      <c r="J488" t="str">
        <f>VLOOKUP($C488,Table1[],2,FALSE)</f>
        <v>Sports Stopwatch Timer</v>
      </c>
      <c r="K488" t="str">
        <f>VLOOKUP($C488,Table1[],3,FALSE)</f>
        <v>Sports</v>
      </c>
      <c r="L488" t="str">
        <f>VLOOKUP($C488,Table1[],4,FALSE)</f>
        <v>Accessories</v>
      </c>
      <c r="M488" t="str">
        <f>VLOOKUP($C488,Table1[],5,FALSE)</f>
        <v>Burns-Hansen</v>
      </c>
      <c r="N488">
        <f>VLOOKUP($C488,Table1[],6,FALSE)</f>
        <v>38.76</v>
      </c>
      <c r="O488">
        <f>VLOOKUP($C488,Table1[],7,FALSE)</f>
        <v>137</v>
      </c>
      <c r="P488" t="str">
        <f>_xlfn.XLOOKUP($B488,Table3[Store_ID],Table3[Store_Name])</f>
        <v>Holloway Ltd</v>
      </c>
      <c r="Q488" t="str" cm="1">
        <f t="array" ref="Q488">_xlfn.XLOOKUP($B488,Store_Dim!$A$2:$A$21,Table3[Region])</f>
        <v>North</v>
      </c>
      <c r="R488" t="str" cm="1">
        <f t="array" ref="R488">_xlfn.XLOOKUP($B488,Store_Dim!$A$2:$A$21,Table3[Store_Type])</f>
        <v>Flagship</v>
      </c>
      <c r="S488">
        <f>VLOOKUP(Table7[[#This Row],[Customer ID]],Table6[[Customer_ID]:[Total_Amount]],8,FALSE)</f>
        <v>1026.048</v>
      </c>
    </row>
    <row r="489" spans="1:19" x14ac:dyDescent="0.3">
      <c r="A489" t="s">
        <v>1504</v>
      </c>
      <c r="B489" t="str">
        <f>_xlfn.XLOOKUP(Table7[[#This Row],[Customer ID]],Table6[Customer_ID],Table6[Store_ID])</f>
        <v>STORE15</v>
      </c>
      <c r="C489" t="str">
        <f>_xlfn.XLOOKUP(Table7[[#This Row],[Customer ID]],Table6[Customer_ID],Table6[Product_ID])</f>
        <v>PROD61</v>
      </c>
      <c r="D489" t="str">
        <f>VLOOKUP(Table7[[#This Row],[Customer ID]],Table4[#All],2,FALSE)</f>
        <v>James Berger</v>
      </c>
      <c r="E489">
        <f>VLOOKUP($A489,Table4[],3,FALSE)</f>
        <v>23</v>
      </c>
      <c r="F489" t="str">
        <f>VLOOKUP($A489,Table4[],4,FALSE)</f>
        <v>Female</v>
      </c>
      <c r="G489" t="str">
        <f>VLOOKUP($A489,Table4[],5,FALSE)</f>
        <v>Bryanmouth</v>
      </c>
      <c r="H489" t="str">
        <f>VLOOKUP($A489,Table4[],6,FALSE)</f>
        <v>Delaware</v>
      </c>
      <c r="I489" t="str">
        <f>VLOOKUP($A489,Table4[],8,FALSE)</f>
        <v>Bronze</v>
      </c>
      <c r="J489" t="str">
        <f>VLOOKUP($C489,Table1[],2,FALSE)</f>
        <v>Tennis Ball 3-Pack</v>
      </c>
      <c r="K489" t="str">
        <f>VLOOKUP($C489,Table1[],3,FALSE)</f>
        <v>Sports</v>
      </c>
      <c r="L489" t="str">
        <f>VLOOKUP($C489,Table1[],4,FALSE)</f>
        <v>Equipment</v>
      </c>
      <c r="M489" t="str">
        <f>VLOOKUP($C489,Table1[],5,FALSE)</f>
        <v>Lopez LLC</v>
      </c>
      <c r="N489">
        <f>VLOOKUP($C489,Table1[],6,FALSE)</f>
        <v>103.45</v>
      </c>
      <c r="O489">
        <f>VLOOKUP($C489,Table1[],7,FALSE)</f>
        <v>465</v>
      </c>
      <c r="P489" t="str">
        <f>_xlfn.XLOOKUP($B489,Table3[Store_ID],Table3[Store_Name])</f>
        <v>Shelton PLC</v>
      </c>
      <c r="Q489" t="str" cm="1">
        <f t="array" ref="Q489">_xlfn.XLOOKUP($B489,Store_Dim!$A$2:$A$21,Table3[Region])</f>
        <v>North</v>
      </c>
      <c r="R489" t="str" cm="1">
        <f t="array" ref="R489">_xlfn.XLOOKUP($B489,Store_Dim!$A$2:$A$21,Table3[Store_Type])</f>
        <v>Flagship</v>
      </c>
      <c r="S489">
        <f>VLOOKUP(Table7[[#This Row],[Customer ID]],Table6[[Customer_ID]:[Total_Amount]],8,FALSE)</f>
        <v>1495.74</v>
      </c>
    </row>
    <row r="490" spans="1:19" x14ac:dyDescent="0.3">
      <c r="A490" t="s">
        <v>1507</v>
      </c>
      <c r="B490" t="str">
        <f>_xlfn.XLOOKUP(Table7[[#This Row],[Customer ID]],Table6[Customer_ID],Table6[Store_ID])</f>
        <v>STORE11</v>
      </c>
      <c r="C490" t="str">
        <f>_xlfn.XLOOKUP(Table7[[#This Row],[Customer ID]],Table6[Customer_ID],Table6[Product_ID])</f>
        <v>PROD51</v>
      </c>
      <c r="D490" t="str">
        <f>VLOOKUP(Table7[[#This Row],[Customer ID]],Table4[#All],2,FALSE)</f>
        <v>Christopher Ford</v>
      </c>
      <c r="E490">
        <f>VLOOKUP($A490,Table4[],3,FALSE)</f>
        <v>56</v>
      </c>
      <c r="F490" t="str">
        <f>VLOOKUP($A490,Table4[],4,FALSE)</f>
        <v>Male</v>
      </c>
      <c r="G490" t="str">
        <f>VLOOKUP($A490,Table4[],5,FALSE)</f>
        <v>North Seanfurt</v>
      </c>
      <c r="H490" t="str">
        <f>VLOOKUP($A490,Table4[],6,FALSE)</f>
        <v>Ohio</v>
      </c>
      <c r="I490" t="str">
        <f>VLOOKUP($A490,Table4[],8,FALSE)</f>
        <v>Bronze</v>
      </c>
      <c r="J490" t="str">
        <f>VLOOKUP($C490,Table1[],2,FALSE)</f>
        <v>HDMI Cable – 2m</v>
      </c>
      <c r="K490" t="str">
        <f>VLOOKUP($C490,Table1[],3,FALSE)</f>
        <v>Electronics</v>
      </c>
      <c r="L490" t="str">
        <f>VLOOKUP($C490,Table1[],4,FALSE)</f>
        <v>Accessories</v>
      </c>
      <c r="M490" t="str">
        <f>VLOOKUP($C490,Table1[],5,FALSE)</f>
        <v>Bautista, Green and Hale</v>
      </c>
      <c r="N490">
        <f>VLOOKUP($C490,Table1[],6,FALSE)</f>
        <v>88.49</v>
      </c>
      <c r="O490">
        <f>VLOOKUP($C490,Table1[],7,FALSE)</f>
        <v>246</v>
      </c>
      <c r="P490" t="str">
        <f>_xlfn.XLOOKUP($B490,Table3[Store_ID],Table3[Store_Name])</f>
        <v>Aguirre-Keller</v>
      </c>
      <c r="Q490" t="str" cm="1">
        <f t="array" ref="Q490">_xlfn.XLOOKUP($B490,Store_Dim!$A$2:$A$21,Table3[Region])</f>
        <v>South</v>
      </c>
      <c r="R490" t="str" cm="1">
        <f t="array" ref="R490">_xlfn.XLOOKUP($B490,Store_Dim!$A$2:$A$21,Table3[Store_Type])</f>
        <v>Online</v>
      </c>
      <c r="S490">
        <f>VLOOKUP(Table7[[#This Row],[Customer ID]],Table6[[Customer_ID]:[Total_Amount]],8,FALSE)</f>
        <v>850.29750000000001</v>
      </c>
    </row>
    <row r="491" spans="1:19" x14ac:dyDescent="0.3">
      <c r="A491" t="s">
        <v>1510</v>
      </c>
      <c r="B491" t="str">
        <f>_xlfn.XLOOKUP(Table7[[#This Row],[Customer ID]],Table6[Customer_ID],Table6[Store_ID])</f>
        <v>STORE9</v>
      </c>
      <c r="C491" t="str">
        <f>_xlfn.XLOOKUP(Table7[[#This Row],[Customer ID]],Table6[Customer_ID],Table6[Product_ID])</f>
        <v>PROD33</v>
      </c>
      <c r="D491" t="str">
        <f>VLOOKUP(Table7[[#This Row],[Customer ID]],Table4[#All],2,FALSE)</f>
        <v>Sarah Marsh</v>
      </c>
      <c r="E491">
        <f>VLOOKUP($A491,Table4[],3,FALSE)</f>
        <v>47</v>
      </c>
      <c r="F491" t="str">
        <f>VLOOKUP($A491,Table4[],4,FALSE)</f>
        <v>Female</v>
      </c>
      <c r="G491" t="str">
        <f>VLOOKUP($A491,Table4[],5,FALSE)</f>
        <v>Port William</v>
      </c>
      <c r="H491" t="str">
        <f>VLOOKUP($A491,Table4[],6,FALSE)</f>
        <v>New York</v>
      </c>
      <c r="I491" t="str">
        <f>VLOOKUP($A491,Table4[],8,FALSE)</f>
        <v>Gold</v>
      </c>
      <c r="J491" t="str">
        <f>VLOOKUP($C491,Table1[],2,FALSE)</f>
        <v>Modern Wall Clock</v>
      </c>
      <c r="K491" t="str">
        <f>VLOOKUP($C491,Table1[],3,FALSE)</f>
        <v>Home</v>
      </c>
      <c r="L491" t="str">
        <f>VLOOKUP($C491,Table1[],4,FALSE)</f>
        <v>Decor</v>
      </c>
      <c r="M491" t="str">
        <f>VLOOKUP($C491,Table1[],5,FALSE)</f>
        <v>Weiss-Watson</v>
      </c>
      <c r="N491">
        <f>VLOOKUP($C491,Table1[],6,FALSE)</f>
        <v>179.77</v>
      </c>
      <c r="O491">
        <f>VLOOKUP($C491,Table1[],7,FALSE)</f>
        <v>305</v>
      </c>
      <c r="P491" t="str">
        <f>_xlfn.XLOOKUP($B491,Table3[Store_ID],Table3[Store_Name])</f>
        <v>Moore, Padilla and Butler</v>
      </c>
      <c r="Q491" t="str" cm="1">
        <f t="array" ref="Q491">_xlfn.XLOOKUP($B491,Store_Dim!$A$2:$A$21,Table3[Region])</f>
        <v>South</v>
      </c>
      <c r="R491" t="str" cm="1">
        <f t="array" ref="R491">_xlfn.XLOOKUP($B491,Store_Dim!$A$2:$A$21,Table3[Store_Type])</f>
        <v>Flagship</v>
      </c>
      <c r="S491">
        <f>VLOOKUP(Table7[[#This Row],[Customer ID]],Table6[[Customer_ID]:[Total_Amount]],8,FALSE)</f>
        <v>1656.395</v>
      </c>
    </row>
    <row r="492" spans="1:19" x14ac:dyDescent="0.3">
      <c r="A492" t="s">
        <v>1513</v>
      </c>
      <c r="B492" t="str">
        <f>_xlfn.XLOOKUP(Table7[[#This Row],[Customer ID]],Table6[Customer_ID],Table6[Store_ID])</f>
        <v>STORE6</v>
      </c>
      <c r="C492" t="str">
        <f>_xlfn.XLOOKUP(Table7[[#This Row],[Customer ID]],Table6[Customer_ID],Table6[Product_ID])</f>
        <v>PROD8</v>
      </c>
      <c r="D492" t="str">
        <f>VLOOKUP(Table7[[#This Row],[Customer ID]],Table4[#All],2,FALSE)</f>
        <v>Traci Gonzalez</v>
      </c>
      <c r="E492">
        <f>VLOOKUP($A492,Table4[],3,FALSE)</f>
        <v>35</v>
      </c>
      <c r="F492" t="str">
        <f>VLOOKUP($A492,Table4[],4,FALSE)</f>
        <v>Male</v>
      </c>
      <c r="G492" t="str">
        <f>VLOOKUP($A492,Table4[],5,FALSE)</f>
        <v>Snyderfurt</v>
      </c>
      <c r="H492" t="str">
        <f>VLOOKUP($A492,Table4[],6,FALSE)</f>
        <v>New Mexico</v>
      </c>
      <c r="I492" t="str">
        <f>VLOOKUP($A492,Table4[],8,FALSE)</f>
        <v>Silver</v>
      </c>
      <c r="J492" t="str">
        <f>VLOOKUP($C492,Table1[],2,FALSE)</f>
        <v>Wireless Bluetooth Earbuds</v>
      </c>
      <c r="K492" t="str">
        <f>VLOOKUP($C492,Table1[],3,FALSE)</f>
        <v>Electronics</v>
      </c>
      <c r="L492" t="str">
        <f>VLOOKUP($C492,Table1[],4,FALSE)</f>
        <v>Audio</v>
      </c>
      <c r="M492" t="str">
        <f>VLOOKUP($C492,Table1[],5,FALSE)</f>
        <v>Perez-Johnston</v>
      </c>
      <c r="N492">
        <f>VLOOKUP($C492,Table1[],6,FALSE)</f>
        <v>439.07</v>
      </c>
      <c r="O492">
        <f>VLOOKUP($C492,Table1[],7,FALSE)</f>
        <v>142</v>
      </c>
      <c r="P492" t="str">
        <f>_xlfn.XLOOKUP($B492,Table3[Store_ID],Table3[Store_Name])</f>
        <v>Benson-Elliott</v>
      </c>
      <c r="Q492" t="str" cm="1">
        <f t="array" ref="Q492">_xlfn.XLOOKUP($B492,Store_Dim!$A$2:$A$21,Table3[Region])</f>
        <v>East</v>
      </c>
      <c r="R492" t="str" cm="1">
        <f t="array" ref="R492">_xlfn.XLOOKUP($B492,Store_Dim!$A$2:$A$21,Table3[Store_Type])</f>
        <v>Online</v>
      </c>
      <c r="S492">
        <f>VLOOKUP(Table7[[#This Row],[Customer ID]],Table6[[Customer_ID]:[Total_Amount]],8,FALSE)</f>
        <v>803.9944999999999</v>
      </c>
    </row>
    <row r="493" spans="1:19" x14ac:dyDescent="0.3">
      <c r="A493" t="s">
        <v>1516</v>
      </c>
      <c r="B493" t="str">
        <f>_xlfn.XLOOKUP(Table7[[#This Row],[Customer ID]],Table6[Customer_ID],Table6[Store_ID])</f>
        <v>STORE8</v>
      </c>
      <c r="C493" t="str">
        <f>_xlfn.XLOOKUP(Table7[[#This Row],[Customer ID]],Table6[Customer_ID],Table6[Product_ID])</f>
        <v>PROD55</v>
      </c>
      <c r="D493" t="str">
        <f>VLOOKUP(Table7[[#This Row],[Customer ID]],Table4[#All],2,FALSE)</f>
        <v>Philip Pennington</v>
      </c>
      <c r="E493">
        <f>VLOOKUP($A493,Table4[],3,FALSE)</f>
        <v>27</v>
      </c>
      <c r="F493" t="str">
        <f>VLOOKUP($A493,Table4[],4,FALSE)</f>
        <v>Female</v>
      </c>
      <c r="G493" t="str">
        <f>VLOOKUP($A493,Table4[],5,FALSE)</f>
        <v>East Valerieview</v>
      </c>
      <c r="H493" t="str">
        <f>VLOOKUP($A493,Table4[],6,FALSE)</f>
        <v>Oregon</v>
      </c>
      <c r="I493" t="str">
        <f>VLOOKUP($A493,Table4[],8,FALSE)</f>
        <v>Platinum</v>
      </c>
      <c r="J493" t="str">
        <f>VLOOKUP($C493,Table1[],2,FALSE)</f>
        <v>Ceramic Plant Pot</v>
      </c>
      <c r="K493" t="str">
        <f>VLOOKUP($C493,Table1[],3,FALSE)</f>
        <v>Home</v>
      </c>
      <c r="L493" t="str">
        <f>VLOOKUP($C493,Table1[],4,FALSE)</f>
        <v>Decor</v>
      </c>
      <c r="M493" t="str">
        <f>VLOOKUP($C493,Table1[],5,FALSE)</f>
        <v>Hatfield, Baird and Torres</v>
      </c>
      <c r="N493">
        <f>VLOOKUP($C493,Table1[],6,FALSE)</f>
        <v>81.75</v>
      </c>
      <c r="O493">
        <f>VLOOKUP($C493,Table1[],7,FALSE)</f>
        <v>331</v>
      </c>
      <c r="P493" t="str">
        <f>_xlfn.XLOOKUP($B493,Table3[Store_ID],Table3[Store_Name])</f>
        <v>Bean, Jones and Park</v>
      </c>
      <c r="Q493" t="str" cm="1">
        <f t="array" ref="Q493">_xlfn.XLOOKUP($B493,Store_Dim!$A$2:$A$21,Table3[Region])</f>
        <v>West</v>
      </c>
      <c r="R493" t="str" cm="1">
        <f t="array" ref="R493">_xlfn.XLOOKUP($B493,Store_Dim!$A$2:$A$21,Table3[Store_Type])</f>
        <v>Online</v>
      </c>
      <c r="S493">
        <f>VLOOKUP(Table7[[#This Row],[Customer ID]],Table6[[Customer_ID]:[Total_Amount]],8,FALSE)</f>
        <v>75.84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1FBD-DA1B-4C73-A4E6-6F43E4883EDB}">
  <dimension ref="A3:H38"/>
  <sheetViews>
    <sheetView tabSelected="1" workbookViewId="0">
      <selection activeCell="E17" sqref="E17"/>
    </sheetView>
  </sheetViews>
  <sheetFormatPr defaultRowHeight="14.4" x14ac:dyDescent="0.3"/>
  <cols>
    <col min="1" max="1" width="21.5546875" bestFit="1" customWidth="1"/>
    <col min="2" max="2" width="19.21875" bestFit="1" customWidth="1"/>
    <col min="4" max="5" width="22.44140625" bestFit="1" customWidth="1"/>
    <col min="6" max="8" width="12" bestFit="1" customWidth="1"/>
  </cols>
  <sheetData>
    <row r="3" spans="1:8" x14ac:dyDescent="0.3">
      <c r="A3" s="4" t="s">
        <v>3973</v>
      </c>
      <c r="B3" t="s">
        <v>3972</v>
      </c>
      <c r="D3" s="4" t="s">
        <v>3978</v>
      </c>
      <c r="E3" t="s">
        <v>3977</v>
      </c>
    </row>
    <row r="4" spans="1:8" x14ac:dyDescent="0.3">
      <c r="A4" s="5" t="s">
        <v>1541</v>
      </c>
      <c r="B4">
        <v>86661.546499999997</v>
      </c>
      <c r="D4" s="5" t="s">
        <v>1737</v>
      </c>
      <c r="E4">
        <v>1099.1091507575759</v>
      </c>
    </row>
    <row r="5" spans="1:8" x14ac:dyDescent="0.3">
      <c r="A5" s="5" t="s">
        <v>1530</v>
      </c>
      <c r="B5">
        <v>101680.30420000006</v>
      </c>
      <c r="D5" s="5" t="s">
        <v>1742</v>
      </c>
      <c r="E5">
        <v>1166.2792234482749</v>
      </c>
    </row>
    <row r="6" spans="1:8" x14ac:dyDescent="0.3">
      <c r="A6" s="5" t="s">
        <v>1546</v>
      </c>
      <c r="B6">
        <v>137388.34639999995</v>
      </c>
      <c r="D6" s="5" t="s">
        <v>1746</v>
      </c>
      <c r="E6">
        <v>1232.376292857143</v>
      </c>
    </row>
    <row r="7" spans="1:8" x14ac:dyDescent="0.3">
      <c r="A7" s="5" t="s">
        <v>1527</v>
      </c>
      <c r="B7">
        <v>92599.53330000001</v>
      </c>
      <c r="D7" s="5" t="s">
        <v>1767</v>
      </c>
      <c r="E7">
        <v>1035.3711114754099</v>
      </c>
    </row>
    <row r="8" spans="1:8" x14ac:dyDescent="0.3">
      <c r="A8" s="5" t="s">
        <v>1549</v>
      </c>
      <c r="B8">
        <v>148806.75179999997</v>
      </c>
      <c r="D8" s="5" t="s">
        <v>3971</v>
      </c>
      <c r="E8">
        <v>1152.7164272357725</v>
      </c>
    </row>
    <row r="9" spans="1:8" x14ac:dyDescent="0.3">
      <c r="A9" s="5" t="s">
        <v>3971</v>
      </c>
      <c r="B9">
        <v>567136.48219999997</v>
      </c>
    </row>
    <row r="11" spans="1:8" x14ac:dyDescent="0.3">
      <c r="A11" s="4" t="s">
        <v>3974</v>
      </c>
      <c r="B11" t="s">
        <v>3972</v>
      </c>
      <c r="D11" s="4" t="s">
        <v>3977</v>
      </c>
      <c r="E11" s="4" t="s">
        <v>3979</v>
      </c>
    </row>
    <row r="12" spans="1:8" x14ac:dyDescent="0.3">
      <c r="A12" s="5" t="s">
        <v>1739</v>
      </c>
      <c r="B12">
        <v>183346.90599999996</v>
      </c>
      <c r="D12" s="4" t="s">
        <v>3970</v>
      </c>
      <c r="E12" t="s">
        <v>1739</v>
      </c>
      <c r="F12" t="s">
        <v>1755</v>
      </c>
      <c r="G12" t="s">
        <v>1748</v>
      </c>
      <c r="H12" t="s">
        <v>3971</v>
      </c>
    </row>
    <row r="13" spans="1:8" x14ac:dyDescent="0.3">
      <c r="A13" s="5" t="s">
        <v>1755</v>
      </c>
      <c r="B13">
        <v>263401.94610000012</v>
      </c>
      <c r="D13" s="5" t="s">
        <v>16</v>
      </c>
      <c r="E13">
        <v>1117.3400271604942</v>
      </c>
      <c r="F13">
        <v>1339.007813793103</v>
      </c>
      <c r="G13">
        <v>1183.8101758064518</v>
      </c>
      <c r="H13">
        <v>1232.5315810810816</v>
      </c>
    </row>
    <row r="14" spans="1:8" x14ac:dyDescent="0.3">
      <c r="A14" s="5" t="s">
        <v>1748</v>
      </c>
      <c r="B14">
        <v>120387.63010000002</v>
      </c>
      <c r="D14" s="5" t="s">
        <v>9</v>
      </c>
      <c r="E14">
        <v>1079.5623697674416</v>
      </c>
      <c r="F14">
        <v>1029.3051400000002</v>
      </c>
      <c r="G14">
        <v>1118.8428380952382</v>
      </c>
      <c r="H14">
        <v>1063.9948613733904</v>
      </c>
    </row>
    <row r="15" spans="1:8" x14ac:dyDescent="0.3">
      <c r="A15" s="5" t="s">
        <v>3971</v>
      </c>
      <c r="B15">
        <v>567136.48220000009</v>
      </c>
      <c r="D15" s="5" t="s">
        <v>3971</v>
      </c>
      <c r="E15">
        <v>1097.8856646706593</v>
      </c>
      <c r="F15">
        <v>1191.8640095022618</v>
      </c>
      <c r="G15">
        <v>1157.573366346154</v>
      </c>
      <c r="H15">
        <v>1152.7164272357725</v>
      </c>
    </row>
    <row r="17" spans="1:2" x14ac:dyDescent="0.3">
      <c r="A17" s="4" t="s">
        <v>3976</v>
      </c>
      <c r="B17" t="s">
        <v>3975</v>
      </c>
    </row>
    <row r="18" spans="1:2" x14ac:dyDescent="0.3">
      <c r="A18" s="5" t="s">
        <v>1735</v>
      </c>
      <c r="B18">
        <v>6661</v>
      </c>
    </row>
    <row r="19" spans="1:2" x14ac:dyDescent="0.3">
      <c r="A19" s="5" t="s">
        <v>1740</v>
      </c>
      <c r="B19">
        <v>5803</v>
      </c>
    </row>
    <row r="20" spans="1:2" x14ac:dyDescent="0.3">
      <c r="A20" s="5" t="s">
        <v>1772</v>
      </c>
      <c r="B20">
        <v>6322</v>
      </c>
    </row>
    <row r="21" spans="1:2" x14ac:dyDescent="0.3">
      <c r="A21" s="5" t="s">
        <v>1775</v>
      </c>
      <c r="B21">
        <v>5758</v>
      </c>
    </row>
    <row r="22" spans="1:2" x14ac:dyDescent="0.3">
      <c r="A22" s="5" t="s">
        <v>1777</v>
      </c>
      <c r="B22">
        <v>8365</v>
      </c>
    </row>
    <row r="23" spans="1:2" x14ac:dyDescent="0.3">
      <c r="A23" s="5" t="s">
        <v>1780</v>
      </c>
      <c r="B23">
        <v>5026</v>
      </c>
    </row>
    <row r="24" spans="1:2" x14ac:dyDescent="0.3">
      <c r="A24" s="5" t="s">
        <v>1782</v>
      </c>
      <c r="B24">
        <v>6661</v>
      </c>
    </row>
    <row r="25" spans="1:2" x14ac:dyDescent="0.3">
      <c r="A25" s="5" t="s">
        <v>1784</v>
      </c>
      <c r="B25">
        <v>6451</v>
      </c>
    </row>
    <row r="26" spans="1:2" x14ac:dyDescent="0.3">
      <c r="A26" s="5" t="s">
        <v>1787</v>
      </c>
      <c r="B26">
        <v>6606</v>
      </c>
    </row>
    <row r="27" spans="1:2" x14ac:dyDescent="0.3">
      <c r="A27" s="5" t="s">
        <v>1790</v>
      </c>
      <c r="B27">
        <v>6893</v>
      </c>
    </row>
    <row r="28" spans="1:2" x14ac:dyDescent="0.3">
      <c r="A28" s="5" t="s">
        <v>1793</v>
      </c>
      <c r="B28">
        <v>5107</v>
      </c>
    </row>
    <row r="29" spans="1:2" x14ac:dyDescent="0.3">
      <c r="A29" s="5" t="s">
        <v>1796</v>
      </c>
      <c r="B29">
        <v>6201</v>
      </c>
    </row>
    <row r="30" spans="1:2" x14ac:dyDescent="0.3">
      <c r="A30" s="5" t="s">
        <v>1744</v>
      </c>
      <c r="B30">
        <v>7158</v>
      </c>
    </row>
    <row r="31" spans="1:2" x14ac:dyDescent="0.3">
      <c r="A31" s="5" t="s">
        <v>1749</v>
      </c>
      <c r="B31">
        <v>8693</v>
      </c>
    </row>
    <row r="32" spans="1:2" x14ac:dyDescent="0.3">
      <c r="A32" s="5" t="s">
        <v>1752</v>
      </c>
      <c r="B32">
        <v>6934</v>
      </c>
    </row>
    <row r="33" spans="1:2" x14ac:dyDescent="0.3">
      <c r="A33" s="5" t="s">
        <v>1756</v>
      </c>
      <c r="B33">
        <v>5817</v>
      </c>
    </row>
    <row r="34" spans="1:2" x14ac:dyDescent="0.3">
      <c r="A34" s="5" t="s">
        <v>1759</v>
      </c>
      <c r="B34">
        <v>7902</v>
      </c>
    </row>
    <row r="35" spans="1:2" x14ac:dyDescent="0.3">
      <c r="A35" s="5" t="s">
        <v>1762</v>
      </c>
      <c r="B35">
        <v>9110</v>
      </c>
    </row>
    <row r="36" spans="1:2" x14ac:dyDescent="0.3">
      <c r="A36" s="5" t="s">
        <v>1765</v>
      </c>
      <c r="B36">
        <v>11145</v>
      </c>
    </row>
    <row r="37" spans="1:2" x14ac:dyDescent="0.3">
      <c r="A37" s="5" t="s">
        <v>1769</v>
      </c>
      <c r="B37">
        <v>5437</v>
      </c>
    </row>
    <row r="38" spans="1:2" x14ac:dyDescent="0.3">
      <c r="A38" s="5" t="s">
        <v>3971</v>
      </c>
      <c r="B38">
        <v>138050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3137B-7CB8-42B2-8271-0EA31B64FF24}">
  <dimension ref="A1:X2"/>
  <sheetViews>
    <sheetView showGridLines="0" workbookViewId="0">
      <selection activeCell="X1" sqref="X1:X2"/>
    </sheetView>
  </sheetViews>
  <sheetFormatPr defaultRowHeight="14.4" x14ac:dyDescent="0.3"/>
  <sheetData>
    <row r="1" spans="1:24" x14ac:dyDescent="0.3">
      <c r="A1" s="7" t="s">
        <v>3980</v>
      </c>
      <c r="B1" s="7"/>
      <c r="C1" s="7"/>
      <c r="D1" s="7"/>
      <c r="E1" s="7"/>
      <c r="F1" s="7"/>
      <c r="G1" s="7"/>
      <c r="H1" s="7"/>
      <c r="I1" s="7"/>
      <c r="J1" s="7"/>
      <c r="K1" s="7"/>
      <c r="L1" s="7"/>
      <c r="M1" s="7"/>
      <c r="N1" s="7"/>
      <c r="O1" s="7"/>
      <c r="P1" s="7"/>
      <c r="Q1" s="7"/>
      <c r="R1" s="7"/>
      <c r="S1" s="7"/>
      <c r="T1" s="7"/>
      <c r="U1" s="7"/>
      <c r="V1" s="7"/>
      <c r="W1" s="7"/>
      <c r="X1" s="6"/>
    </row>
    <row r="2" spans="1:24" x14ac:dyDescent="0.3">
      <c r="A2" s="7"/>
      <c r="B2" s="7"/>
      <c r="C2" s="7"/>
      <c r="D2" s="7"/>
      <c r="E2" s="7"/>
      <c r="F2" s="7"/>
      <c r="G2" s="7"/>
      <c r="H2" s="7"/>
      <c r="I2" s="7"/>
      <c r="J2" s="7"/>
      <c r="K2" s="7"/>
      <c r="L2" s="7"/>
      <c r="M2" s="7"/>
      <c r="N2" s="7"/>
      <c r="O2" s="7"/>
      <c r="P2" s="7"/>
      <c r="Q2" s="7"/>
      <c r="R2" s="7"/>
      <c r="S2" s="7"/>
      <c r="T2" s="7"/>
      <c r="U2" s="7"/>
      <c r="V2" s="7"/>
      <c r="W2" s="7"/>
      <c r="X2" s="6"/>
    </row>
  </sheetData>
  <mergeCells count="1">
    <mergeCell ref="A1:W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Ecommerce Combined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Gayathri Mohan</cp:lastModifiedBy>
  <dcterms:created xsi:type="dcterms:W3CDTF">2025-10-14T06:00:18Z</dcterms:created>
  <dcterms:modified xsi:type="dcterms:W3CDTF">2025-12-15T12:57:54Z</dcterms:modified>
</cp:coreProperties>
</file>